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\Documents\soil\flux_auto\"/>
    </mc:Choice>
  </mc:AlternateContent>
  <xr:revisionPtr revIDLastSave="0" documentId="13_ncr:1_{37CF8C62-D1F2-4800-B7DE-25DDB89A2233}" xr6:coauthVersionLast="47" xr6:coauthVersionMax="47" xr10:uidLastSave="{00000000-0000-0000-0000-000000000000}"/>
  <bookViews>
    <workbookView xWindow="19090" yWindow="-6910" windowWidth="19420" windowHeight="10300" activeTab="2" xr2:uid="{4771583B-36FF-4F85-9015-0EE1940F4F1E}"/>
  </bookViews>
  <sheets>
    <sheet name="Beauregard" sheetId="1" r:id="rId1"/>
    <sheet name="Coté" sheetId="2" r:id="rId2"/>
    <sheet name="Leblanc" sheetId="3" r:id="rId3"/>
    <sheet name="4R" sheetId="4" r:id="rId4"/>
    <sheet name="JML_Robert" sheetId="5" r:id="rId5"/>
    <sheet name="Levesque" sheetId="6" r:id="rId6"/>
    <sheet name="Janesek" sheetId="7" r:id="rId7"/>
  </sheets>
  <externalReferences>
    <externalReference r:id="rId8"/>
  </externalReferences>
  <definedNames>
    <definedName name="_xlnm._FilterDatabase" localSheetId="3" hidden="1">'4R'!$A$2:$S$1556</definedName>
    <definedName name="_xlnm._FilterDatabase" localSheetId="0" hidden="1">Beauregard!$A$2:$T$344</definedName>
    <definedName name="_xlnm._FilterDatabase" localSheetId="1" hidden="1">Coté!$A$2:$V$377</definedName>
    <definedName name="_xlnm._FilterDatabase" localSheetId="6" hidden="1">Janesek!$A$2:$S$350</definedName>
    <definedName name="_xlnm._FilterDatabase" localSheetId="4" hidden="1">JML_Robert!$C$2:$S$379</definedName>
    <definedName name="_xlnm._FilterDatabase" localSheetId="2" hidden="1">Leblanc!$A$2:$S$344</definedName>
    <definedName name="_xlnm._FilterDatabase" localSheetId="5" hidden="1">Levesque!$A$2:$S$382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2" l="1"/>
  <c r="L38" i="2"/>
  <c r="K38" i="2"/>
  <c r="J38" i="2"/>
  <c r="I38" i="2"/>
  <c r="H38" i="2"/>
  <c r="M348" i="7"/>
  <c r="L348" i="7"/>
  <c r="K348" i="7"/>
  <c r="M347" i="7"/>
  <c r="L347" i="7"/>
  <c r="K347" i="7"/>
  <c r="M346" i="7"/>
  <c r="L346" i="7"/>
  <c r="K346" i="7"/>
  <c r="M345" i="7"/>
  <c r="L345" i="7"/>
  <c r="K345" i="7"/>
  <c r="M344" i="7"/>
  <c r="L344" i="7"/>
  <c r="K344" i="7"/>
  <c r="M343" i="7"/>
  <c r="P342" i="7" s="1"/>
  <c r="S342" i="7" s="1"/>
  <c r="L343" i="7"/>
  <c r="K343" i="7"/>
  <c r="O342" i="7"/>
  <c r="R342" i="7" s="1"/>
  <c r="N342" i="7"/>
  <c r="Q342" i="7" s="1"/>
  <c r="M342" i="7"/>
  <c r="L342" i="7"/>
  <c r="K342" i="7"/>
  <c r="M341" i="7"/>
  <c r="L341" i="7"/>
  <c r="K341" i="7"/>
  <c r="M340" i="7"/>
  <c r="L340" i="7"/>
  <c r="K340" i="7"/>
  <c r="M339" i="7"/>
  <c r="L339" i="7"/>
  <c r="K339" i="7"/>
  <c r="N338" i="7" s="1"/>
  <c r="Q338" i="7" s="1"/>
  <c r="P338" i="7"/>
  <c r="S338" i="7" s="1"/>
  <c r="M338" i="7"/>
  <c r="L338" i="7"/>
  <c r="O338" i="7" s="1"/>
  <c r="R338" i="7" s="1"/>
  <c r="K338" i="7"/>
  <c r="M337" i="7"/>
  <c r="L337" i="7"/>
  <c r="K337" i="7"/>
  <c r="M336" i="7"/>
  <c r="L336" i="7"/>
  <c r="K336" i="7"/>
  <c r="M335" i="7"/>
  <c r="L335" i="7"/>
  <c r="K335" i="7"/>
  <c r="N334" i="7" s="1"/>
  <c r="Q334" i="7" s="1"/>
  <c r="P334" i="7"/>
  <c r="S334" i="7" s="1"/>
  <c r="M334" i="7"/>
  <c r="L334" i="7"/>
  <c r="O334" i="7" s="1"/>
  <c r="R334" i="7" s="1"/>
  <c r="K334" i="7"/>
  <c r="M333" i="7"/>
  <c r="L333" i="7"/>
  <c r="K333" i="7"/>
  <c r="M332" i="7"/>
  <c r="L332" i="7"/>
  <c r="K332" i="7"/>
  <c r="M331" i="7"/>
  <c r="L331" i="7"/>
  <c r="K331" i="7"/>
  <c r="N330" i="7" s="1"/>
  <c r="Q330" i="7" s="1"/>
  <c r="M330" i="7"/>
  <c r="L330" i="7"/>
  <c r="O330" i="7" s="1"/>
  <c r="R330" i="7" s="1"/>
  <c r="K330" i="7"/>
  <c r="M329" i="7"/>
  <c r="L329" i="7"/>
  <c r="K329" i="7"/>
  <c r="M328" i="7"/>
  <c r="L328" i="7"/>
  <c r="K328" i="7"/>
  <c r="M327" i="7"/>
  <c r="P326" i="7" s="1"/>
  <c r="S326" i="7" s="1"/>
  <c r="L327" i="7"/>
  <c r="K327" i="7"/>
  <c r="N326" i="7"/>
  <c r="Q326" i="7" s="1"/>
  <c r="M326" i="7"/>
  <c r="L326" i="7"/>
  <c r="O326" i="7" s="1"/>
  <c r="R326" i="7" s="1"/>
  <c r="K326" i="7"/>
  <c r="M325" i="7"/>
  <c r="L325" i="7"/>
  <c r="K325" i="7"/>
  <c r="M324" i="7"/>
  <c r="L324" i="7"/>
  <c r="K324" i="7"/>
  <c r="M323" i="7"/>
  <c r="L323" i="7"/>
  <c r="K323" i="7"/>
  <c r="P322" i="7"/>
  <c r="S322" i="7" s="1"/>
  <c r="N322" i="7"/>
  <c r="Q322" i="7" s="1"/>
  <c r="M322" i="7"/>
  <c r="L322" i="7"/>
  <c r="O322" i="7" s="1"/>
  <c r="R322" i="7" s="1"/>
  <c r="K322" i="7"/>
  <c r="M321" i="7"/>
  <c r="L321" i="7"/>
  <c r="K321" i="7"/>
  <c r="M320" i="7"/>
  <c r="L320" i="7"/>
  <c r="K320" i="7"/>
  <c r="M319" i="7"/>
  <c r="L319" i="7"/>
  <c r="K319" i="7"/>
  <c r="N318" i="7" s="1"/>
  <c r="Q318" i="7" s="1"/>
  <c r="R318" i="7"/>
  <c r="P318" i="7"/>
  <c r="S318" i="7" s="1"/>
  <c r="M318" i="7"/>
  <c r="L318" i="7"/>
  <c r="O318" i="7" s="1"/>
  <c r="K318" i="7"/>
  <c r="M317" i="7"/>
  <c r="L317" i="7"/>
  <c r="K317" i="7"/>
  <c r="M316" i="7"/>
  <c r="L316" i="7"/>
  <c r="K316" i="7"/>
  <c r="M315" i="7"/>
  <c r="L315" i="7"/>
  <c r="K315" i="7"/>
  <c r="N314" i="7" s="1"/>
  <c r="Q314" i="7" s="1"/>
  <c r="M314" i="7"/>
  <c r="L314" i="7"/>
  <c r="O314" i="7" s="1"/>
  <c r="R314" i="7" s="1"/>
  <c r="K314" i="7"/>
  <c r="M313" i="7"/>
  <c r="L313" i="7"/>
  <c r="K313" i="7"/>
  <c r="M312" i="7"/>
  <c r="L312" i="7"/>
  <c r="K312" i="7"/>
  <c r="M311" i="7"/>
  <c r="L311" i="7"/>
  <c r="K311" i="7"/>
  <c r="M310" i="7"/>
  <c r="L310" i="7"/>
  <c r="K310" i="7"/>
  <c r="M309" i="7"/>
  <c r="L309" i="7"/>
  <c r="K309" i="7"/>
  <c r="M308" i="7"/>
  <c r="L308" i="7"/>
  <c r="K308" i="7"/>
  <c r="O307" i="7"/>
  <c r="R307" i="7" s="1"/>
  <c r="M307" i="7"/>
  <c r="P307" i="7" s="1"/>
  <c r="S307" i="7" s="1"/>
  <c r="L307" i="7"/>
  <c r="K307" i="7"/>
  <c r="M306" i="7"/>
  <c r="L306" i="7"/>
  <c r="K306" i="7"/>
  <c r="M305" i="7"/>
  <c r="L305" i="7"/>
  <c r="K305" i="7"/>
  <c r="M304" i="7"/>
  <c r="L304" i="7"/>
  <c r="K304" i="7"/>
  <c r="Q303" i="7"/>
  <c r="O303" i="7"/>
  <c r="R303" i="7" s="1"/>
  <c r="M303" i="7"/>
  <c r="P303" i="7" s="1"/>
  <c r="S303" i="7" s="1"/>
  <c r="L303" i="7"/>
  <c r="K303" i="7"/>
  <c r="N303" i="7" s="1"/>
  <c r="M302" i="7"/>
  <c r="L302" i="7"/>
  <c r="K302" i="7"/>
  <c r="M301" i="7"/>
  <c r="L301" i="7"/>
  <c r="K301" i="7"/>
  <c r="M300" i="7"/>
  <c r="L300" i="7"/>
  <c r="K300" i="7"/>
  <c r="M299" i="7"/>
  <c r="P299" i="7" s="1"/>
  <c r="S299" i="7" s="1"/>
  <c r="L299" i="7"/>
  <c r="K299" i="7"/>
  <c r="N299" i="7" s="1"/>
  <c r="Q299" i="7" s="1"/>
  <c r="M298" i="7"/>
  <c r="L298" i="7"/>
  <c r="K298" i="7"/>
  <c r="M297" i="7"/>
  <c r="L297" i="7"/>
  <c r="K297" i="7"/>
  <c r="M296" i="7"/>
  <c r="L296" i="7"/>
  <c r="O295" i="7" s="1"/>
  <c r="R295" i="7" s="1"/>
  <c r="K296" i="7"/>
  <c r="M295" i="7"/>
  <c r="P295" i="7" s="1"/>
  <c r="S295" i="7" s="1"/>
  <c r="L295" i="7"/>
  <c r="K295" i="7"/>
  <c r="N295" i="7" s="1"/>
  <c r="Q295" i="7" s="1"/>
  <c r="M294" i="7"/>
  <c r="L294" i="7"/>
  <c r="K294" i="7"/>
  <c r="M293" i="7"/>
  <c r="L293" i="7"/>
  <c r="K293" i="7"/>
  <c r="M292" i="7"/>
  <c r="L292" i="7"/>
  <c r="K292" i="7"/>
  <c r="O291" i="7"/>
  <c r="R291" i="7" s="1"/>
  <c r="M291" i="7"/>
  <c r="P291" i="7" s="1"/>
  <c r="S291" i="7" s="1"/>
  <c r="L291" i="7"/>
  <c r="K291" i="7"/>
  <c r="N291" i="7" s="1"/>
  <c r="Q291" i="7" s="1"/>
  <c r="M290" i="7"/>
  <c r="L290" i="7"/>
  <c r="K290" i="7"/>
  <c r="M289" i="7"/>
  <c r="L289" i="7"/>
  <c r="K289" i="7"/>
  <c r="M288" i="7"/>
  <c r="L288" i="7"/>
  <c r="K288" i="7"/>
  <c r="O287" i="7"/>
  <c r="R287" i="7" s="1"/>
  <c r="M287" i="7"/>
  <c r="P287" i="7" s="1"/>
  <c r="S287" i="7" s="1"/>
  <c r="L287" i="7"/>
  <c r="K287" i="7"/>
  <c r="N287" i="7" s="1"/>
  <c r="Q287" i="7" s="1"/>
  <c r="M286" i="7"/>
  <c r="L286" i="7"/>
  <c r="K286" i="7"/>
  <c r="M285" i="7"/>
  <c r="L285" i="7"/>
  <c r="K285" i="7"/>
  <c r="M284" i="7"/>
  <c r="L284" i="7"/>
  <c r="O283" i="7" s="1"/>
  <c r="R283" i="7" s="1"/>
  <c r="K284" i="7"/>
  <c r="S283" i="7"/>
  <c r="M283" i="7"/>
  <c r="P283" i="7" s="1"/>
  <c r="L283" i="7"/>
  <c r="K283" i="7"/>
  <c r="N283" i="7" s="1"/>
  <c r="Q283" i="7" s="1"/>
  <c r="M282" i="7"/>
  <c r="L282" i="7"/>
  <c r="K282" i="7"/>
  <c r="M281" i="7"/>
  <c r="L281" i="7"/>
  <c r="K281" i="7"/>
  <c r="M280" i="7"/>
  <c r="L280" i="7"/>
  <c r="O279" i="7" s="1"/>
  <c r="R279" i="7" s="1"/>
  <c r="K280" i="7"/>
  <c r="M279" i="7"/>
  <c r="P279" i="7" s="1"/>
  <c r="S279" i="7" s="1"/>
  <c r="L279" i="7"/>
  <c r="K279" i="7"/>
  <c r="N279" i="7" s="1"/>
  <c r="Q279" i="7" s="1"/>
  <c r="M278" i="7"/>
  <c r="L278" i="7"/>
  <c r="K278" i="7"/>
  <c r="M277" i="7"/>
  <c r="L277" i="7"/>
  <c r="K277" i="7"/>
  <c r="M276" i="7"/>
  <c r="L276" i="7"/>
  <c r="K276" i="7"/>
  <c r="M275" i="7"/>
  <c r="L275" i="7"/>
  <c r="K275" i="7"/>
  <c r="M274" i="7"/>
  <c r="L274" i="7"/>
  <c r="K274" i="7"/>
  <c r="M273" i="7"/>
  <c r="L273" i="7"/>
  <c r="K273" i="7"/>
  <c r="P272" i="7"/>
  <c r="S272" i="7" s="1"/>
  <c r="N272" i="7"/>
  <c r="Q272" i="7" s="1"/>
  <c r="M272" i="7"/>
  <c r="L272" i="7"/>
  <c r="O272" i="7" s="1"/>
  <c r="R272" i="7" s="1"/>
  <c r="K272" i="7"/>
  <c r="M271" i="7"/>
  <c r="L271" i="7"/>
  <c r="K271" i="7"/>
  <c r="M270" i="7"/>
  <c r="L270" i="7"/>
  <c r="K270" i="7"/>
  <c r="M269" i="7"/>
  <c r="L269" i="7"/>
  <c r="K269" i="7"/>
  <c r="P268" i="7"/>
  <c r="S268" i="7" s="1"/>
  <c r="M268" i="7"/>
  <c r="L268" i="7"/>
  <c r="O268" i="7" s="1"/>
  <c r="R268" i="7" s="1"/>
  <c r="K268" i="7"/>
  <c r="M267" i="7"/>
  <c r="L267" i="7"/>
  <c r="K267" i="7"/>
  <c r="M266" i="7"/>
  <c r="L266" i="7"/>
  <c r="K266" i="7"/>
  <c r="M265" i="7"/>
  <c r="P264" i="7" s="1"/>
  <c r="S264" i="7" s="1"/>
  <c r="L265" i="7"/>
  <c r="K265" i="7"/>
  <c r="N264" i="7" s="1"/>
  <c r="Q264" i="7" s="1"/>
  <c r="M264" i="7"/>
  <c r="L264" i="7"/>
  <c r="O264" i="7" s="1"/>
  <c r="R264" i="7" s="1"/>
  <c r="K264" i="7"/>
  <c r="M263" i="7"/>
  <c r="L263" i="7"/>
  <c r="K263" i="7"/>
  <c r="M262" i="7"/>
  <c r="L262" i="7"/>
  <c r="K262" i="7"/>
  <c r="M261" i="7"/>
  <c r="P260" i="7" s="1"/>
  <c r="S260" i="7" s="1"/>
  <c r="L261" i="7"/>
  <c r="K261" i="7"/>
  <c r="N260" i="7"/>
  <c r="Q260" i="7" s="1"/>
  <c r="M260" i="7"/>
  <c r="L260" i="7"/>
  <c r="O260" i="7" s="1"/>
  <c r="R260" i="7" s="1"/>
  <c r="K260" i="7"/>
  <c r="M259" i="7"/>
  <c r="L259" i="7"/>
  <c r="K259" i="7"/>
  <c r="M258" i="7"/>
  <c r="L258" i="7"/>
  <c r="K258" i="7"/>
  <c r="M257" i="7"/>
  <c r="L257" i="7"/>
  <c r="K257" i="7"/>
  <c r="P256" i="7"/>
  <c r="S256" i="7" s="1"/>
  <c r="N256" i="7"/>
  <c r="Q256" i="7" s="1"/>
  <c r="M256" i="7"/>
  <c r="L256" i="7"/>
  <c r="O256" i="7" s="1"/>
  <c r="R256" i="7" s="1"/>
  <c r="K256" i="7"/>
  <c r="M255" i="7"/>
  <c r="L255" i="7"/>
  <c r="K255" i="7"/>
  <c r="M254" i="7"/>
  <c r="L254" i="7"/>
  <c r="K254" i="7"/>
  <c r="M253" i="7"/>
  <c r="L253" i="7"/>
  <c r="K253" i="7"/>
  <c r="R252" i="7"/>
  <c r="P252" i="7"/>
  <c r="S252" i="7" s="1"/>
  <c r="M252" i="7"/>
  <c r="L252" i="7"/>
  <c r="O252" i="7" s="1"/>
  <c r="K252" i="7"/>
  <c r="M251" i="7"/>
  <c r="L251" i="7"/>
  <c r="K251" i="7"/>
  <c r="M250" i="7"/>
  <c r="L250" i="7"/>
  <c r="K250" i="7"/>
  <c r="M249" i="7"/>
  <c r="P248" i="7" s="1"/>
  <c r="S248" i="7" s="1"/>
  <c r="L249" i="7"/>
  <c r="K249" i="7"/>
  <c r="N248" i="7" s="1"/>
  <c r="Q248" i="7" s="1"/>
  <c r="M248" i="7"/>
  <c r="L248" i="7"/>
  <c r="O248" i="7" s="1"/>
  <c r="R248" i="7" s="1"/>
  <c r="K248" i="7"/>
  <c r="M247" i="7"/>
  <c r="L247" i="7"/>
  <c r="K247" i="7"/>
  <c r="M246" i="7"/>
  <c r="L246" i="7"/>
  <c r="K246" i="7"/>
  <c r="M245" i="7"/>
  <c r="P244" i="7" s="1"/>
  <c r="S244" i="7" s="1"/>
  <c r="L245" i="7"/>
  <c r="K245" i="7"/>
  <c r="N244" i="7"/>
  <c r="Q244" i="7" s="1"/>
  <c r="M244" i="7"/>
  <c r="L244" i="7"/>
  <c r="O244" i="7" s="1"/>
  <c r="R244" i="7" s="1"/>
  <c r="K244" i="7"/>
  <c r="M243" i="7"/>
  <c r="L243" i="7"/>
  <c r="K243" i="7"/>
  <c r="M242" i="7"/>
  <c r="L242" i="7"/>
  <c r="K242" i="7"/>
  <c r="M241" i="7"/>
  <c r="L241" i="7"/>
  <c r="K241" i="7"/>
  <c r="M240" i="7"/>
  <c r="L240" i="7"/>
  <c r="K240" i="7"/>
  <c r="M239" i="7"/>
  <c r="L239" i="7"/>
  <c r="K239" i="7"/>
  <c r="M238" i="7"/>
  <c r="L238" i="7"/>
  <c r="K238" i="7"/>
  <c r="Q237" i="7"/>
  <c r="O237" i="7"/>
  <c r="R237" i="7" s="1"/>
  <c r="M237" i="7"/>
  <c r="P237" i="7" s="1"/>
  <c r="S237" i="7" s="1"/>
  <c r="L237" i="7"/>
  <c r="K237" i="7"/>
  <c r="N237" i="7" s="1"/>
  <c r="M236" i="7"/>
  <c r="L236" i="7"/>
  <c r="K236" i="7"/>
  <c r="M235" i="7"/>
  <c r="L235" i="7"/>
  <c r="K235" i="7"/>
  <c r="M234" i="7"/>
  <c r="L234" i="7"/>
  <c r="K234" i="7"/>
  <c r="S233" i="7"/>
  <c r="M233" i="7"/>
  <c r="P233" i="7" s="1"/>
  <c r="L233" i="7"/>
  <c r="K233" i="7"/>
  <c r="N233" i="7" s="1"/>
  <c r="Q233" i="7" s="1"/>
  <c r="M232" i="7"/>
  <c r="L232" i="7"/>
  <c r="K232" i="7"/>
  <c r="M231" i="7"/>
  <c r="L231" i="7"/>
  <c r="K231" i="7"/>
  <c r="M230" i="7"/>
  <c r="L230" i="7"/>
  <c r="O229" i="7" s="1"/>
  <c r="R229" i="7" s="1"/>
  <c r="K230" i="7"/>
  <c r="M229" i="7"/>
  <c r="P229" i="7" s="1"/>
  <c r="S229" i="7" s="1"/>
  <c r="L229" i="7"/>
  <c r="K229" i="7"/>
  <c r="N229" i="7" s="1"/>
  <c r="Q229" i="7" s="1"/>
  <c r="M228" i="7"/>
  <c r="L228" i="7"/>
  <c r="K228" i="7"/>
  <c r="M227" i="7"/>
  <c r="L227" i="7"/>
  <c r="K227" i="7"/>
  <c r="M226" i="7"/>
  <c r="L226" i="7"/>
  <c r="K226" i="7"/>
  <c r="O225" i="7"/>
  <c r="R225" i="7" s="1"/>
  <c r="M225" i="7"/>
  <c r="P225" i="7" s="1"/>
  <c r="S225" i="7" s="1"/>
  <c r="L225" i="7"/>
  <c r="K225" i="7"/>
  <c r="M224" i="7"/>
  <c r="L224" i="7"/>
  <c r="K224" i="7"/>
  <c r="M223" i="7"/>
  <c r="L223" i="7"/>
  <c r="K223" i="7"/>
  <c r="M222" i="7"/>
  <c r="L222" i="7"/>
  <c r="K222" i="7"/>
  <c r="O221" i="7"/>
  <c r="R221" i="7" s="1"/>
  <c r="M221" i="7"/>
  <c r="P221" i="7" s="1"/>
  <c r="S221" i="7" s="1"/>
  <c r="L221" i="7"/>
  <c r="K221" i="7"/>
  <c r="N221" i="7" s="1"/>
  <c r="Q221" i="7" s="1"/>
  <c r="M220" i="7"/>
  <c r="L220" i="7"/>
  <c r="K220" i="7"/>
  <c r="M219" i="7"/>
  <c r="L219" i="7"/>
  <c r="K219" i="7"/>
  <c r="M218" i="7"/>
  <c r="L218" i="7"/>
  <c r="O217" i="7" s="1"/>
  <c r="R217" i="7" s="1"/>
  <c r="K218" i="7"/>
  <c r="M217" i="7"/>
  <c r="P217" i="7" s="1"/>
  <c r="S217" i="7" s="1"/>
  <c r="L217" i="7"/>
  <c r="K217" i="7"/>
  <c r="N217" i="7" s="1"/>
  <c r="Q217" i="7" s="1"/>
  <c r="M216" i="7"/>
  <c r="L216" i="7"/>
  <c r="K216" i="7"/>
  <c r="M215" i="7"/>
  <c r="L215" i="7"/>
  <c r="K215" i="7"/>
  <c r="M214" i="7"/>
  <c r="L214" i="7"/>
  <c r="O213" i="7" s="1"/>
  <c r="R213" i="7" s="1"/>
  <c r="K214" i="7"/>
  <c r="M213" i="7"/>
  <c r="P213" i="7" s="1"/>
  <c r="S213" i="7" s="1"/>
  <c r="L213" i="7"/>
  <c r="K213" i="7"/>
  <c r="N213" i="7" s="1"/>
  <c r="Q213" i="7" s="1"/>
  <c r="M212" i="7"/>
  <c r="L212" i="7"/>
  <c r="K212" i="7"/>
  <c r="M211" i="7"/>
  <c r="L211" i="7"/>
  <c r="K211" i="7"/>
  <c r="M210" i="7"/>
  <c r="L210" i="7"/>
  <c r="K210" i="7"/>
  <c r="O209" i="7"/>
  <c r="R209" i="7" s="1"/>
  <c r="M209" i="7"/>
  <c r="P209" i="7" s="1"/>
  <c r="S209" i="7" s="1"/>
  <c r="L209" i="7"/>
  <c r="K209" i="7"/>
  <c r="M208" i="7"/>
  <c r="L208" i="7"/>
  <c r="K208" i="7"/>
  <c r="M207" i="7"/>
  <c r="L207" i="7"/>
  <c r="K207" i="7"/>
  <c r="M206" i="7"/>
  <c r="L206" i="7"/>
  <c r="K206" i="7"/>
  <c r="M205" i="7"/>
  <c r="L205" i="7"/>
  <c r="K205" i="7"/>
  <c r="M204" i="7"/>
  <c r="L204" i="7"/>
  <c r="K204" i="7"/>
  <c r="M203" i="7"/>
  <c r="L203" i="7"/>
  <c r="K203" i="7"/>
  <c r="N202" i="7" s="1"/>
  <c r="Q202" i="7" s="1"/>
  <c r="R202" i="7"/>
  <c r="P202" i="7"/>
  <c r="S202" i="7" s="1"/>
  <c r="M202" i="7"/>
  <c r="L202" i="7"/>
  <c r="O202" i="7" s="1"/>
  <c r="K202" i="7"/>
  <c r="M201" i="7"/>
  <c r="L201" i="7"/>
  <c r="K201" i="7"/>
  <c r="M200" i="7"/>
  <c r="L200" i="7"/>
  <c r="K200" i="7"/>
  <c r="M199" i="7"/>
  <c r="L199" i="7"/>
  <c r="K199" i="7"/>
  <c r="N198" i="7" s="1"/>
  <c r="Q198" i="7" s="1"/>
  <c r="M198" i="7"/>
  <c r="L198" i="7"/>
  <c r="O198" i="7" s="1"/>
  <c r="R198" i="7" s="1"/>
  <c r="K198" i="7"/>
  <c r="M197" i="7"/>
  <c r="L197" i="7"/>
  <c r="K197" i="7"/>
  <c r="M196" i="7"/>
  <c r="L196" i="7"/>
  <c r="K196" i="7"/>
  <c r="M195" i="7"/>
  <c r="P194" i="7" s="1"/>
  <c r="S194" i="7" s="1"/>
  <c r="L195" i="7"/>
  <c r="K195" i="7"/>
  <c r="N194" i="7"/>
  <c r="Q194" i="7" s="1"/>
  <c r="M194" i="7"/>
  <c r="L194" i="7"/>
  <c r="O194" i="7" s="1"/>
  <c r="R194" i="7" s="1"/>
  <c r="K194" i="7"/>
  <c r="M193" i="7"/>
  <c r="L193" i="7"/>
  <c r="K193" i="7"/>
  <c r="M192" i="7"/>
  <c r="L192" i="7"/>
  <c r="K192" i="7"/>
  <c r="M191" i="7"/>
  <c r="L191" i="7"/>
  <c r="K191" i="7"/>
  <c r="P190" i="7"/>
  <c r="S190" i="7" s="1"/>
  <c r="N190" i="7"/>
  <c r="Q190" i="7" s="1"/>
  <c r="M190" i="7"/>
  <c r="L190" i="7"/>
  <c r="O190" i="7" s="1"/>
  <c r="R190" i="7" s="1"/>
  <c r="K190" i="7"/>
  <c r="M189" i="7"/>
  <c r="L189" i="7"/>
  <c r="K189" i="7"/>
  <c r="M188" i="7"/>
  <c r="L188" i="7"/>
  <c r="K188" i="7"/>
  <c r="M187" i="7"/>
  <c r="L187" i="7"/>
  <c r="K187" i="7"/>
  <c r="P186" i="7"/>
  <c r="S186" i="7" s="1"/>
  <c r="M186" i="7"/>
  <c r="L186" i="7"/>
  <c r="O186" i="7" s="1"/>
  <c r="R186" i="7" s="1"/>
  <c r="K186" i="7"/>
  <c r="M185" i="7"/>
  <c r="L185" i="7"/>
  <c r="K185" i="7"/>
  <c r="M184" i="7"/>
  <c r="L184" i="7"/>
  <c r="K184" i="7"/>
  <c r="M183" i="7"/>
  <c r="P182" i="7" s="1"/>
  <c r="S182" i="7" s="1"/>
  <c r="L183" i="7"/>
  <c r="K183" i="7"/>
  <c r="N182" i="7" s="1"/>
  <c r="Q182" i="7" s="1"/>
  <c r="M182" i="7"/>
  <c r="L182" i="7"/>
  <c r="O182" i="7" s="1"/>
  <c r="R182" i="7" s="1"/>
  <c r="K182" i="7"/>
  <c r="M181" i="7"/>
  <c r="L181" i="7"/>
  <c r="K181" i="7"/>
  <c r="M180" i="7"/>
  <c r="L180" i="7"/>
  <c r="K180" i="7"/>
  <c r="M179" i="7"/>
  <c r="P178" i="7" s="1"/>
  <c r="S178" i="7" s="1"/>
  <c r="L179" i="7"/>
  <c r="K179" i="7"/>
  <c r="N178" i="7"/>
  <c r="Q178" i="7" s="1"/>
  <c r="M178" i="7"/>
  <c r="L178" i="7"/>
  <c r="O178" i="7" s="1"/>
  <c r="R178" i="7" s="1"/>
  <c r="K178" i="7"/>
  <c r="M177" i="7"/>
  <c r="L177" i="7"/>
  <c r="K177" i="7"/>
  <c r="M176" i="7"/>
  <c r="L176" i="7"/>
  <c r="K176" i="7"/>
  <c r="M175" i="7"/>
  <c r="L175" i="7"/>
  <c r="K175" i="7"/>
  <c r="P174" i="7"/>
  <c r="S174" i="7" s="1"/>
  <c r="N174" i="7"/>
  <c r="Q174" i="7" s="1"/>
  <c r="M174" i="7"/>
  <c r="L174" i="7"/>
  <c r="O174" i="7" s="1"/>
  <c r="R174" i="7" s="1"/>
  <c r="K174" i="7"/>
  <c r="M173" i="7"/>
  <c r="L173" i="7"/>
  <c r="K173" i="7"/>
  <c r="M172" i="7"/>
  <c r="L172" i="7"/>
  <c r="K172" i="7"/>
  <c r="M171" i="7"/>
  <c r="L171" i="7"/>
  <c r="K171" i="7"/>
  <c r="M170" i="7"/>
  <c r="L170" i="7"/>
  <c r="K170" i="7"/>
  <c r="M169" i="7"/>
  <c r="L169" i="7"/>
  <c r="K169" i="7"/>
  <c r="M168" i="7"/>
  <c r="L168" i="7"/>
  <c r="K168" i="7"/>
  <c r="M167" i="7"/>
  <c r="P167" i="7" s="1"/>
  <c r="S167" i="7" s="1"/>
  <c r="L167" i="7"/>
  <c r="O167" i="7" s="1"/>
  <c r="R167" i="7" s="1"/>
  <c r="K167" i="7"/>
  <c r="N167" i="7" s="1"/>
  <c r="Q167" i="7" s="1"/>
  <c r="M166" i="7"/>
  <c r="L166" i="7"/>
  <c r="K166" i="7"/>
  <c r="M165" i="7"/>
  <c r="L165" i="7"/>
  <c r="K165" i="7"/>
  <c r="M164" i="7"/>
  <c r="L164" i="7"/>
  <c r="O163" i="7" s="1"/>
  <c r="R163" i="7" s="1"/>
  <c r="K164" i="7"/>
  <c r="M163" i="7"/>
  <c r="P163" i="7" s="1"/>
  <c r="S163" i="7" s="1"/>
  <c r="L163" i="7"/>
  <c r="K163" i="7"/>
  <c r="N163" i="7" s="1"/>
  <c r="Q163" i="7" s="1"/>
  <c r="M162" i="7"/>
  <c r="L162" i="7"/>
  <c r="K162" i="7"/>
  <c r="M161" i="7"/>
  <c r="L161" i="7"/>
  <c r="K161" i="7"/>
  <c r="M160" i="7"/>
  <c r="L160" i="7"/>
  <c r="K160" i="7"/>
  <c r="O159" i="7"/>
  <c r="R159" i="7" s="1"/>
  <c r="M159" i="7"/>
  <c r="P159" i="7" s="1"/>
  <c r="S159" i="7" s="1"/>
  <c r="L159" i="7"/>
  <c r="K159" i="7"/>
  <c r="M158" i="7"/>
  <c r="L158" i="7"/>
  <c r="K158" i="7"/>
  <c r="M157" i="7"/>
  <c r="L157" i="7"/>
  <c r="K157" i="7"/>
  <c r="M156" i="7"/>
  <c r="L156" i="7"/>
  <c r="K156" i="7"/>
  <c r="O155" i="7"/>
  <c r="R155" i="7" s="1"/>
  <c r="M155" i="7"/>
  <c r="P155" i="7" s="1"/>
  <c r="S155" i="7" s="1"/>
  <c r="L155" i="7"/>
  <c r="K155" i="7"/>
  <c r="N155" i="7" s="1"/>
  <c r="Q155" i="7" s="1"/>
  <c r="M154" i="7"/>
  <c r="L154" i="7"/>
  <c r="K154" i="7"/>
  <c r="M153" i="7"/>
  <c r="L153" i="7"/>
  <c r="K153" i="7"/>
  <c r="M152" i="7"/>
  <c r="L152" i="7"/>
  <c r="K152" i="7"/>
  <c r="M151" i="7"/>
  <c r="P151" i="7" s="1"/>
  <c r="S151" i="7" s="1"/>
  <c r="L151" i="7"/>
  <c r="K151" i="7"/>
  <c r="N151" i="7" s="1"/>
  <c r="Q151" i="7" s="1"/>
  <c r="M150" i="7"/>
  <c r="L150" i="7"/>
  <c r="K150" i="7"/>
  <c r="M149" i="7"/>
  <c r="L149" i="7"/>
  <c r="K149" i="7"/>
  <c r="M148" i="7"/>
  <c r="L148" i="7"/>
  <c r="O147" i="7" s="1"/>
  <c r="R147" i="7" s="1"/>
  <c r="K148" i="7"/>
  <c r="M147" i="7"/>
  <c r="P147" i="7" s="1"/>
  <c r="S147" i="7" s="1"/>
  <c r="L147" i="7"/>
  <c r="K147" i="7"/>
  <c r="N147" i="7" s="1"/>
  <c r="Q147" i="7" s="1"/>
  <c r="M146" i="7"/>
  <c r="L146" i="7"/>
  <c r="K146" i="7"/>
  <c r="M145" i="7"/>
  <c r="L145" i="7"/>
  <c r="K145" i="7"/>
  <c r="M144" i="7"/>
  <c r="L144" i="7"/>
  <c r="K144" i="7"/>
  <c r="O143" i="7"/>
  <c r="R143" i="7" s="1"/>
  <c r="M143" i="7"/>
  <c r="P143" i="7" s="1"/>
  <c r="S143" i="7" s="1"/>
  <c r="L143" i="7"/>
  <c r="K143" i="7"/>
  <c r="M142" i="7"/>
  <c r="L142" i="7"/>
  <c r="K142" i="7"/>
  <c r="M141" i="7"/>
  <c r="L141" i="7"/>
  <c r="K141" i="7"/>
  <c r="M140" i="7"/>
  <c r="L140" i="7"/>
  <c r="K140" i="7"/>
  <c r="Q139" i="7"/>
  <c r="O139" i="7"/>
  <c r="R139" i="7" s="1"/>
  <c r="M139" i="7"/>
  <c r="P139" i="7" s="1"/>
  <c r="S139" i="7" s="1"/>
  <c r="L139" i="7"/>
  <c r="K139" i="7"/>
  <c r="N139" i="7" s="1"/>
  <c r="M138" i="7"/>
  <c r="L138" i="7"/>
  <c r="K138" i="7"/>
  <c r="M137" i="7"/>
  <c r="L137" i="7"/>
  <c r="K137" i="7"/>
  <c r="M136" i="7"/>
  <c r="L136" i="7"/>
  <c r="K136" i="7"/>
  <c r="M135" i="7"/>
  <c r="L135" i="7"/>
  <c r="K135" i="7"/>
  <c r="M134" i="7"/>
  <c r="L134" i="7"/>
  <c r="K134" i="7"/>
  <c r="O133" i="7"/>
  <c r="R133" i="7" s="1"/>
  <c r="M133" i="7"/>
  <c r="P133" i="7" s="1"/>
  <c r="S133" i="7" s="1"/>
  <c r="L133" i="7"/>
  <c r="K133" i="7"/>
  <c r="N133" i="7" s="1"/>
  <c r="Q133" i="7" s="1"/>
  <c r="M132" i="7"/>
  <c r="L132" i="7"/>
  <c r="K132" i="7"/>
  <c r="M131" i="7"/>
  <c r="L131" i="7"/>
  <c r="K131" i="7"/>
  <c r="M130" i="7"/>
  <c r="L130" i="7"/>
  <c r="K130" i="7"/>
  <c r="M129" i="7"/>
  <c r="P129" i="7" s="1"/>
  <c r="S129" i="7" s="1"/>
  <c r="L129" i="7"/>
  <c r="K129" i="7"/>
  <c r="N129" i="7" s="1"/>
  <c r="Q129" i="7" s="1"/>
  <c r="M128" i="7"/>
  <c r="L128" i="7"/>
  <c r="K128" i="7"/>
  <c r="M127" i="7"/>
  <c r="L127" i="7"/>
  <c r="K127" i="7"/>
  <c r="M126" i="7"/>
  <c r="L126" i="7"/>
  <c r="O125" i="7" s="1"/>
  <c r="R125" i="7" s="1"/>
  <c r="K126" i="7"/>
  <c r="M125" i="7"/>
  <c r="P125" i="7" s="1"/>
  <c r="S125" i="7" s="1"/>
  <c r="L125" i="7"/>
  <c r="K125" i="7"/>
  <c r="N125" i="7" s="1"/>
  <c r="Q125" i="7" s="1"/>
  <c r="M124" i="7"/>
  <c r="L124" i="7"/>
  <c r="K124" i="7"/>
  <c r="M123" i="7"/>
  <c r="L123" i="7"/>
  <c r="K123" i="7"/>
  <c r="M122" i="7"/>
  <c r="L122" i="7"/>
  <c r="K122" i="7"/>
  <c r="O121" i="7"/>
  <c r="R121" i="7" s="1"/>
  <c r="M121" i="7"/>
  <c r="P121" i="7" s="1"/>
  <c r="S121" i="7" s="1"/>
  <c r="L121" i="7"/>
  <c r="K121" i="7"/>
  <c r="M120" i="7"/>
  <c r="L120" i="7"/>
  <c r="K120" i="7"/>
  <c r="M119" i="7"/>
  <c r="L119" i="7"/>
  <c r="K119" i="7"/>
  <c r="M118" i="7"/>
  <c r="L118" i="7"/>
  <c r="K118" i="7"/>
  <c r="Q117" i="7"/>
  <c r="O117" i="7"/>
  <c r="R117" i="7" s="1"/>
  <c r="M117" i="7"/>
  <c r="P117" i="7" s="1"/>
  <c r="S117" i="7" s="1"/>
  <c r="L117" i="7"/>
  <c r="K117" i="7"/>
  <c r="N117" i="7" s="1"/>
  <c r="M116" i="7"/>
  <c r="L116" i="7"/>
  <c r="K116" i="7"/>
  <c r="M115" i="7"/>
  <c r="L115" i="7"/>
  <c r="K115" i="7"/>
  <c r="M114" i="7"/>
  <c r="L114" i="7"/>
  <c r="K114" i="7"/>
  <c r="M113" i="7"/>
  <c r="P113" i="7" s="1"/>
  <c r="S113" i="7" s="1"/>
  <c r="L113" i="7"/>
  <c r="O113" i="7" s="1"/>
  <c r="R113" i="7" s="1"/>
  <c r="K113" i="7"/>
  <c r="N113" i="7" s="1"/>
  <c r="Q113" i="7" s="1"/>
  <c r="M112" i="7"/>
  <c r="L112" i="7"/>
  <c r="K112" i="7"/>
  <c r="M111" i="7"/>
  <c r="L111" i="7"/>
  <c r="K111" i="7"/>
  <c r="M110" i="7"/>
  <c r="L110" i="7"/>
  <c r="O109" i="7" s="1"/>
  <c r="R109" i="7" s="1"/>
  <c r="K110" i="7"/>
  <c r="M109" i="7"/>
  <c r="P109" i="7" s="1"/>
  <c r="S109" i="7" s="1"/>
  <c r="L109" i="7"/>
  <c r="K109" i="7"/>
  <c r="N109" i="7" s="1"/>
  <c r="Q109" i="7" s="1"/>
  <c r="M108" i="7"/>
  <c r="L108" i="7"/>
  <c r="K108" i="7"/>
  <c r="M107" i="7"/>
  <c r="L107" i="7"/>
  <c r="K107" i="7"/>
  <c r="M106" i="7"/>
  <c r="L106" i="7"/>
  <c r="K106" i="7"/>
  <c r="O105" i="7"/>
  <c r="R105" i="7" s="1"/>
  <c r="M105" i="7"/>
  <c r="P105" i="7" s="1"/>
  <c r="S105" i="7" s="1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O97" i="7" s="1"/>
  <c r="R97" i="7" s="1"/>
  <c r="K98" i="7"/>
  <c r="M97" i="7"/>
  <c r="P97" i="7" s="1"/>
  <c r="S97" i="7" s="1"/>
  <c r="L97" i="7"/>
  <c r="K97" i="7"/>
  <c r="N97" i="7" s="1"/>
  <c r="Q97" i="7" s="1"/>
  <c r="M96" i="7"/>
  <c r="L96" i="7"/>
  <c r="K96" i="7"/>
  <c r="M95" i="7"/>
  <c r="L95" i="7"/>
  <c r="K95" i="7"/>
  <c r="M94" i="7"/>
  <c r="L94" i="7"/>
  <c r="K94" i="7"/>
  <c r="O93" i="7"/>
  <c r="R93" i="7" s="1"/>
  <c r="M93" i="7"/>
  <c r="P93" i="7" s="1"/>
  <c r="S93" i="7" s="1"/>
  <c r="L93" i="7"/>
  <c r="K93" i="7"/>
  <c r="M92" i="7"/>
  <c r="L92" i="7"/>
  <c r="K92" i="7"/>
  <c r="M91" i="7"/>
  <c r="L91" i="7"/>
  <c r="K91" i="7"/>
  <c r="M90" i="7"/>
  <c r="L90" i="7"/>
  <c r="K90" i="7"/>
  <c r="O89" i="7"/>
  <c r="R89" i="7" s="1"/>
  <c r="M89" i="7"/>
  <c r="P89" i="7" s="1"/>
  <c r="S89" i="7" s="1"/>
  <c r="L89" i="7"/>
  <c r="K89" i="7"/>
  <c r="N89" i="7" s="1"/>
  <c r="Q89" i="7" s="1"/>
  <c r="M88" i="7"/>
  <c r="L88" i="7"/>
  <c r="K88" i="7"/>
  <c r="M87" i="7"/>
  <c r="L87" i="7"/>
  <c r="K87" i="7"/>
  <c r="M86" i="7"/>
  <c r="L86" i="7"/>
  <c r="K86" i="7"/>
  <c r="M85" i="7"/>
  <c r="P85" i="7" s="1"/>
  <c r="S85" i="7" s="1"/>
  <c r="L85" i="7"/>
  <c r="K85" i="7"/>
  <c r="N85" i="7" s="1"/>
  <c r="Q85" i="7" s="1"/>
  <c r="M84" i="7"/>
  <c r="L84" i="7"/>
  <c r="K84" i="7"/>
  <c r="M83" i="7"/>
  <c r="L83" i="7"/>
  <c r="K83" i="7"/>
  <c r="M82" i="7"/>
  <c r="L82" i="7"/>
  <c r="O81" i="7" s="1"/>
  <c r="R81" i="7" s="1"/>
  <c r="K82" i="7"/>
  <c r="M81" i="7"/>
  <c r="P81" i="7" s="1"/>
  <c r="S81" i="7" s="1"/>
  <c r="L81" i="7"/>
  <c r="K81" i="7"/>
  <c r="N81" i="7" s="1"/>
  <c r="Q81" i="7" s="1"/>
  <c r="M80" i="7"/>
  <c r="L80" i="7"/>
  <c r="K80" i="7"/>
  <c r="M79" i="7"/>
  <c r="L79" i="7"/>
  <c r="K79" i="7"/>
  <c r="M78" i="7"/>
  <c r="L78" i="7"/>
  <c r="K78" i="7"/>
  <c r="O77" i="7"/>
  <c r="R77" i="7" s="1"/>
  <c r="M77" i="7"/>
  <c r="P77" i="7" s="1"/>
  <c r="S77" i="7" s="1"/>
  <c r="L77" i="7"/>
  <c r="K77" i="7"/>
  <c r="N77" i="7" s="1"/>
  <c r="Q77" i="7" s="1"/>
  <c r="M76" i="7"/>
  <c r="L76" i="7"/>
  <c r="K76" i="7"/>
  <c r="M75" i="7"/>
  <c r="L75" i="7"/>
  <c r="K75" i="7"/>
  <c r="M74" i="7"/>
  <c r="L74" i="7"/>
  <c r="K74" i="7"/>
  <c r="O73" i="7"/>
  <c r="R73" i="7" s="1"/>
  <c r="M73" i="7"/>
  <c r="P73" i="7" s="1"/>
  <c r="S73" i="7" s="1"/>
  <c r="L73" i="7"/>
  <c r="K73" i="7"/>
  <c r="N73" i="7" s="1"/>
  <c r="Q73" i="7" s="1"/>
  <c r="M72" i="7"/>
  <c r="L72" i="7"/>
  <c r="K72" i="7"/>
  <c r="M71" i="7"/>
  <c r="L71" i="7"/>
  <c r="K71" i="7"/>
  <c r="M70" i="7"/>
  <c r="L70" i="7"/>
  <c r="K70" i="7"/>
  <c r="S69" i="7"/>
  <c r="M69" i="7"/>
  <c r="P69" i="7" s="1"/>
  <c r="L69" i="7"/>
  <c r="K69" i="7"/>
  <c r="N69" i="7" s="1"/>
  <c r="Q69" i="7" s="1"/>
  <c r="M68" i="7"/>
  <c r="L68" i="7"/>
  <c r="K68" i="7"/>
  <c r="M67" i="7"/>
  <c r="L67" i="7"/>
  <c r="K67" i="7"/>
  <c r="M66" i="7"/>
  <c r="L66" i="7"/>
  <c r="O65" i="7" s="1"/>
  <c r="R65" i="7" s="1"/>
  <c r="K66" i="7"/>
  <c r="M65" i="7"/>
  <c r="P65" i="7" s="1"/>
  <c r="S65" i="7" s="1"/>
  <c r="L65" i="7"/>
  <c r="K65" i="7"/>
  <c r="N65" i="7" s="1"/>
  <c r="Q65" i="7" s="1"/>
  <c r="M64" i="7"/>
  <c r="L64" i="7"/>
  <c r="K64" i="7"/>
  <c r="M63" i="7"/>
  <c r="L63" i="7"/>
  <c r="K63" i="7"/>
  <c r="M62" i="7"/>
  <c r="L62" i="7"/>
  <c r="K62" i="7"/>
  <c r="O61" i="7"/>
  <c r="R61" i="7" s="1"/>
  <c r="M61" i="7"/>
  <c r="P61" i="7" s="1"/>
  <c r="S61" i="7" s="1"/>
  <c r="L61" i="7"/>
  <c r="K61" i="7"/>
  <c r="M60" i="7"/>
  <c r="L60" i="7"/>
  <c r="K60" i="7"/>
  <c r="M59" i="7"/>
  <c r="L59" i="7"/>
  <c r="K59" i="7"/>
  <c r="M58" i="7"/>
  <c r="L58" i="7"/>
  <c r="K58" i="7"/>
  <c r="O57" i="7"/>
  <c r="R57" i="7" s="1"/>
  <c r="M57" i="7"/>
  <c r="L57" i="7"/>
  <c r="K57" i="7"/>
  <c r="N57" i="7" s="1"/>
  <c r="Q57" i="7" s="1"/>
  <c r="M56" i="7"/>
  <c r="L56" i="7"/>
  <c r="O53" i="7" s="1"/>
  <c r="R53" i="7" s="1"/>
  <c r="K56" i="7"/>
  <c r="M55" i="7"/>
  <c r="L55" i="7"/>
  <c r="K55" i="7"/>
  <c r="M54" i="7"/>
  <c r="P53" i="7" s="1"/>
  <c r="L54" i="7"/>
  <c r="K54" i="7"/>
  <c r="S53" i="7"/>
  <c r="M53" i="7"/>
  <c r="L53" i="7"/>
  <c r="K53" i="7"/>
  <c r="N53" i="7" s="1"/>
  <c r="Q53" i="7" s="1"/>
  <c r="M52" i="7"/>
  <c r="L52" i="7"/>
  <c r="K52" i="7"/>
  <c r="M51" i="7"/>
  <c r="L51" i="7"/>
  <c r="K51" i="7"/>
  <c r="M50" i="7"/>
  <c r="L50" i="7"/>
  <c r="O49" i="7" s="1"/>
  <c r="R49" i="7" s="1"/>
  <c r="K50" i="7"/>
  <c r="M49" i="7"/>
  <c r="P49" i="7" s="1"/>
  <c r="S49" i="7" s="1"/>
  <c r="L49" i="7"/>
  <c r="K49" i="7"/>
  <c r="N49" i="7" s="1"/>
  <c r="Q49" i="7" s="1"/>
  <c r="M48" i="7"/>
  <c r="L48" i="7"/>
  <c r="K48" i="7"/>
  <c r="M47" i="7"/>
  <c r="L47" i="7"/>
  <c r="K47" i="7"/>
  <c r="M46" i="7"/>
  <c r="L46" i="7"/>
  <c r="K46" i="7"/>
  <c r="O45" i="7"/>
  <c r="R45" i="7" s="1"/>
  <c r="M45" i="7"/>
  <c r="P45" i="7" s="1"/>
  <c r="S45" i="7" s="1"/>
  <c r="L45" i="7"/>
  <c r="K45" i="7"/>
  <c r="N45" i="7" s="1"/>
  <c r="Q45" i="7" s="1"/>
  <c r="M44" i="7"/>
  <c r="L44" i="7"/>
  <c r="K44" i="7"/>
  <c r="M43" i="7"/>
  <c r="L43" i="7"/>
  <c r="K43" i="7"/>
  <c r="M42" i="7"/>
  <c r="L42" i="7"/>
  <c r="K42" i="7"/>
  <c r="N41" i="7" s="1"/>
  <c r="Q41" i="7" s="1"/>
  <c r="O41" i="7"/>
  <c r="R41" i="7" s="1"/>
  <c r="M41" i="7"/>
  <c r="P41" i="7" s="1"/>
  <c r="S41" i="7" s="1"/>
  <c r="L41" i="7"/>
  <c r="K41" i="7"/>
  <c r="M40" i="7"/>
  <c r="L40" i="7"/>
  <c r="O37" i="7" s="1"/>
  <c r="R37" i="7" s="1"/>
  <c r="K40" i="7"/>
  <c r="M39" i="7"/>
  <c r="L39" i="7"/>
  <c r="K39" i="7"/>
  <c r="M38" i="7"/>
  <c r="P37" i="7" s="1"/>
  <c r="L38" i="7"/>
  <c r="K38" i="7"/>
  <c r="S37" i="7"/>
  <c r="M37" i="7"/>
  <c r="L37" i="7"/>
  <c r="K37" i="7"/>
  <c r="N37" i="7" s="1"/>
  <c r="Q37" i="7" s="1"/>
  <c r="M36" i="7"/>
  <c r="L36" i="7"/>
  <c r="K36" i="7"/>
  <c r="M35" i="7"/>
  <c r="L35" i="7"/>
  <c r="K35" i="7"/>
  <c r="M34" i="7"/>
  <c r="L34" i="7"/>
  <c r="O31" i="7" s="1"/>
  <c r="R31" i="7" s="1"/>
  <c r="K34" i="7"/>
  <c r="M33" i="7"/>
  <c r="L33" i="7"/>
  <c r="K33" i="7"/>
  <c r="M32" i="7"/>
  <c r="P31" i="7" s="1"/>
  <c r="S31" i="7" s="1"/>
  <c r="L32" i="7"/>
  <c r="K32" i="7"/>
  <c r="M31" i="7"/>
  <c r="L31" i="7"/>
  <c r="K31" i="7"/>
  <c r="N31" i="7" s="1"/>
  <c r="Q31" i="7" s="1"/>
  <c r="M30" i="7"/>
  <c r="L30" i="7"/>
  <c r="K30" i="7"/>
  <c r="M29" i="7"/>
  <c r="L29" i="7"/>
  <c r="K29" i="7"/>
  <c r="M28" i="7"/>
  <c r="L28" i="7"/>
  <c r="O27" i="7" s="1"/>
  <c r="R27" i="7" s="1"/>
  <c r="K28" i="7"/>
  <c r="M27" i="7"/>
  <c r="P27" i="7" s="1"/>
  <c r="S27" i="7" s="1"/>
  <c r="L27" i="7"/>
  <c r="K27" i="7"/>
  <c r="N27" i="7" s="1"/>
  <c r="Q27" i="7" s="1"/>
  <c r="M26" i="7"/>
  <c r="L26" i="7"/>
  <c r="K26" i="7"/>
  <c r="M25" i="7"/>
  <c r="L25" i="7"/>
  <c r="K25" i="7"/>
  <c r="M24" i="7"/>
  <c r="L24" i="7"/>
  <c r="K24" i="7"/>
  <c r="O23" i="7"/>
  <c r="R23" i="7" s="1"/>
  <c r="M23" i="7"/>
  <c r="P23" i="7" s="1"/>
  <c r="S23" i="7" s="1"/>
  <c r="L23" i="7"/>
  <c r="K23" i="7"/>
  <c r="M22" i="7"/>
  <c r="L22" i="7"/>
  <c r="K22" i="7"/>
  <c r="M21" i="7"/>
  <c r="L21" i="7"/>
  <c r="K21" i="7"/>
  <c r="M20" i="7"/>
  <c r="L20" i="7"/>
  <c r="K20" i="7"/>
  <c r="O19" i="7"/>
  <c r="R19" i="7" s="1"/>
  <c r="M19" i="7"/>
  <c r="P19" i="7" s="1"/>
  <c r="S19" i="7" s="1"/>
  <c r="L19" i="7"/>
  <c r="K19" i="7"/>
  <c r="N19" i="7" s="1"/>
  <c r="Q19" i="7" s="1"/>
  <c r="M18" i="7"/>
  <c r="L18" i="7"/>
  <c r="O15" i="7" s="1"/>
  <c r="R15" i="7" s="1"/>
  <c r="K18" i="7"/>
  <c r="M17" i="7"/>
  <c r="L17" i="7"/>
  <c r="K17" i="7"/>
  <c r="M16" i="7"/>
  <c r="P15" i="7" s="1"/>
  <c r="L16" i="7"/>
  <c r="K16" i="7"/>
  <c r="S15" i="7"/>
  <c r="M15" i="7"/>
  <c r="L15" i="7"/>
  <c r="K15" i="7"/>
  <c r="N15" i="7" s="1"/>
  <c r="Q15" i="7" s="1"/>
  <c r="M14" i="7"/>
  <c r="L14" i="7"/>
  <c r="K14" i="7"/>
  <c r="M13" i="7"/>
  <c r="L13" i="7"/>
  <c r="K13" i="7"/>
  <c r="M12" i="7"/>
  <c r="L12" i="7"/>
  <c r="O11" i="7" s="1"/>
  <c r="R11" i="7" s="1"/>
  <c r="K12" i="7"/>
  <c r="M11" i="7"/>
  <c r="P11" i="7" s="1"/>
  <c r="S11" i="7" s="1"/>
  <c r="L11" i="7"/>
  <c r="K11" i="7"/>
  <c r="N11" i="7" s="1"/>
  <c r="Q11" i="7" s="1"/>
  <c r="M10" i="7"/>
  <c r="L10" i="7"/>
  <c r="K10" i="7"/>
  <c r="M9" i="7"/>
  <c r="L9" i="7"/>
  <c r="K9" i="7"/>
  <c r="M8" i="7"/>
  <c r="L8" i="7"/>
  <c r="K8" i="7"/>
  <c r="O7" i="7"/>
  <c r="R7" i="7" s="1"/>
  <c r="M7" i="7"/>
  <c r="P7" i="7" s="1"/>
  <c r="S7" i="7" s="1"/>
  <c r="L7" i="7"/>
  <c r="K7" i="7"/>
  <c r="M6" i="7"/>
  <c r="L6" i="7"/>
  <c r="K6" i="7"/>
  <c r="M5" i="7"/>
  <c r="L5" i="7"/>
  <c r="K5" i="7"/>
  <c r="M4" i="7"/>
  <c r="L4" i="7"/>
  <c r="K4" i="7"/>
  <c r="Q3" i="7"/>
  <c r="O3" i="7"/>
  <c r="R3" i="7" s="1"/>
  <c r="M3" i="7"/>
  <c r="P3" i="7" s="1"/>
  <c r="S3" i="7" s="1"/>
  <c r="L3" i="7"/>
  <c r="K3" i="7"/>
  <c r="N3" i="7" s="1"/>
  <c r="M382" i="6"/>
  <c r="L382" i="6"/>
  <c r="K382" i="6"/>
  <c r="M381" i="6"/>
  <c r="L381" i="6"/>
  <c r="K381" i="6"/>
  <c r="M380" i="6"/>
  <c r="L380" i="6"/>
  <c r="K380" i="6"/>
  <c r="M379" i="6"/>
  <c r="P376" i="6" s="1"/>
  <c r="S376" i="6" s="1"/>
  <c r="L379" i="6"/>
  <c r="K379" i="6"/>
  <c r="M378" i="6"/>
  <c r="L378" i="6"/>
  <c r="K378" i="6"/>
  <c r="M377" i="6"/>
  <c r="L377" i="6"/>
  <c r="K377" i="6"/>
  <c r="N376" i="6" s="1"/>
  <c r="Q376" i="6" s="1"/>
  <c r="M376" i="6"/>
  <c r="L376" i="6"/>
  <c r="O376" i="6" s="1"/>
  <c r="R376" i="6" s="1"/>
  <c r="K376" i="6"/>
  <c r="M375" i="6"/>
  <c r="L375" i="6"/>
  <c r="K375" i="6"/>
  <c r="M374" i="6"/>
  <c r="L374" i="6"/>
  <c r="K374" i="6"/>
  <c r="M373" i="6"/>
  <c r="P372" i="6" s="1"/>
  <c r="S372" i="6" s="1"/>
  <c r="L373" i="6"/>
  <c r="K373" i="6"/>
  <c r="N372" i="6"/>
  <c r="Q372" i="6" s="1"/>
  <c r="M372" i="6"/>
  <c r="L372" i="6"/>
  <c r="O372" i="6" s="1"/>
  <c r="R372" i="6" s="1"/>
  <c r="K372" i="6"/>
  <c r="M371" i="6"/>
  <c r="L371" i="6"/>
  <c r="K371" i="6"/>
  <c r="M370" i="6"/>
  <c r="L370" i="6"/>
  <c r="K370" i="6"/>
  <c r="M369" i="6"/>
  <c r="L369" i="6"/>
  <c r="K369" i="6"/>
  <c r="P368" i="6"/>
  <c r="S368" i="6" s="1"/>
  <c r="N368" i="6"/>
  <c r="Q368" i="6" s="1"/>
  <c r="M368" i="6"/>
  <c r="L368" i="6"/>
  <c r="O368" i="6" s="1"/>
  <c r="R368" i="6" s="1"/>
  <c r="K368" i="6"/>
  <c r="M367" i="6"/>
  <c r="L367" i="6"/>
  <c r="K367" i="6"/>
  <c r="N364" i="6" s="1"/>
  <c r="Q364" i="6" s="1"/>
  <c r="M366" i="6"/>
  <c r="L366" i="6"/>
  <c r="K366" i="6"/>
  <c r="M365" i="6"/>
  <c r="L365" i="6"/>
  <c r="K365" i="6"/>
  <c r="R364" i="6"/>
  <c r="P364" i="6"/>
  <c r="S364" i="6" s="1"/>
  <c r="M364" i="6"/>
  <c r="L364" i="6"/>
  <c r="O364" i="6" s="1"/>
  <c r="K364" i="6"/>
  <c r="M363" i="6"/>
  <c r="P360" i="6" s="1"/>
  <c r="S360" i="6" s="1"/>
  <c r="L363" i="6"/>
  <c r="K363" i="6"/>
  <c r="M362" i="6"/>
  <c r="L362" i="6"/>
  <c r="K362" i="6"/>
  <c r="M361" i="6"/>
  <c r="L361" i="6"/>
  <c r="K361" i="6"/>
  <c r="N360" i="6" s="1"/>
  <c r="Q360" i="6" s="1"/>
  <c r="M360" i="6"/>
  <c r="L360" i="6"/>
  <c r="O360" i="6" s="1"/>
  <c r="R360" i="6" s="1"/>
  <c r="K360" i="6"/>
  <c r="M359" i="6"/>
  <c r="L359" i="6"/>
  <c r="K359" i="6"/>
  <c r="M358" i="6"/>
  <c r="L358" i="6"/>
  <c r="K358" i="6"/>
  <c r="M357" i="6"/>
  <c r="P356" i="6" s="1"/>
  <c r="S356" i="6" s="1"/>
  <c r="L357" i="6"/>
  <c r="K357" i="6"/>
  <c r="N356" i="6"/>
  <c r="Q356" i="6" s="1"/>
  <c r="M356" i="6"/>
  <c r="L356" i="6"/>
  <c r="O356" i="6" s="1"/>
  <c r="R356" i="6" s="1"/>
  <c r="K356" i="6"/>
  <c r="M355" i="6"/>
  <c r="L355" i="6"/>
  <c r="K355" i="6"/>
  <c r="M354" i="6"/>
  <c r="L354" i="6"/>
  <c r="K354" i="6"/>
  <c r="M353" i="6"/>
  <c r="L353" i="6"/>
  <c r="K353" i="6"/>
  <c r="P352" i="6"/>
  <c r="S352" i="6" s="1"/>
  <c r="N352" i="6"/>
  <c r="Q352" i="6" s="1"/>
  <c r="M352" i="6"/>
  <c r="L352" i="6"/>
  <c r="O352" i="6" s="1"/>
  <c r="R352" i="6" s="1"/>
  <c r="K352" i="6"/>
  <c r="M351" i="6"/>
  <c r="L351" i="6"/>
  <c r="K351" i="6"/>
  <c r="M350" i="6"/>
  <c r="L350" i="6"/>
  <c r="K350" i="6"/>
  <c r="M349" i="6"/>
  <c r="L349" i="6"/>
  <c r="O348" i="6" s="1"/>
  <c r="K349" i="6"/>
  <c r="R348" i="6"/>
  <c r="P348" i="6"/>
  <c r="S348" i="6" s="1"/>
  <c r="M348" i="6"/>
  <c r="L348" i="6"/>
  <c r="K348" i="6"/>
  <c r="N348" i="6" s="1"/>
  <c r="Q348" i="6" s="1"/>
  <c r="M347" i="6"/>
  <c r="L347" i="6"/>
  <c r="K347" i="6"/>
  <c r="M346" i="6"/>
  <c r="L346" i="6"/>
  <c r="K346" i="6"/>
  <c r="M345" i="6"/>
  <c r="L345" i="6"/>
  <c r="K345" i="6"/>
  <c r="M344" i="6"/>
  <c r="L344" i="6"/>
  <c r="K344" i="6"/>
  <c r="M343" i="6"/>
  <c r="L343" i="6"/>
  <c r="K343" i="6"/>
  <c r="M342" i="6"/>
  <c r="L342" i="6"/>
  <c r="O341" i="6" s="1"/>
  <c r="R341" i="6" s="1"/>
  <c r="K342" i="6"/>
  <c r="M341" i="6"/>
  <c r="P341" i="6" s="1"/>
  <c r="S341" i="6" s="1"/>
  <c r="L341" i="6"/>
  <c r="K341" i="6"/>
  <c r="N341" i="6" s="1"/>
  <c r="Q341" i="6" s="1"/>
  <c r="M340" i="6"/>
  <c r="L340" i="6"/>
  <c r="K340" i="6"/>
  <c r="M339" i="6"/>
  <c r="L339" i="6"/>
  <c r="K339" i="6"/>
  <c r="M338" i="6"/>
  <c r="L338" i="6"/>
  <c r="K338" i="6"/>
  <c r="O337" i="6"/>
  <c r="R337" i="6" s="1"/>
  <c r="M337" i="6"/>
  <c r="P337" i="6" s="1"/>
  <c r="S337" i="6" s="1"/>
  <c r="L337" i="6"/>
  <c r="K337" i="6"/>
  <c r="M336" i="6"/>
  <c r="L336" i="6"/>
  <c r="K336" i="6"/>
  <c r="M335" i="6"/>
  <c r="L335" i="6"/>
  <c r="K335" i="6"/>
  <c r="N333" i="6" s="1"/>
  <c r="M334" i="6"/>
  <c r="L334" i="6"/>
  <c r="K334" i="6"/>
  <c r="Q333" i="6"/>
  <c r="O333" i="6"/>
  <c r="R333" i="6" s="1"/>
  <c r="M333" i="6"/>
  <c r="P333" i="6" s="1"/>
  <c r="S333" i="6" s="1"/>
  <c r="L333" i="6"/>
  <c r="K333" i="6"/>
  <c r="M332" i="6"/>
  <c r="L332" i="6"/>
  <c r="O329" i="6" s="1"/>
  <c r="R329" i="6" s="1"/>
  <c r="K332" i="6"/>
  <c r="M331" i="6"/>
  <c r="P329" i="6" s="1"/>
  <c r="S329" i="6" s="1"/>
  <c r="L331" i="6"/>
  <c r="K331" i="6"/>
  <c r="M330" i="6"/>
  <c r="L330" i="6"/>
  <c r="K330" i="6"/>
  <c r="M329" i="6"/>
  <c r="L329" i="6"/>
  <c r="K329" i="6"/>
  <c r="N329" i="6" s="1"/>
  <c r="Q329" i="6" s="1"/>
  <c r="M328" i="6"/>
  <c r="L328" i="6"/>
  <c r="K328" i="6"/>
  <c r="M327" i="6"/>
  <c r="L327" i="6"/>
  <c r="K327" i="6"/>
  <c r="M326" i="6"/>
  <c r="L326" i="6"/>
  <c r="O325" i="6" s="1"/>
  <c r="R325" i="6" s="1"/>
  <c r="K326" i="6"/>
  <c r="M325" i="6"/>
  <c r="P325" i="6" s="1"/>
  <c r="S325" i="6" s="1"/>
  <c r="L325" i="6"/>
  <c r="K325" i="6"/>
  <c r="N325" i="6" s="1"/>
  <c r="Q325" i="6" s="1"/>
  <c r="M324" i="6"/>
  <c r="L324" i="6"/>
  <c r="K324" i="6"/>
  <c r="M323" i="6"/>
  <c r="L323" i="6"/>
  <c r="K323" i="6"/>
  <c r="M322" i="6"/>
  <c r="L322" i="6"/>
  <c r="K322" i="6"/>
  <c r="O321" i="6"/>
  <c r="R321" i="6" s="1"/>
  <c r="M321" i="6"/>
  <c r="P321" i="6" s="1"/>
  <c r="S321" i="6" s="1"/>
  <c r="L321" i="6"/>
  <c r="K321" i="6"/>
  <c r="M320" i="6"/>
  <c r="L320" i="6"/>
  <c r="K320" i="6"/>
  <c r="M319" i="6"/>
  <c r="L319" i="6"/>
  <c r="K319" i="6"/>
  <c r="N317" i="6" s="1"/>
  <c r="Q317" i="6" s="1"/>
  <c r="M318" i="6"/>
  <c r="L318" i="6"/>
  <c r="K318" i="6"/>
  <c r="O317" i="6"/>
  <c r="R317" i="6" s="1"/>
  <c r="M317" i="6"/>
  <c r="P317" i="6" s="1"/>
  <c r="S317" i="6" s="1"/>
  <c r="L317" i="6"/>
  <c r="K317" i="6"/>
  <c r="M316" i="6"/>
  <c r="L316" i="6"/>
  <c r="O313" i="6" s="1"/>
  <c r="R313" i="6" s="1"/>
  <c r="K316" i="6"/>
  <c r="M315" i="6"/>
  <c r="P313" i="6" s="1"/>
  <c r="L315" i="6"/>
  <c r="K315" i="6"/>
  <c r="M314" i="6"/>
  <c r="L314" i="6"/>
  <c r="K314" i="6"/>
  <c r="S313" i="6"/>
  <c r="M313" i="6"/>
  <c r="L313" i="6"/>
  <c r="K313" i="6"/>
  <c r="N313" i="6" s="1"/>
  <c r="Q313" i="6" s="1"/>
  <c r="M312" i="6"/>
  <c r="L312" i="6"/>
  <c r="K312" i="6"/>
  <c r="M311" i="6"/>
  <c r="L311" i="6"/>
  <c r="K311" i="6"/>
  <c r="M310" i="6"/>
  <c r="L310" i="6"/>
  <c r="K310" i="6"/>
  <c r="M309" i="6"/>
  <c r="L309" i="6"/>
  <c r="K309" i="6"/>
  <c r="M308" i="6"/>
  <c r="L308" i="6"/>
  <c r="K308" i="6"/>
  <c r="M307" i="6"/>
  <c r="L307" i="6"/>
  <c r="K307" i="6"/>
  <c r="N306" i="6"/>
  <c r="Q306" i="6" s="1"/>
  <c r="M306" i="6"/>
  <c r="L306" i="6"/>
  <c r="O306" i="6" s="1"/>
  <c r="R306" i="6" s="1"/>
  <c r="K306" i="6"/>
  <c r="M305" i="6"/>
  <c r="L305" i="6"/>
  <c r="K305" i="6"/>
  <c r="M304" i="6"/>
  <c r="L304" i="6"/>
  <c r="O302" i="6" s="1"/>
  <c r="R302" i="6" s="1"/>
  <c r="K304" i="6"/>
  <c r="N302" i="6" s="1"/>
  <c r="Q302" i="6" s="1"/>
  <c r="M303" i="6"/>
  <c r="L303" i="6"/>
  <c r="K303" i="6"/>
  <c r="P302" i="6"/>
  <c r="S302" i="6" s="1"/>
  <c r="M302" i="6"/>
  <c r="L302" i="6"/>
  <c r="K302" i="6"/>
  <c r="M301" i="6"/>
  <c r="L301" i="6"/>
  <c r="K301" i="6"/>
  <c r="N298" i="6" s="1"/>
  <c r="M300" i="6"/>
  <c r="P298" i="6" s="1"/>
  <c r="S298" i="6" s="1"/>
  <c r="L300" i="6"/>
  <c r="O298" i="6" s="1"/>
  <c r="R298" i="6" s="1"/>
  <c r="K300" i="6"/>
  <c r="M299" i="6"/>
  <c r="L299" i="6"/>
  <c r="K299" i="6"/>
  <c r="Q298" i="6"/>
  <c r="M298" i="6"/>
  <c r="L298" i="6"/>
  <c r="K298" i="6"/>
  <c r="M297" i="6"/>
  <c r="P294" i="6" s="1"/>
  <c r="S294" i="6" s="1"/>
  <c r="L297" i="6"/>
  <c r="K297" i="6"/>
  <c r="M296" i="6"/>
  <c r="L296" i="6"/>
  <c r="K296" i="6"/>
  <c r="M295" i="6"/>
  <c r="L295" i="6"/>
  <c r="K295" i="6"/>
  <c r="M294" i="6"/>
  <c r="L294" i="6"/>
  <c r="O294" i="6" s="1"/>
  <c r="R294" i="6" s="1"/>
  <c r="K294" i="6"/>
  <c r="M293" i="6"/>
  <c r="L293" i="6"/>
  <c r="K293" i="6"/>
  <c r="M292" i="6"/>
  <c r="L292" i="6"/>
  <c r="K292" i="6"/>
  <c r="M291" i="6"/>
  <c r="L291" i="6"/>
  <c r="K291" i="6"/>
  <c r="N290" i="6"/>
  <c r="Q290" i="6" s="1"/>
  <c r="M290" i="6"/>
  <c r="P290" i="6" s="1"/>
  <c r="S290" i="6" s="1"/>
  <c r="L290" i="6"/>
  <c r="O290" i="6" s="1"/>
  <c r="R290" i="6" s="1"/>
  <c r="K290" i="6"/>
  <c r="M289" i="6"/>
  <c r="L289" i="6"/>
  <c r="K289" i="6"/>
  <c r="M288" i="6"/>
  <c r="L288" i="6"/>
  <c r="O286" i="6" s="1"/>
  <c r="R286" i="6" s="1"/>
  <c r="K288" i="6"/>
  <c r="N286" i="6" s="1"/>
  <c r="Q286" i="6" s="1"/>
  <c r="M287" i="6"/>
  <c r="L287" i="6"/>
  <c r="K287" i="6"/>
  <c r="P286" i="6"/>
  <c r="S286" i="6" s="1"/>
  <c r="M286" i="6"/>
  <c r="L286" i="6"/>
  <c r="K286" i="6"/>
  <c r="M285" i="6"/>
  <c r="L285" i="6"/>
  <c r="K285" i="6"/>
  <c r="N282" i="6" s="1"/>
  <c r="M284" i="6"/>
  <c r="P282" i="6" s="1"/>
  <c r="S282" i="6" s="1"/>
  <c r="L284" i="6"/>
  <c r="O282" i="6" s="1"/>
  <c r="R282" i="6" s="1"/>
  <c r="K284" i="6"/>
  <c r="M283" i="6"/>
  <c r="L283" i="6"/>
  <c r="K283" i="6"/>
  <c r="Q282" i="6"/>
  <c r="M282" i="6"/>
  <c r="L282" i="6"/>
  <c r="K282" i="6"/>
  <c r="M281" i="6"/>
  <c r="P278" i="6" s="1"/>
  <c r="L281" i="6"/>
  <c r="K281" i="6"/>
  <c r="M280" i="6"/>
  <c r="L280" i="6"/>
  <c r="K280" i="6"/>
  <c r="M279" i="6"/>
  <c r="L279" i="6"/>
  <c r="K279" i="6"/>
  <c r="S278" i="6"/>
  <c r="M278" i="6"/>
  <c r="L278" i="6"/>
  <c r="K278" i="6"/>
  <c r="M277" i="6"/>
  <c r="L277" i="6"/>
  <c r="K277" i="6"/>
  <c r="M276" i="6"/>
  <c r="L276" i="6"/>
  <c r="K276" i="6"/>
  <c r="M275" i="6"/>
  <c r="L275" i="6"/>
  <c r="K275" i="6"/>
  <c r="M274" i="6"/>
  <c r="L274" i="6"/>
  <c r="K274" i="6"/>
  <c r="M273" i="6"/>
  <c r="L273" i="6"/>
  <c r="K273" i="6"/>
  <c r="M272" i="6"/>
  <c r="L272" i="6"/>
  <c r="K272" i="6"/>
  <c r="O271" i="6"/>
  <c r="R271" i="6" s="1"/>
  <c r="N271" i="6"/>
  <c r="Q271" i="6" s="1"/>
  <c r="M271" i="6"/>
  <c r="P271" i="6" s="1"/>
  <c r="S271" i="6" s="1"/>
  <c r="L271" i="6"/>
  <c r="K271" i="6"/>
  <c r="M270" i="6"/>
  <c r="L270" i="6"/>
  <c r="K270" i="6"/>
  <c r="M269" i="6"/>
  <c r="P267" i="6" s="1"/>
  <c r="S267" i="6" s="1"/>
  <c r="L269" i="6"/>
  <c r="O267" i="6" s="1"/>
  <c r="R267" i="6" s="1"/>
  <c r="K269" i="6"/>
  <c r="N267" i="6" s="1"/>
  <c r="Q267" i="6" s="1"/>
  <c r="M268" i="6"/>
  <c r="L268" i="6"/>
  <c r="K268" i="6"/>
  <c r="M267" i="6"/>
  <c r="L267" i="6"/>
  <c r="K267" i="6"/>
  <c r="M266" i="6"/>
  <c r="L266" i="6"/>
  <c r="K266" i="6"/>
  <c r="M265" i="6"/>
  <c r="P263" i="6" s="1"/>
  <c r="S263" i="6" s="1"/>
  <c r="L265" i="6"/>
  <c r="O263" i="6" s="1"/>
  <c r="R263" i="6" s="1"/>
  <c r="K265" i="6"/>
  <c r="M264" i="6"/>
  <c r="L264" i="6"/>
  <c r="K264" i="6"/>
  <c r="M263" i="6"/>
  <c r="L263" i="6"/>
  <c r="K263" i="6"/>
  <c r="N263" i="6" s="1"/>
  <c r="Q263" i="6" s="1"/>
  <c r="M262" i="6"/>
  <c r="L262" i="6"/>
  <c r="K262" i="6"/>
  <c r="M261" i="6"/>
  <c r="L261" i="6"/>
  <c r="K261" i="6"/>
  <c r="M260" i="6"/>
  <c r="L260" i="6"/>
  <c r="K260" i="6"/>
  <c r="M259" i="6"/>
  <c r="P259" i="6" s="1"/>
  <c r="S259" i="6" s="1"/>
  <c r="L259" i="6"/>
  <c r="O259" i="6" s="1"/>
  <c r="R259" i="6" s="1"/>
  <c r="K259" i="6"/>
  <c r="M258" i="6"/>
  <c r="L258" i="6"/>
  <c r="K258" i="6"/>
  <c r="M257" i="6"/>
  <c r="L257" i="6"/>
  <c r="K257" i="6"/>
  <c r="N255" i="6" s="1"/>
  <c r="Q255" i="6" s="1"/>
  <c r="M256" i="6"/>
  <c r="L256" i="6"/>
  <c r="K256" i="6"/>
  <c r="O255" i="6"/>
  <c r="R255" i="6" s="1"/>
  <c r="M255" i="6"/>
  <c r="L255" i="6"/>
  <c r="K255" i="6"/>
  <c r="M254" i="6"/>
  <c r="L254" i="6"/>
  <c r="K254" i="6"/>
  <c r="M253" i="6"/>
  <c r="P251" i="6" s="1"/>
  <c r="S251" i="6" s="1"/>
  <c r="L253" i="6"/>
  <c r="O251" i="6" s="1"/>
  <c r="R251" i="6" s="1"/>
  <c r="K253" i="6"/>
  <c r="N251" i="6" s="1"/>
  <c r="Q251" i="6" s="1"/>
  <c r="M252" i="6"/>
  <c r="L252" i="6"/>
  <c r="K252" i="6"/>
  <c r="M251" i="6"/>
  <c r="L251" i="6"/>
  <c r="K251" i="6"/>
  <c r="M250" i="6"/>
  <c r="L250" i="6"/>
  <c r="K250" i="6"/>
  <c r="M249" i="6"/>
  <c r="P247" i="6" s="1"/>
  <c r="L249" i="6"/>
  <c r="K249" i="6"/>
  <c r="M248" i="6"/>
  <c r="L248" i="6"/>
  <c r="K248" i="6"/>
  <c r="S247" i="6"/>
  <c r="M247" i="6"/>
  <c r="L247" i="6"/>
  <c r="K247" i="6"/>
  <c r="M246" i="6"/>
  <c r="L246" i="6"/>
  <c r="K246" i="6"/>
  <c r="M245" i="6"/>
  <c r="L245" i="6"/>
  <c r="K245" i="6"/>
  <c r="M244" i="6"/>
  <c r="L244" i="6"/>
  <c r="K244" i="6"/>
  <c r="M243" i="6"/>
  <c r="P243" i="6" s="1"/>
  <c r="S243" i="6" s="1"/>
  <c r="L243" i="6"/>
  <c r="K243" i="6"/>
  <c r="N243" i="6" s="1"/>
  <c r="Q243" i="6" s="1"/>
  <c r="M242" i="6"/>
  <c r="L242" i="6"/>
  <c r="K242" i="6"/>
  <c r="M241" i="6"/>
  <c r="L241" i="6"/>
  <c r="K241" i="6"/>
  <c r="M240" i="6"/>
  <c r="L240" i="6"/>
  <c r="K240" i="6"/>
  <c r="M239" i="6"/>
  <c r="L239" i="6"/>
  <c r="K239" i="6"/>
  <c r="M238" i="6"/>
  <c r="L238" i="6"/>
  <c r="O236" i="6" s="1"/>
  <c r="R236" i="6" s="1"/>
  <c r="K238" i="6"/>
  <c r="M237" i="6"/>
  <c r="L237" i="6"/>
  <c r="K237" i="6"/>
  <c r="P236" i="6"/>
  <c r="S236" i="6" s="1"/>
  <c r="M236" i="6"/>
  <c r="L236" i="6"/>
  <c r="K236" i="6"/>
  <c r="N236" i="6" s="1"/>
  <c r="Q236" i="6" s="1"/>
  <c r="M235" i="6"/>
  <c r="L235" i="6"/>
  <c r="K235" i="6"/>
  <c r="M234" i="6"/>
  <c r="L234" i="6"/>
  <c r="K234" i="6"/>
  <c r="M233" i="6"/>
  <c r="L233" i="6"/>
  <c r="K233" i="6"/>
  <c r="M232" i="6"/>
  <c r="L232" i="6"/>
  <c r="K232" i="6"/>
  <c r="M231" i="6"/>
  <c r="L231" i="6"/>
  <c r="K231" i="6"/>
  <c r="M230" i="6"/>
  <c r="P228" i="6" s="1"/>
  <c r="S228" i="6" s="1"/>
  <c r="L230" i="6"/>
  <c r="K230" i="6"/>
  <c r="M229" i="6"/>
  <c r="L229" i="6"/>
  <c r="K229" i="6"/>
  <c r="M228" i="6"/>
  <c r="L228" i="6"/>
  <c r="O228" i="6" s="1"/>
  <c r="R228" i="6" s="1"/>
  <c r="K228" i="6"/>
  <c r="N228" i="6" s="1"/>
  <c r="Q228" i="6" s="1"/>
  <c r="M227" i="6"/>
  <c r="L227" i="6"/>
  <c r="K227" i="6"/>
  <c r="M226" i="6"/>
  <c r="L226" i="6"/>
  <c r="K226" i="6"/>
  <c r="M225" i="6"/>
  <c r="L225" i="6"/>
  <c r="O224" i="6" s="1"/>
  <c r="R224" i="6" s="1"/>
  <c r="K225" i="6"/>
  <c r="M224" i="6"/>
  <c r="P224" i="6" s="1"/>
  <c r="S224" i="6" s="1"/>
  <c r="L224" i="6"/>
  <c r="K224" i="6"/>
  <c r="N224" i="6" s="1"/>
  <c r="Q224" i="6" s="1"/>
  <c r="M223" i="6"/>
  <c r="L223" i="6"/>
  <c r="K223" i="6"/>
  <c r="M222" i="6"/>
  <c r="P220" i="6" s="1"/>
  <c r="S220" i="6" s="1"/>
  <c r="L222" i="6"/>
  <c r="K222" i="6"/>
  <c r="M221" i="6"/>
  <c r="L221" i="6"/>
  <c r="K221" i="6"/>
  <c r="O220" i="6"/>
  <c r="R220" i="6" s="1"/>
  <c r="M220" i="6"/>
  <c r="L220" i="6"/>
  <c r="K220" i="6"/>
  <c r="M219" i="6"/>
  <c r="L219" i="6"/>
  <c r="K219" i="6"/>
  <c r="N216" i="6" s="1"/>
  <c r="Q216" i="6" s="1"/>
  <c r="M218" i="6"/>
  <c r="L218" i="6"/>
  <c r="K218" i="6"/>
  <c r="M217" i="6"/>
  <c r="L217" i="6"/>
  <c r="K217" i="6"/>
  <c r="M216" i="6"/>
  <c r="P216" i="6" s="1"/>
  <c r="S216" i="6" s="1"/>
  <c r="L216" i="6"/>
  <c r="O216" i="6" s="1"/>
  <c r="R216" i="6" s="1"/>
  <c r="K216" i="6"/>
  <c r="M215" i="6"/>
  <c r="L215" i="6"/>
  <c r="K215" i="6"/>
  <c r="M214" i="6"/>
  <c r="L214" i="6"/>
  <c r="K214" i="6"/>
  <c r="M213" i="6"/>
  <c r="L213" i="6"/>
  <c r="K213" i="6"/>
  <c r="O212" i="6"/>
  <c r="R212" i="6" s="1"/>
  <c r="N212" i="6"/>
  <c r="Q212" i="6" s="1"/>
  <c r="M212" i="6"/>
  <c r="L212" i="6"/>
  <c r="K212" i="6"/>
  <c r="M211" i="6"/>
  <c r="L211" i="6"/>
  <c r="K211" i="6"/>
  <c r="M210" i="6"/>
  <c r="L210" i="6"/>
  <c r="K210" i="6"/>
  <c r="M209" i="6"/>
  <c r="L209" i="6"/>
  <c r="K209" i="6"/>
  <c r="P208" i="6"/>
  <c r="S208" i="6" s="1"/>
  <c r="O208" i="6"/>
  <c r="R208" i="6" s="1"/>
  <c r="M208" i="6"/>
  <c r="L208" i="6"/>
  <c r="K208" i="6"/>
  <c r="N208" i="6" s="1"/>
  <c r="Q208" i="6" s="1"/>
  <c r="M207" i="6"/>
  <c r="L207" i="6"/>
  <c r="K207" i="6"/>
  <c r="M206" i="6"/>
  <c r="L206" i="6"/>
  <c r="K206" i="6"/>
  <c r="M205" i="6"/>
  <c r="L205" i="6"/>
  <c r="K205" i="6"/>
  <c r="M204" i="6"/>
  <c r="L204" i="6"/>
  <c r="K204" i="6"/>
  <c r="M203" i="6"/>
  <c r="L203" i="6"/>
  <c r="K203" i="6"/>
  <c r="M202" i="6"/>
  <c r="L202" i="6"/>
  <c r="K202" i="6"/>
  <c r="S201" i="6"/>
  <c r="R201" i="6"/>
  <c r="P201" i="6"/>
  <c r="M201" i="6"/>
  <c r="L201" i="6"/>
  <c r="O201" i="6" s="1"/>
  <c r="K201" i="6"/>
  <c r="N201" i="6" s="1"/>
  <c r="Q201" i="6" s="1"/>
  <c r="M200" i="6"/>
  <c r="L200" i="6"/>
  <c r="K200" i="6"/>
  <c r="M199" i="6"/>
  <c r="L199" i="6"/>
  <c r="K199" i="6"/>
  <c r="M198" i="6"/>
  <c r="L198" i="6"/>
  <c r="K198" i="6"/>
  <c r="M197" i="6"/>
  <c r="P197" i="6" s="1"/>
  <c r="S197" i="6" s="1"/>
  <c r="L197" i="6"/>
  <c r="O197" i="6" s="1"/>
  <c r="R197" i="6" s="1"/>
  <c r="K197" i="6"/>
  <c r="N197" i="6" s="1"/>
  <c r="Q197" i="6" s="1"/>
  <c r="M196" i="6"/>
  <c r="P193" i="6" s="1"/>
  <c r="S193" i="6" s="1"/>
  <c r="L196" i="6"/>
  <c r="K196" i="6"/>
  <c r="M195" i="6"/>
  <c r="L195" i="6"/>
  <c r="K195" i="6"/>
  <c r="M194" i="6"/>
  <c r="L194" i="6"/>
  <c r="K194" i="6"/>
  <c r="N193" i="6" s="1"/>
  <c r="Q193" i="6" s="1"/>
  <c r="M193" i="6"/>
  <c r="L193" i="6"/>
  <c r="O193" i="6" s="1"/>
  <c r="R193" i="6" s="1"/>
  <c r="K193" i="6"/>
  <c r="M192" i="6"/>
  <c r="L192" i="6"/>
  <c r="K192" i="6"/>
  <c r="M191" i="6"/>
  <c r="L191" i="6"/>
  <c r="O189" i="6" s="1"/>
  <c r="R189" i="6" s="1"/>
  <c r="K191" i="6"/>
  <c r="M190" i="6"/>
  <c r="L190" i="6"/>
  <c r="K190" i="6"/>
  <c r="P189" i="6"/>
  <c r="S189" i="6" s="1"/>
  <c r="N189" i="6"/>
  <c r="Q189" i="6" s="1"/>
  <c r="M189" i="6"/>
  <c r="L189" i="6"/>
  <c r="K189" i="6"/>
  <c r="M188" i="6"/>
  <c r="L188" i="6"/>
  <c r="K188" i="6"/>
  <c r="M187" i="6"/>
  <c r="L187" i="6"/>
  <c r="K187" i="6"/>
  <c r="M186" i="6"/>
  <c r="L186" i="6"/>
  <c r="K186" i="6"/>
  <c r="P185" i="6"/>
  <c r="S185" i="6" s="1"/>
  <c r="N185" i="6"/>
  <c r="Q185" i="6" s="1"/>
  <c r="M185" i="6"/>
  <c r="L185" i="6"/>
  <c r="K185" i="6"/>
  <c r="M184" i="6"/>
  <c r="L184" i="6"/>
  <c r="K184" i="6"/>
  <c r="M183" i="6"/>
  <c r="L183" i="6"/>
  <c r="K183" i="6"/>
  <c r="M182" i="6"/>
  <c r="L182" i="6"/>
  <c r="K182" i="6"/>
  <c r="S181" i="6"/>
  <c r="P181" i="6"/>
  <c r="O181" i="6"/>
  <c r="R181" i="6" s="1"/>
  <c r="M181" i="6"/>
  <c r="L181" i="6"/>
  <c r="K181" i="6"/>
  <c r="N181" i="6" s="1"/>
  <c r="Q181" i="6" s="1"/>
  <c r="M180" i="6"/>
  <c r="L180" i="6"/>
  <c r="K180" i="6"/>
  <c r="M179" i="6"/>
  <c r="L179" i="6"/>
  <c r="K179" i="6"/>
  <c r="M178" i="6"/>
  <c r="L178" i="6"/>
  <c r="K178" i="6"/>
  <c r="N177" i="6" s="1"/>
  <c r="Q177" i="6" s="1"/>
  <c r="P177" i="6"/>
  <c r="S177" i="6" s="1"/>
  <c r="M177" i="6"/>
  <c r="L177" i="6"/>
  <c r="O177" i="6" s="1"/>
  <c r="R177" i="6" s="1"/>
  <c r="K177" i="6"/>
  <c r="M176" i="6"/>
  <c r="L176" i="6"/>
  <c r="K176" i="6"/>
  <c r="M175" i="6"/>
  <c r="L175" i="6"/>
  <c r="O173" i="6" s="1"/>
  <c r="R173" i="6" s="1"/>
  <c r="K175" i="6"/>
  <c r="M174" i="6"/>
  <c r="L174" i="6"/>
  <c r="K174" i="6"/>
  <c r="S173" i="6"/>
  <c r="P173" i="6"/>
  <c r="M173" i="6"/>
  <c r="L173" i="6"/>
  <c r="K173" i="6"/>
  <c r="N173" i="6" s="1"/>
  <c r="Q173" i="6" s="1"/>
  <c r="M172" i="6"/>
  <c r="L172" i="6"/>
  <c r="K172" i="6"/>
  <c r="M171" i="6"/>
  <c r="L171" i="6"/>
  <c r="K171" i="6"/>
  <c r="M170" i="6"/>
  <c r="L170" i="6"/>
  <c r="K170" i="6"/>
  <c r="M169" i="6"/>
  <c r="L169" i="6"/>
  <c r="O167" i="6" s="1"/>
  <c r="R167" i="6" s="1"/>
  <c r="K169" i="6"/>
  <c r="M168" i="6"/>
  <c r="L168" i="6"/>
  <c r="K168" i="6"/>
  <c r="S167" i="6"/>
  <c r="P167" i="6"/>
  <c r="M167" i="6"/>
  <c r="L167" i="6"/>
  <c r="K167" i="6"/>
  <c r="N167" i="6" s="1"/>
  <c r="Q167" i="6" s="1"/>
  <c r="M166" i="6"/>
  <c r="P163" i="6" s="1"/>
  <c r="S163" i="6" s="1"/>
  <c r="L166" i="6"/>
  <c r="K166" i="6"/>
  <c r="M165" i="6"/>
  <c r="L165" i="6"/>
  <c r="K165" i="6"/>
  <c r="M164" i="6"/>
  <c r="L164" i="6"/>
  <c r="K164" i="6"/>
  <c r="M163" i="6"/>
  <c r="L163" i="6"/>
  <c r="O163" i="6" s="1"/>
  <c r="R163" i="6" s="1"/>
  <c r="K163" i="6"/>
  <c r="M162" i="6"/>
  <c r="L162" i="6"/>
  <c r="K162" i="6"/>
  <c r="M161" i="6"/>
  <c r="L161" i="6"/>
  <c r="K161" i="6"/>
  <c r="M160" i="6"/>
  <c r="L160" i="6"/>
  <c r="O159" i="6" s="1"/>
  <c r="R159" i="6" s="1"/>
  <c r="K160" i="6"/>
  <c r="N159" i="6"/>
  <c r="Q159" i="6" s="1"/>
  <c r="M159" i="6"/>
  <c r="P159" i="6" s="1"/>
  <c r="S159" i="6" s="1"/>
  <c r="L159" i="6"/>
  <c r="K159" i="6"/>
  <c r="M158" i="6"/>
  <c r="L158" i="6"/>
  <c r="K158" i="6"/>
  <c r="M157" i="6"/>
  <c r="L157" i="6"/>
  <c r="K157" i="6"/>
  <c r="M156" i="6"/>
  <c r="L156" i="6"/>
  <c r="K156" i="6"/>
  <c r="P155" i="6"/>
  <c r="S155" i="6" s="1"/>
  <c r="O155" i="6"/>
  <c r="R155" i="6" s="1"/>
  <c r="M155" i="6"/>
  <c r="L155" i="6"/>
  <c r="K155" i="6"/>
  <c r="N155" i="6" s="1"/>
  <c r="Q155" i="6" s="1"/>
  <c r="M154" i="6"/>
  <c r="L154" i="6"/>
  <c r="K154" i="6"/>
  <c r="M153" i="6"/>
  <c r="L153" i="6"/>
  <c r="K153" i="6"/>
  <c r="M152" i="6"/>
  <c r="L152" i="6"/>
  <c r="K152" i="6"/>
  <c r="N151" i="6" s="1"/>
  <c r="Q151" i="6"/>
  <c r="M151" i="6"/>
  <c r="L151" i="6"/>
  <c r="O151" i="6" s="1"/>
  <c r="R151" i="6" s="1"/>
  <c r="K151" i="6"/>
  <c r="M150" i="6"/>
  <c r="L150" i="6"/>
  <c r="K150" i="6"/>
  <c r="M149" i="6"/>
  <c r="L149" i="6"/>
  <c r="K149" i="6"/>
  <c r="M148" i="6"/>
  <c r="P147" i="6" s="1"/>
  <c r="L148" i="6"/>
  <c r="K148" i="6"/>
  <c r="S147" i="6"/>
  <c r="M147" i="6"/>
  <c r="L147" i="6"/>
  <c r="O147" i="6" s="1"/>
  <c r="R147" i="6" s="1"/>
  <c r="K147" i="6"/>
  <c r="N147" i="6" s="1"/>
  <c r="Q147" i="6" s="1"/>
  <c r="M146" i="6"/>
  <c r="L146" i="6"/>
  <c r="K146" i="6"/>
  <c r="M145" i="6"/>
  <c r="L145" i="6"/>
  <c r="K145" i="6"/>
  <c r="M144" i="6"/>
  <c r="L144" i="6"/>
  <c r="O143" i="6" s="1"/>
  <c r="R143" i="6" s="1"/>
  <c r="K144" i="6"/>
  <c r="N143" i="6"/>
  <c r="Q143" i="6" s="1"/>
  <c r="M143" i="6"/>
  <c r="P143" i="6" s="1"/>
  <c r="S143" i="6" s="1"/>
  <c r="L143" i="6"/>
  <c r="K143" i="6"/>
  <c r="M142" i="6"/>
  <c r="L142" i="6"/>
  <c r="K142" i="6"/>
  <c r="M141" i="6"/>
  <c r="L141" i="6"/>
  <c r="K141" i="6"/>
  <c r="M140" i="6"/>
  <c r="L140" i="6"/>
  <c r="K140" i="6"/>
  <c r="P139" i="6"/>
  <c r="S139" i="6" s="1"/>
  <c r="O139" i="6"/>
  <c r="R139" i="6" s="1"/>
  <c r="M139" i="6"/>
  <c r="L139" i="6"/>
  <c r="K139" i="6"/>
  <c r="N139" i="6" s="1"/>
  <c r="Q139" i="6" s="1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P133" i="6"/>
  <c r="S133" i="6" s="1"/>
  <c r="O133" i="6"/>
  <c r="R133" i="6" s="1"/>
  <c r="M133" i="6"/>
  <c r="L133" i="6"/>
  <c r="K133" i="6"/>
  <c r="N133" i="6" s="1"/>
  <c r="Q133" i="6" s="1"/>
  <c r="M132" i="6"/>
  <c r="L132" i="6"/>
  <c r="K132" i="6"/>
  <c r="M131" i="6"/>
  <c r="L131" i="6"/>
  <c r="K131" i="6"/>
  <c r="M130" i="6"/>
  <c r="L130" i="6"/>
  <c r="K130" i="6"/>
  <c r="N129" i="6" s="1"/>
  <c r="Q129" i="6" s="1"/>
  <c r="M129" i="6"/>
  <c r="P129" i="6" s="1"/>
  <c r="S129" i="6" s="1"/>
  <c r="L129" i="6"/>
  <c r="O129" i="6" s="1"/>
  <c r="R129" i="6" s="1"/>
  <c r="K129" i="6"/>
  <c r="M128" i="6"/>
  <c r="L128" i="6"/>
  <c r="K128" i="6"/>
  <c r="M127" i="6"/>
  <c r="L127" i="6"/>
  <c r="K127" i="6"/>
  <c r="M126" i="6"/>
  <c r="P125" i="6" s="1"/>
  <c r="S125" i="6" s="1"/>
  <c r="L126" i="6"/>
  <c r="K126" i="6"/>
  <c r="M125" i="6"/>
  <c r="L125" i="6"/>
  <c r="O125" i="6" s="1"/>
  <c r="R125" i="6" s="1"/>
  <c r="K125" i="6"/>
  <c r="N125" i="6" s="1"/>
  <c r="Q125" i="6" s="1"/>
  <c r="M124" i="6"/>
  <c r="L124" i="6"/>
  <c r="K124" i="6"/>
  <c r="M123" i="6"/>
  <c r="L123" i="6"/>
  <c r="K123" i="6"/>
  <c r="M122" i="6"/>
  <c r="L122" i="6"/>
  <c r="O121" i="6" s="1"/>
  <c r="R121" i="6" s="1"/>
  <c r="K122" i="6"/>
  <c r="N121" i="6"/>
  <c r="Q121" i="6" s="1"/>
  <c r="M121" i="6"/>
  <c r="P121" i="6" s="1"/>
  <c r="S121" i="6" s="1"/>
  <c r="L121" i="6"/>
  <c r="K121" i="6"/>
  <c r="M120" i="6"/>
  <c r="L120" i="6"/>
  <c r="K120" i="6"/>
  <c r="M119" i="6"/>
  <c r="L119" i="6"/>
  <c r="K119" i="6"/>
  <c r="M118" i="6"/>
  <c r="L118" i="6"/>
  <c r="K118" i="6"/>
  <c r="P117" i="6"/>
  <c r="S117" i="6" s="1"/>
  <c r="O117" i="6"/>
  <c r="R117" i="6" s="1"/>
  <c r="M117" i="6"/>
  <c r="L117" i="6"/>
  <c r="K117" i="6"/>
  <c r="N117" i="6" s="1"/>
  <c r="Q117" i="6" s="1"/>
  <c r="M116" i="6"/>
  <c r="L116" i="6"/>
  <c r="K116" i="6"/>
  <c r="M115" i="6"/>
  <c r="L115" i="6"/>
  <c r="K115" i="6"/>
  <c r="M114" i="6"/>
  <c r="L114" i="6"/>
  <c r="K114" i="6"/>
  <c r="N113" i="6" s="1"/>
  <c r="Q113" i="6" s="1"/>
  <c r="M113" i="6"/>
  <c r="L113" i="6"/>
  <c r="O113" i="6" s="1"/>
  <c r="R113" i="6" s="1"/>
  <c r="K113" i="6"/>
  <c r="M112" i="6"/>
  <c r="L112" i="6"/>
  <c r="K112" i="6"/>
  <c r="M111" i="6"/>
  <c r="L111" i="6"/>
  <c r="K111" i="6"/>
  <c r="M110" i="6"/>
  <c r="P109" i="6" s="1"/>
  <c r="S109" i="6" s="1"/>
  <c r="L110" i="6"/>
  <c r="K110" i="6"/>
  <c r="M109" i="6"/>
  <c r="L109" i="6"/>
  <c r="O109" i="6" s="1"/>
  <c r="R109" i="6" s="1"/>
  <c r="K109" i="6"/>
  <c r="N109" i="6" s="1"/>
  <c r="Q109" i="6" s="1"/>
  <c r="M108" i="6"/>
  <c r="L108" i="6"/>
  <c r="K108" i="6"/>
  <c r="M107" i="6"/>
  <c r="L107" i="6"/>
  <c r="K107" i="6"/>
  <c r="M106" i="6"/>
  <c r="L106" i="6"/>
  <c r="O105" i="6" s="1"/>
  <c r="R105" i="6" s="1"/>
  <c r="K106" i="6"/>
  <c r="N105" i="6"/>
  <c r="Q105" i="6" s="1"/>
  <c r="M105" i="6"/>
  <c r="P105" i="6" s="1"/>
  <c r="S105" i="6" s="1"/>
  <c r="L105" i="6"/>
  <c r="K105" i="6"/>
  <c r="M104" i="6"/>
  <c r="L104" i="6"/>
  <c r="K104" i="6"/>
  <c r="M103" i="6"/>
  <c r="L103" i="6"/>
  <c r="K103" i="6"/>
  <c r="M102" i="6"/>
  <c r="L102" i="6"/>
  <c r="K102" i="6"/>
  <c r="P101" i="6"/>
  <c r="S101" i="6" s="1"/>
  <c r="O101" i="6"/>
  <c r="R101" i="6" s="1"/>
  <c r="M101" i="6"/>
  <c r="L101" i="6"/>
  <c r="K101" i="6"/>
  <c r="N101" i="6" s="1"/>
  <c r="Q101" i="6" s="1"/>
  <c r="M100" i="6"/>
  <c r="L100" i="6"/>
  <c r="K100" i="6"/>
  <c r="M99" i="6"/>
  <c r="L99" i="6"/>
  <c r="K99" i="6"/>
  <c r="M98" i="6"/>
  <c r="L98" i="6"/>
  <c r="K98" i="6"/>
  <c r="N97" i="6" s="1"/>
  <c r="Q97" i="6"/>
  <c r="M97" i="6"/>
  <c r="L97" i="6"/>
  <c r="O97" i="6" s="1"/>
  <c r="R97" i="6" s="1"/>
  <c r="K97" i="6"/>
  <c r="M96" i="6"/>
  <c r="L96" i="6"/>
  <c r="K96" i="6"/>
  <c r="M95" i="6"/>
  <c r="L95" i="6"/>
  <c r="K95" i="6"/>
  <c r="M94" i="6"/>
  <c r="P93" i="6" s="1"/>
  <c r="L94" i="6"/>
  <c r="K94" i="6"/>
  <c r="S93" i="6"/>
  <c r="M93" i="6"/>
  <c r="L93" i="6"/>
  <c r="K93" i="6"/>
  <c r="N93" i="6" s="1"/>
  <c r="Q93" i="6" s="1"/>
  <c r="M92" i="6"/>
  <c r="L92" i="6"/>
  <c r="K92" i="6"/>
  <c r="M91" i="6"/>
  <c r="L91" i="6"/>
  <c r="K91" i="6"/>
  <c r="M90" i="6"/>
  <c r="L90" i="6"/>
  <c r="O89" i="6" s="1"/>
  <c r="R89" i="6" s="1"/>
  <c r="K90" i="6"/>
  <c r="N89" i="6"/>
  <c r="Q89" i="6" s="1"/>
  <c r="M89" i="6"/>
  <c r="P89" i="6" s="1"/>
  <c r="S89" i="6" s="1"/>
  <c r="L89" i="6"/>
  <c r="K89" i="6"/>
  <c r="M88" i="6"/>
  <c r="L88" i="6"/>
  <c r="K88" i="6"/>
  <c r="M87" i="6"/>
  <c r="L87" i="6"/>
  <c r="K87" i="6"/>
  <c r="M86" i="6"/>
  <c r="L86" i="6"/>
  <c r="K86" i="6"/>
  <c r="P85" i="6"/>
  <c r="S85" i="6" s="1"/>
  <c r="O85" i="6"/>
  <c r="R85" i="6" s="1"/>
  <c r="M85" i="6"/>
  <c r="L85" i="6"/>
  <c r="K85" i="6"/>
  <c r="N85" i="6" s="1"/>
  <c r="Q85" i="6" s="1"/>
  <c r="M84" i="6"/>
  <c r="L84" i="6"/>
  <c r="K84" i="6"/>
  <c r="M83" i="6"/>
  <c r="L83" i="6"/>
  <c r="K83" i="6"/>
  <c r="M82" i="6"/>
  <c r="L82" i="6"/>
  <c r="K82" i="6"/>
  <c r="N81" i="6" s="1"/>
  <c r="Q81" i="6"/>
  <c r="M81" i="6"/>
  <c r="P81" i="6" s="1"/>
  <c r="S81" i="6" s="1"/>
  <c r="L81" i="6"/>
  <c r="O81" i="6" s="1"/>
  <c r="R81" i="6" s="1"/>
  <c r="K81" i="6"/>
  <c r="M80" i="6"/>
  <c r="L80" i="6"/>
  <c r="K80" i="6"/>
  <c r="M79" i="6"/>
  <c r="L79" i="6"/>
  <c r="K79" i="6"/>
  <c r="M78" i="6"/>
  <c r="P77" i="6" s="1"/>
  <c r="L78" i="6"/>
  <c r="K78" i="6"/>
  <c r="S77" i="6"/>
  <c r="M77" i="6"/>
  <c r="L77" i="6"/>
  <c r="O77" i="6" s="1"/>
  <c r="R77" i="6" s="1"/>
  <c r="K77" i="6"/>
  <c r="N77" i="6" s="1"/>
  <c r="Q77" i="6" s="1"/>
  <c r="M76" i="6"/>
  <c r="L76" i="6"/>
  <c r="K76" i="6"/>
  <c r="M75" i="6"/>
  <c r="L75" i="6"/>
  <c r="K75" i="6"/>
  <c r="M74" i="6"/>
  <c r="L74" i="6"/>
  <c r="O73" i="6" s="1"/>
  <c r="R73" i="6" s="1"/>
  <c r="K74" i="6"/>
  <c r="N73" i="6"/>
  <c r="Q73" i="6" s="1"/>
  <c r="M73" i="6"/>
  <c r="P73" i="6" s="1"/>
  <c r="S73" i="6" s="1"/>
  <c r="L73" i="6"/>
  <c r="K73" i="6"/>
  <c r="M72" i="6"/>
  <c r="L72" i="6"/>
  <c r="K72" i="6"/>
  <c r="M71" i="6"/>
  <c r="L71" i="6"/>
  <c r="K71" i="6"/>
  <c r="N67" i="6" s="1"/>
  <c r="Q67" i="6" s="1"/>
  <c r="M70" i="6"/>
  <c r="L70" i="6"/>
  <c r="K70" i="6"/>
  <c r="M69" i="6"/>
  <c r="L69" i="6"/>
  <c r="O67" i="6" s="1"/>
  <c r="R67" i="6" s="1"/>
  <c r="K69" i="6"/>
  <c r="M68" i="6"/>
  <c r="L68" i="6"/>
  <c r="K68" i="6"/>
  <c r="P67" i="6"/>
  <c r="S67" i="6" s="1"/>
  <c r="M67" i="6"/>
  <c r="L67" i="6"/>
  <c r="K67" i="6"/>
  <c r="M66" i="6"/>
  <c r="L66" i="6"/>
  <c r="K66" i="6"/>
  <c r="M65" i="6"/>
  <c r="L65" i="6"/>
  <c r="K65" i="6"/>
  <c r="M64" i="6"/>
  <c r="L64" i="6"/>
  <c r="K64" i="6"/>
  <c r="P63" i="6"/>
  <c r="S63" i="6" s="1"/>
  <c r="O63" i="6"/>
  <c r="R63" i="6" s="1"/>
  <c r="M63" i="6"/>
  <c r="L63" i="6"/>
  <c r="K63" i="6"/>
  <c r="N63" i="6" s="1"/>
  <c r="Q63" i="6" s="1"/>
  <c r="M62" i="6"/>
  <c r="L62" i="6"/>
  <c r="K62" i="6"/>
  <c r="M61" i="6"/>
  <c r="L61" i="6"/>
  <c r="K61" i="6"/>
  <c r="M60" i="6"/>
  <c r="L60" i="6"/>
  <c r="K60" i="6"/>
  <c r="N59" i="6" s="1"/>
  <c r="Q59" i="6"/>
  <c r="M59" i="6"/>
  <c r="P59" i="6" s="1"/>
  <c r="S59" i="6" s="1"/>
  <c r="L59" i="6"/>
  <c r="O59" i="6" s="1"/>
  <c r="R59" i="6" s="1"/>
  <c r="K59" i="6"/>
  <c r="M58" i="6"/>
  <c r="L58" i="6"/>
  <c r="K58" i="6"/>
  <c r="M57" i="6"/>
  <c r="L57" i="6"/>
  <c r="K57" i="6"/>
  <c r="M56" i="6"/>
  <c r="P55" i="6" s="1"/>
  <c r="L56" i="6"/>
  <c r="K56" i="6"/>
  <c r="S55" i="6"/>
  <c r="M55" i="6"/>
  <c r="L55" i="6"/>
  <c r="O55" i="6" s="1"/>
  <c r="R55" i="6" s="1"/>
  <c r="K55" i="6"/>
  <c r="N55" i="6" s="1"/>
  <c r="Q55" i="6" s="1"/>
  <c r="M54" i="6"/>
  <c r="L54" i="6"/>
  <c r="K54" i="6"/>
  <c r="M53" i="6"/>
  <c r="L53" i="6"/>
  <c r="K53" i="6"/>
  <c r="M52" i="6"/>
  <c r="L52" i="6"/>
  <c r="O51" i="6" s="1"/>
  <c r="R51" i="6" s="1"/>
  <c r="K52" i="6"/>
  <c r="N51" i="6"/>
  <c r="Q51" i="6" s="1"/>
  <c r="M51" i="6"/>
  <c r="P51" i="6" s="1"/>
  <c r="S51" i="6" s="1"/>
  <c r="L51" i="6"/>
  <c r="K51" i="6"/>
  <c r="M50" i="6"/>
  <c r="L50" i="6"/>
  <c r="K50" i="6"/>
  <c r="M49" i="6"/>
  <c r="L49" i="6"/>
  <c r="K49" i="6"/>
  <c r="M48" i="6"/>
  <c r="L48" i="6"/>
  <c r="K48" i="6"/>
  <c r="P47" i="6"/>
  <c r="S47" i="6" s="1"/>
  <c r="O47" i="6"/>
  <c r="R47" i="6" s="1"/>
  <c r="M47" i="6"/>
  <c r="L47" i="6"/>
  <c r="K47" i="6"/>
  <c r="N47" i="6" s="1"/>
  <c r="Q47" i="6" s="1"/>
  <c r="M46" i="6"/>
  <c r="L46" i="6"/>
  <c r="K46" i="6"/>
  <c r="M45" i="6"/>
  <c r="L45" i="6"/>
  <c r="K45" i="6"/>
  <c r="M44" i="6"/>
  <c r="L44" i="6"/>
  <c r="K44" i="6"/>
  <c r="N43" i="6" s="1"/>
  <c r="Q43" i="6"/>
  <c r="M43" i="6"/>
  <c r="L43" i="6"/>
  <c r="O43" i="6" s="1"/>
  <c r="R43" i="6" s="1"/>
  <c r="K43" i="6"/>
  <c r="M42" i="6"/>
  <c r="L42" i="6"/>
  <c r="K42" i="6"/>
  <c r="M41" i="6"/>
  <c r="L41" i="6"/>
  <c r="K41" i="6"/>
  <c r="M40" i="6"/>
  <c r="P39" i="6" s="1"/>
  <c r="S39" i="6" s="1"/>
  <c r="L40" i="6"/>
  <c r="K40" i="6"/>
  <c r="M39" i="6"/>
  <c r="L39" i="6"/>
  <c r="K39" i="6"/>
  <c r="N39" i="6" s="1"/>
  <c r="Q39" i="6" s="1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N31" i="6" s="1"/>
  <c r="Q31" i="6"/>
  <c r="M31" i="6"/>
  <c r="L31" i="6"/>
  <c r="O31" i="6" s="1"/>
  <c r="R31" i="6" s="1"/>
  <c r="K31" i="6"/>
  <c r="M30" i="6"/>
  <c r="L30" i="6"/>
  <c r="K30" i="6"/>
  <c r="M29" i="6"/>
  <c r="L29" i="6"/>
  <c r="K29" i="6"/>
  <c r="M28" i="6"/>
  <c r="P27" i="6" s="1"/>
  <c r="L28" i="6"/>
  <c r="K28" i="6"/>
  <c r="S27" i="6"/>
  <c r="M27" i="6"/>
  <c r="L27" i="6"/>
  <c r="K27" i="6"/>
  <c r="N27" i="6" s="1"/>
  <c r="Q27" i="6" s="1"/>
  <c r="M26" i="6"/>
  <c r="L26" i="6"/>
  <c r="K26" i="6"/>
  <c r="M25" i="6"/>
  <c r="L25" i="6"/>
  <c r="K25" i="6"/>
  <c r="M24" i="6"/>
  <c r="L24" i="6"/>
  <c r="O23" i="6" s="1"/>
  <c r="R23" i="6" s="1"/>
  <c r="K24" i="6"/>
  <c r="N23" i="6"/>
  <c r="Q23" i="6" s="1"/>
  <c r="M23" i="6"/>
  <c r="P23" i="6" s="1"/>
  <c r="S23" i="6" s="1"/>
  <c r="L23" i="6"/>
  <c r="K23" i="6"/>
  <c r="M22" i="6"/>
  <c r="L22" i="6"/>
  <c r="K22" i="6"/>
  <c r="M21" i="6"/>
  <c r="L21" i="6"/>
  <c r="K21" i="6"/>
  <c r="M20" i="6"/>
  <c r="L20" i="6"/>
  <c r="K20" i="6"/>
  <c r="P19" i="6"/>
  <c r="S19" i="6" s="1"/>
  <c r="O19" i="6"/>
  <c r="R19" i="6" s="1"/>
  <c r="M19" i="6"/>
  <c r="L19" i="6"/>
  <c r="K19" i="6"/>
  <c r="N19" i="6" s="1"/>
  <c r="Q19" i="6" s="1"/>
  <c r="M18" i="6"/>
  <c r="L18" i="6"/>
  <c r="K18" i="6"/>
  <c r="M17" i="6"/>
  <c r="L17" i="6"/>
  <c r="K17" i="6"/>
  <c r="M16" i="6"/>
  <c r="L16" i="6"/>
  <c r="K16" i="6"/>
  <c r="N15" i="6" s="1"/>
  <c r="Q15" i="6"/>
  <c r="M15" i="6"/>
  <c r="L15" i="6"/>
  <c r="O15" i="6" s="1"/>
  <c r="R15" i="6" s="1"/>
  <c r="K15" i="6"/>
  <c r="M14" i="6"/>
  <c r="L14" i="6"/>
  <c r="K14" i="6"/>
  <c r="M13" i="6"/>
  <c r="L13" i="6"/>
  <c r="K13" i="6"/>
  <c r="M12" i="6"/>
  <c r="P11" i="6" s="1"/>
  <c r="L12" i="6"/>
  <c r="K12" i="6"/>
  <c r="S11" i="6"/>
  <c r="M11" i="6"/>
  <c r="L11" i="6"/>
  <c r="O11" i="6" s="1"/>
  <c r="R11" i="6" s="1"/>
  <c r="K11" i="6"/>
  <c r="N11" i="6" s="1"/>
  <c r="Q11" i="6" s="1"/>
  <c r="M10" i="6"/>
  <c r="L10" i="6"/>
  <c r="K10" i="6"/>
  <c r="M9" i="6"/>
  <c r="L9" i="6"/>
  <c r="K9" i="6"/>
  <c r="M8" i="6"/>
  <c r="L8" i="6"/>
  <c r="O7" i="6" s="1"/>
  <c r="R7" i="6" s="1"/>
  <c r="K8" i="6"/>
  <c r="N7" i="6"/>
  <c r="Q7" i="6" s="1"/>
  <c r="M7" i="6"/>
  <c r="P7" i="6" s="1"/>
  <c r="S7" i="6" s="1"/>
  <c r="L7" i="6"/>
  <c r="K7" i="6"/>
  <c r="M6" i="6"/>
  <c r="L6" i="6"/>
  <c r="K6" i="6"/>
  <c r="M5" i="6"/>
  <c r="L5" i="6"/>
  <c r="K5" i="6"/>
  <c r="M4" i="6"/>
  <c r="L4" i="6"/>
  <c r="K4" i="6"/>
  <c r="P3" i="6"/>
  <c r="S3" i="6" s="1"/>
  <c r="O3" i="6"/>
  <c r="R3" i="6" s="1"/>
  <c r="M3" i="6"/>
  <c r="L3" i="6"/>
  <c r="K3" i="6"/>
  <c r="N3" i="6" s="1"/>
  <c r="Q3" i="6" s="1"/>
  <c r="M379" i="5"/>
  <c r="L379" i="5"/>
  <c r="K379" i="5"/>
  <c r="M378" i="5"/>
  <c r="L378" i="5"/>
  <c r="K378" i="5"/>
  <c r="M377" i="5"/>
  <c r="L377" i="5"/>
  <c r="K377" i="5"/>
  <c r="M376" i="5"/>
  <c r="L376" i="5"/>
  <c r="K376" i="5"/>
  <c r="M375" i="5"/>
  <c r="L375" i="5"/>
  <c r="K375" i="5"/>
  <c r="P374" i="5"/>
  <c r="S374" i="5" s="1"/>
  <c r="O374" i="5"/>
  <c r="R374" i="5" s="1"/>
  <c r="M374" i="5"/>
  <c r="L374" i="5"/>
  <c r="K374" i="5"/>
  <c r="N374" i="5" s="1"/>
  <c r="Q374" i="5" s="1"/>
  <c r="M373" i="5"/>
  <c r="L373" i="5"/>
  <c r="K373" i="5"/>
  <c r="M372" i="5"/>
  <c r="L372" i="5"/>
  <c r="K372" i="5"/>
  <c r="M371" i="5"/>
  <c r="L371" i="5"/>
  <c r="K371" i="5"/>
  <c r="N370" i="5" s="1"/>
  <c r="Q370" i="5" s="1"/>
  <c r="M370" i="5"/>
  <c r="L370" i="5"/>
  <c r="O370" i="5" s="1"/>
  <c r="R370" i="5" s="1"/>
  <c r="K370" i="5"/>
  <c r="M369" i="5"/>
  <c r="L369" i="5"/>
  <c r="K369" i="5"/>
  <c r="M368" i="5"/>
  <c r="L368" i="5"/>
  <c r="K368" i="5"/>
  <c r="M367" i="5"/>
  <c r="P366" i="5" s="1"/>
  <c r="S366" i="5" s="1"/>
  <c r="L367" i="5"/>
  <c r="K367" i="5"/>
  <c r="M366" i="5"/>
  <c r="L366" i="5"/>
  <c r="O366" i="5" s="1"/>
  <c r="R366" i="5" s="1"/>
  <c r="K366" i="5"/>
  <c r="N366" i="5" s="1"/>
  <c r="Q366" i="5" s="1"/>
  <c r="M365" i="5"/>
  <c r="L365" i="5"/>
  <c r="K365" i="5"/>
  <c r="M364" i="5"/>
  <c r="L364" i="5"/>
  <c r="K364" i="5"/>
  <c r="M363" i="5"/>
  <c r="L363" i="5"/>
  <c r="O362" i="5" s="1"/>
  <c r="R362" i="5" s="1"/>
  <c r="K363" i="5"/>
  <c r="N362" i="5"/>
  <c r="Q362" i="5" s="1"/>
  <c r="M362" i="5"/>
  <c r="P362" i="5" s="1"/>
  <c r="S362" i="5" s="1"/>
  <c r="L362" i="5"/>
  <c r="K362" i="5"/>
  <c r="M361" i="5"/>
  <c r="L361" i="5"/>
  <c r="K361" i="5"/>
  <c r="M360" i="5"/>
  <c r="L360" i="5"/>
  <c r="K360" i="5"/>
  <c r="M359" i="5"/>
  <c r="L359" i="5"/>
  <c r="K359" i="5"/>
  <c r="P358" i="5"/>
  <c r="S358" i="5" s="1"/>
  <c r="O358" i="5"/>
  <c r="R358" i="5" s="1"/>
  <c r="M358" i="5"/>
  <c r="L358" i="5"/>
  <c r="K358" i="5"/>
  <c r="N358" i="5" s="1"/>
  <c r="Q358" i="5" s="1"/>
  <c r="M357" i="5"/>
  <c r="L357" i="5"/>
  <c r="K357" i="5"/>
  <c r="M356" i="5"/>
  <c r="L356" i="5"/>
  <c r="K356" i="5"/>
  <c r="M355" i="5"/>
  <c r="L355" i="5"/>
  <c r="K355" i="5"/>
  <c r="N354" i="5" s="1"/>
  <c r="Q354" i="5" s="1"/>
  <c r="M354" i="5"/>
  <c r="L354" i="5"/>
  <c r="O354" i="5" s="1"/>
  <c r="R354" i="5" s="1"/>
  <c r="K354" i="5"/>
  <c r="M353" i="5"/>
  <c r="L353" i="5"/>
  <c r="K353" i="5"/>
  <c r="M352" i="5"/>
  <c r="L352" i="5"/>
  <c r="K352" i="5"/>
  <c r="M351" i="5"/>
  <c r="P350" i="5" s="1"/>
  <c r="S350" i="5" s="1"/>
  <c r="L351" i="5"/>
  <c r="K351" i="5"/>
  <c r="M350" i="5"/>
  <c r="L350" i="5"/>
  <c r="K350" i="5"/>
  <c r="N350" i="5" s="1"/>
  <c r="Q350" i="5" s="1"/>
  <c r="M349" i="5"/>
  <c r="L349" i="5"/>
  <c r="K349" i="5"/>
  <c r="M348" i="5"/>
  <c r="L348" i="5"/>
  <c r="K348" i="5"/>
  <c r="M347" i="5"/>
  <c r="L347" i="5"/>
  <c r="O346" i="5" s="1"/>
  <c r="R346" i="5" s="1"/>
  <c r="K347" i="5"/>
  <c r="N346" i="5"/>
  <c r="Q346" i="5" s="1"/>
  <c r="M346" i="5"/>
  <c r="P346" i="5" s="1"/>
  <c r="S346" i="5" s="1"/>
  <c r="L346" i="5"/>
  <c r="K346" i="5"/>
  <c r="M345" i="5"/>
  <c r="L345" i="5"/>
  <c r="K345" i="5"/>
  <c r="M344" i="5"/>
  <c r="L344" i="5"/>
  <c r="K344" i="5"/>
  <c r="M343" i="5"/>
  <c r="L343" i="5"/>
  <c r="K343" i="5"/>
  <c r="M342" i="5"/>
  <c r="L342" i="5"/>
  <c r="K342" i="5"/>
  <c r="M341" i="5"/>
  <c r="L341" i="5"/>
  <c r="K341" i="5"/>
  <c r="M340" i="5"/>
  <c r="L340" i="5"/>
  <c r="K340" i="5"/>
  <c r="P339" i="5"/>
  <c r="S339" i="5" s="1"/>
  <c r="M339" i="5"/>
  <c r="L339" i="5"/>
  <c r="O339" i="5" s="1"/>
  <c r="R339" i="5" s="1"/>
  <c r="K339" i="5"/>
  <c r="N339" i="5" s="1"/>
  <c r="Q339" i="5" s="1"/>
  <c r="M338" i="5"/>
  <c r="L338" i="5"/>
  <c r="K338" i="5"/>
  <c r="M337" i="5"/>
  <c r="L337" i="5"/>
  <c r="K337" i="5"/>
  <c r="M336" i="5"/>
  <c r="L336" i="5"/>
  <c r="O335" i="5" s="1"/>
  <c r="K336" i="5"/>
  <c r="R335" i="5"/>
  <c r="M335" i="5"/>
  <c r="P335" i="5" s="1"/>
  <c r="S335" i="5" s="1"/>
  <c r="L335" i="5"/>
  <c r="K335" i="5"/>
  <c r="N335" i="5" s="1"/>
  <c r="Q335" i="5" s="1"/>
  <c r="M334" i="5"/>
  <c r="L334" i="5"/>
  <c r="K334" i="5"/>
  <c r="M333" i="5"/>
  <c r="L333" i="5"/>
  <c r="K333" i="5"/>
  <c r="M332" i="5"/>
  <c r="L332" i="5"/>
  <c r="K332" i="5"/>
  <c r="N331" i="5" s="1"/>
  <c r="Q331" i="5" s="1"/>
  <c r="M331" i="5"/>
  <c r="P331" i="5" s="1"/>
  <c r="S331" i="5" s="1"/>
  <c r="L331" i="5"/>
  <c r="O331" i="5" s="1"/>
  <c r="R331" i="5" s="1"/>
  <c r="K331" i="5"/>
  <c r="M330" i="5"/>
  <c r="L330" i="5"/>
  <c r="K330" i="5"/>
  <c r="M329" i="5"/>
  <c r="L329" i="5"/>
  <c r="K329" i="5"/>
  <c r="M328" i="5"/>
  <c r="P327" i="5" s="1"/>
  <c r="S327" i="5" s="1"/>
  <c r="L328" i="5"/>
  <c r="K328" i="5"/>
  <c r="O327" i="5"/>
  <c r="R327" i="5" s="1"/>
  <c r="N327" i="5"/>
  <c r="Q327" i="5" s="1"/>
  <c r="M327" i="5"/>
  <c r="L327" i="5"/>
  <c r="K327" i="5"/>
  <c r="M326" i="5"/>
  <c r="L326" i="5"/>
  <c r="K326" i="5"/>
  <c r="M325" i="5"/>
  <c r="L325" i="5"/>
  <c r="K325" i="5"/>
  <c r="M324" i="5"/>
  <c r="L324" i="5"/>
  <c r="K324" i="5"/>
  <c r="P323" i="5"/>
  <c r="S323" i="5" s="1"/>
  <c r="M323" i="5"/>
  <c r="L323" i="5"/>
  <c r="K323" i="5"/>
  <c r="N323" i="5" s="1"/>
  <c r="Q323" i="5" s="1"/>
  <c r="M322" i="5"/>
  <c r="L322" i="5"/>
  <c r="K322" i="5"/>
  <c r="M321" i="5"/>
  <c r="L321" i="5"/>
  <c r="K321" i="5"/>
  <c r="M320" i="5"/>
  <c r="L320" i="5"/>
  <c r="O319" i="5" s="1"/>
  <c r="K320" i="5"/>
  <c r="R319" i="5"/>
  <c r="M319" i="5"/>
  <c r="P319" i="5" s="1"/>
  <c r="S319" i="5" s="1"/>
  <c r="L319" i="5"/>
  <c r="K319" i="5"/>
  <c r="M318" i="5"/>
  <c r="L318" i="5"/>
  <c r="K318" i="5"/>
  <c r="M317" i="5"/>
  <c r="L317" i="5"/>
  <c r="K317" i="5"/>
  <c r="M316" i="5"/>
  <c r="L316" i="5"/>
  <c r="K316" i="5"/>
  <c r="N315" i="5" s="1"/>
  <c r="Q315" i="5" s="1"/>
  <c r="M315" i="5"/>
  <c r="L315" i="5"/>
  <c r="O315" i="5" s="1"/>
  <c r="R315" i="5" s="1"/>
  <c r="K315" i="5"/>
  <c r="M314" i="5"/>
  <c r="L314" i="5"/>
  <c r="K314" i="5"/>
  <c r="M313" i="5"/>
  <c r="L313" i="5"/>
  <c r="K313" i="5"/>
  <c r="M312" i="5"/>
  <c r="P311" i="5" s="1"/>
  <c r="S311" i="5" s="1"/>
  <c r="L312" i="5"/>
  <c r="K312" i="5"/>
  <c r="O311" i="5"/>
  <c r="R311" i="5" s="1"/>
  <c r="N311" i="5"/>
  <c r="Q311" i="5" s="1"/>
  <c r="M311" i="5"/>
  <c r="L311" i="5"/>
  <c r="K311" i="5"/>
  <c r="M310" i="5"/>
  <c r="L310" i="5"/>
  <c r="K310" i="5"/>
  <c r="M309" i="5"/>
  <c r="L309" i="5"/>
  <c r="K309" i="5"/>
  <c r="M308" i="5"/>
  <c r="L308" i="5"/>
  <c r="K308" i="5"/>
  <c r="M307" i="5"/>
  <c r="L307" i="5"/>
  <c r="K307" i="5"/>
  <c r="M306" i="5"/>
  <c r="L306" i="5"/>
  <c r="K306" i="5"/>
  <c r="M305" i="5"/>
  <c r="L305" i="5"/>
  <c r="K305" i="5"/>
  <c r="N304" i="5" s="1"/>
  <c r="Q304" i="5"/>
  <c r="M304" i="5"/>
  <c r="P304" i="5" s="1"/>
  <c r="S304" i="5" s="1"/>
  <c r="L304" i="5"/>
  <c r="O304" i="5" s="1"/>
  <c r="R304" i="5" s="1"/>
  <c r="K304" i="5"/>
  <c r="M303" i="5"/>
  <c r="L303" i="5"/>
  <c r="K303" i="5"/>
  <c r="M302" i="5"/>
  <c r="L302" i="5"/>
  <c r="K302" i="5"/>
  <c r="M301" i="5"/>
  <c r="P300" i="5" s="1"/>
  <c r="S300" i="5" s="1"/>
  <c r="L301" i="5"/>
  <c r="K301" i="5"/>
  <c r="M300" i="5"/>
  <c r="L300" i="5"/>
  <c r="O300" i="5" s="1"/>
  <c r="R300" i="5" s="1"/>
  <c r="K300" i="5"/>
  <c r="N300" i="5" s="1"/>
  <c r="Q300" i="5" s="1"/>
  <c r="M299" i="5"/>
  <c r="L299" i="5"/>
  <c r="K299" i="5"/>
  <c r="M298" i="5"/>
  <c r="L298" i="5"/>
  <c r="K298" i="5"/>
  <c r="M297" i="5"/>
  <c r="L297" i="5"/>
  <c r="O296" i="5" s="1"/>
  <c r="R296" i="5" s="1"/>
  <c r="K297" i="5"/>
  <c r="N296" i="5"/>
  <c r="Q296" i="5" s="1"/>
  <c r="M296" i="5"/>
  <c r="P296" i="5" s="1"/>
  <c r="S296" i="5" s="1"/>
  <c r="L296" i="5"/>
  <c r="K296" i="5"/>
  <c r="M295" i="5"/>
  <c r="L295" i="5"/>
  <c r="K295" i="5"/>
  <c r="M294" i="5"/>
  <c r="L294" i="5"/>
  <c r="K294" i="5"/>
  <c r="M293" i="5"/>
  <c r="L293" i="5"/>
  <c r="K293" i="5"/>
  <c r="P292" i="5"/>
  <c r="S292" i="5" s="1"/>
  <c r="O292" i="5"/>
  <c r="R292" i="5" s="1"/>
  <c r="M292" i="5"/>
  <c r="L292" i="5"/>
  <c r="K292" i="5"/>
  <c r="N292" i="5" s="1"/>
  <c r="Q292" i="5" s="1"/>
  <c r="M291" i="5"/>
  <c r="L291" i="5"/>
  <c r="K291" i="5"/>
  <c r="M290" i="5"/>
  <c r="L290" i="5"/>
  <c r="K290" i="5"/>
  <c r="M289" i="5"/>
  <c r="L289" i="5"/>
  <c r="K289" i="5"/>
  <c r="N288" i="5" s="1"/>
  <c r="Q288" i="5" s="1"/>
  <c r="M288" i="5"/>
  <c r="P288" i="5" s="1"/>
  <c r="S288" i="5" s="1"/>
  <c r="L288" i="5"/>
  <c r="O288" i="5" s="1"/>
  <c r="R288" i="5" s="1"/>
  <c r="K288" i="5"/>
  <c r="M287" i="5"/>
  <c r="L287" i="5"/>
  <c r="K287" i="5"/>
  <c r="M286" i="5"/>
  <c r="L286" i="5"/>
  <c r="K286" i="5"/>
  <c r="M285" i="5"/>
  <c r="P284" i="5" s="1"/>
  <c r="L285" i="5"/>
  <c r="K285" i="5"/>
  <c r="S284" i="5"/>
  <c r="M284" i="5"/>
  <c r="L284" i="5"/>
  <c r="O284" i="5" s="1"/>
  <c r="R284" i="5" s="1"/>
  <c r="K284" i="5"/>
  <c r="N284" i="5" s="1"/>
  <c r="Q284" i="5" s="1"/>
  <c r="M283" i="5"/>
  <c r="L283" i="5"/>
  <c r="K283" i="5"/>
  <c r="M282" i="5"/>
  <c r="L282" i="5"/>
  <c r="K282" i="5"/>
  <c r="M281" i="5"/>
  <c r="L281" i="5"/>
  <c r="O280" i="5" s="1"/>
  <c r="R280" i="5" s="1"/>
  <c r="K281" i="5"/>
  <c r="N280" i="5"/>
  <c r="Q280" i="5" s="1"/>
  <c r="M280" i="5"/>
  <c r="P280" i="5" s="1"/>
  <c r="S280" i="5" s="1"/>
  <c r="L280" i="5"/>
  <c r="K280" i="5"/>
  <c r="M279" i="5"/>
  <c r="L279" i="5"/>
  <c r="K279" i="5"/>
  <c r="M278" i="5"/>
  <c r="L278" i="5"/>
  <c r="K278" i="5"/>
  <c r="M277" i="5"/>
  <c r="L277" i="5"/>
  <c r="K277" i="5"/>
  <c r="P276" i="5"/>
  <c r="S276" i="5" s="1"/>
  <c r="O276" i="5"/>
  <c r="R276" i="5" s="1"/>
  <c r="M276" i="5"/>
  <c r="L276" i="5"/>
  <c r="K276" i="5"/>
  <c r="N276" i="5" s="1"/>
  <c r="Q276" i="5" s="1"/>
  <c r="M275" i="5"/>
  <c r="L275" i="5"/>
  <c r="K275" i="5"/>
  <c r="M274" i="5"/>
  <c r="L274" i="5"/>
  <c r="K274" i="5"/>
  <c r="M273" i="5"/>
  <c r="L273" i="5"/>
  <c r="K273" i="5"/>
  <c r="M272" i="5"/>
  <c r="L272" i="5"/>
  <c r="K272" i="5"/>
  <c r="M271" i="5"/>
  <c r="L271" i="5"/>
  <c r="K271" i="5"/>
  <c r="M270" i="5"/>
  <c r="L270" i="5"/>
  <c r="O269" i="5" s="1"/>
  <c r="R269" i="5" s="1"/>
  <c r="K270" i="5"/>
  <c r="M269" i="5"/>
  <c r="P269" i="5" s="1"/>
  <c r="S269" i="5" s="1"/>
  <c r="L269" i="5"/>
  <c r="K269" i="5"/>
  <c r="M268" i="5"/>
  <c r="L268" i="5"/>
  <c r="K268" i="5"/>
  <c r="M267" i="5"/>
  <c r="L267" i="5"/>
  <c r="K267" i="5"/>
  <c r="M266" i="5"/>
  <c r="L266" i="5"/>
  <c r="K266" i="5"/>
  <c r="N265" i="5" s="1"/>
  <c r="Q265" i="5" s="1"/>
  <c r="M265" i="5"/>
  <c r="P265" i="5" s="1"/>
  <c r="S265" i="5" s="1"/>
  <c r="L265" i="5"/>
  <c r="O265" i="5" s="1"/>
  <c r="R265" i="5" s="1"/>
  <c r="K265" i="5"/>
  <c r="M264" i="5"/>
  <c r="L264" i="5"/>
  <c r="K264" i="5"/>
  <c r="M263" i="5"/>
  <c r="L263" i="5"/>
  <c r="K263" i="5"/>
  <c r="M262" i="5"/>
  <c r="P261" i="5" s="1"/>
  <c r="S261" i="5" s="1"/>
  <c r="L262" i="5"/>
  <c r="K262" i="5"/>
  <c r="Q261" i="5"/>
  <c r="O261" i="5"/>
  <c r="R261" i="5" s="1"/>
  <c r="N261" i="5"/>
  <c r="M261" i="5"/>
  <c r="L261" i="5"/>
  <c r="K261" i="5"/>
  <c r="M260" i="5"/>
  <c r="L260" i="5"/>
  <c r="K260" i="5"/>
  <c r="M259" i="5"/>
  <c r="L259" i="5"/>
  <c r="K259" i="5"/>
  <c r="M258" i="5"/>
  <c r="L258" i="5"/>
  <c r="K258" i="5"/>
  <c r="P257" i="5"/>
  <c r="S257" i="5" s="1"/>
  <c r="M257" i="5"/>
  <c r="L257" i="5"/>
  <c r="O257" i="5" s="1"/>
  <c r="R257" i="5" s="1"/>
  <c r="K257" i="5"/>
  <c r="N257" i="5" s="1"/>
  <c r="Q257" i="5" s="1"/>
  <c r="M256" i="5"/>
  <c r="L256" i="5"/>
  <c r="K256" i="5"/>
  <c r="M255" i="5"/>
  <c r="L255" i="5"/>
  <c r="K255" i="5"/>
  <c r="M254" i="5"/>
  <c r="L254" i="5"/>
  <c r="O253" i="5" s="1"/>
  <c r="K254" i="5"/>
  <c r="R253" i="5"/>
  <c r="M253" i="5"/>
  <c r="P253" i="5" s="1"/>
  <c r="S253" i="5" s="1"/>
  <c r="L253" i="5"/>
  <c r="K253" i="5"/>
  <c r="N253" i="5" s="1"/>
  <c r="Q253" i="5" s="1"/>
  <c r="M252" i="5"/>
  <c r="L252" i="5"/>
  <c r="K252" i="5"/>
  <c r="M251" i="5"/>
  <c r="L251" i="5"/>
  <c r="K251" i="5"/>
  <c r="M250" i="5"/>
  <c r="L250" i="5"/>
  <c r="K250" i="5"/>
  <c r="M249" i="5"/>
  <c r="P249" i="5" s="1"/>
  <c r="S249" i="5" s="1"/>
  <c r="L249" i="5"/>
  <c r="O249" i="5" s="1"/>
  <c r="R249" i="5" s="1"/>
  <c r="K249" i="5"/>
  <c r="M248" i="5"/>
  <c r="L248" i="5"/>
  <c r="K248" i="5"/>
  <c r="M247" i="5"/>
  <c r="L247" i="5"/>
  <c r="K247" i="5"/>
  <c r="M246" i="5"/>
  <c r="P245" i="5" s="1"/>
  <c r="S245" i="5" s="1"/>
  <c r="L246" i="5"/>
  <c r="K246" i="5"/>
  <c r="Q245" i="5"/>
  <c r="O245" i="5"/>
  <c r="R245" i="5" s="1"/>
  <c r="N245" i="5"/>
  <c r="M245" i="5"/>
  <c r="L245" i="5"/>
  <c r="K245" i="5"/>
  <c r="M244" i="5"/>
  <c r="L244" i="5"/>
  <c r="K244" i="5"/>
  <c r="M243" i="5"/>
  <c r="L243" i="5"/>
  <c r="K243" i="5"/>
  <c r="M242" i="5"/>
  <c r="L242" i="5"/>
  <c r="K242" i="5"/>
  <c r="S241" i="5"/>
  <c r="P241" i="5"/>
  <c r="M241" i="5"/>
  <c r="L241" i="5"/>
  <c r="K241" i="5"/>
  <c r="N241" i="5" s="1"/>
  <c r="Q241" i="5" s="1"/>
  <c r="M240" i="5"/>
  <c r="L240" i="5"/>
  <c r="K240" i="5"/>
  <c r="M239" i="5"/>
  <c r="L239" i="5"/>
  <c r="K239" i="5"/>
  <c r="M238" i="5"/>
  <c r="L238" i="5"/>
  <c r="K238" i="5"/>
  <c r="M237" i="5"/>
  <c r="L237" i="5"/>
  <c r="K237" i="5"/>
  <c r="M236" i="5"/>
  <c r="L236" i="5"/>
  <c r="K236" i="5"/>
  <c r="M235" i="5"/>
  <c r="P234" i="5" s="1"/>
  <c r="L235" i="5"/>
  <c r="K235" i="5"/>
  <c r="S234" i="5"/>
  <c r="N234" i="5"/>
  <c r="Q234" i="5" s="1"/>
  <c r="M234" i="5"/>
  <c r="L234" i="5"/>
  <c r="K234" i="5"/>
  <c r="M233" i="5"/>
  <c r="L233" i="5"/>
  <c r="K233" i="5"/>
  <c r="M232" i="5"/>
  <c r="L232" i="5"/>
  <c r="K232" i="5"/>
  <c r="M231" i="5"/>
  <c r="L231" i="5"/>
  <c r="K231" i="5"/>
  <c r="N230" i="5"/>
  <c r="Q230" i="5" s="1"/>
  <c r="M230" i="5"/>
  <c r="P230" i="5" s="1"/>
  <c r="S230" i="5" s="1"/>
  <c r="L230" i="5"/>
  <c r="K230" i="5"/>
  <c r="M229" i="5"/>
  <c r="L229" i="5"/>
  <c r="K229" i="5"/>
  <c r="M228" i="5"/>
  <c r="L228" i="5"/>
  <c r="K228" i="5"/>
  <c r="M227" i="5"/>
  <c r="L227" i="5"/>
  <c r="K227" i="5"/>
  <c r="P226" i="5"/>
  <c r="S226" i="5" s="1"/>
  <c r="O226" i="5"/>
  <c r="R226" i="5" s="1"/>
  <c r="M226" i="5"/>
  <c r="L226" i="5"/>
  <c r="K226" i="5"/>
  <c r="M225" i="5"/>
  <c r="L225" i="5"/>
  <c r="K225" i="5"/>
  <c r="M224" i="5"/>
  <c r="L224" i="5"/>
  <c r="K224" i="5"/>
  <c r="M223" i="5"/>
  <c r="L223" i="5"/>
  <c r="K223" i="5"/>
  <c r="N222" i="5" s="1"/>
  <c r="Q222" i="5"/>
  <c r="M222" i="5"/>
  <c r="L222" i="5"/>
  <c r="O222" i="5" s="1"/>
  <c r="R222" i="5" s="1"/>
  <c r="K222" i="5"/>
  <c r="M221" i="5"/>
  <c r="L221" i="5"/>
  <c r="K221" i="5"/>
  <c r="M220" i="5"/>
  <c r="L220" i="5"/>
  <c r="K220" i="5"/>
  <c r="M219" i="5"/>
  <c r="L219" i="5"/>
  <c r="K219" i="5"/>
  <c r="N218" i="5" s="1"/>
  <c r="Q218" i="5" s="1"/>
  <c r="M218" i="5"/>
  <c r="L218" i="5"/>
  <c r="K218" i="5"/>
  <c r="M217" i="5"/>
  <c r="L217" i="5"/>
  <c r="K217" i="5"/>
  <c r="M216" i="5"/>
  <c r="L216" i="5"/>
  <c r="K216" i="5"/>
  <c r="M215" i="5"/>
  <c r="L215" i="5"/>
  <c r="K215" i="5"/>
  <c r="N214" i="5"/>
  <c r="Q214" i="5" s="1"/>
  <c r="M214" i="5"/>
  <c r="P214" i="5" s="1"/>
  <c r="S214" i="5" s="1"/>
  <c r="L214" i="5"/>
  <c r="K214" i="5"/>
  <c r="M213" i="5"/>
  <c r="L213" i="5"/>
  <c r="K213" i="5"/>
  <c r="M212" i="5"/>
  <c r="L212" i="5"/>
  <c r="O210" i="5" s="1"/>
  <c r="R210" i="5" s="1"/>
  <c r="K212" i="5"/>
  <c r="M211" i="5"/>
  <c r="L211" i="5"/>
  <c r="K211" i="5"/>
  <c r="P210" i="5"/>
  <c r="S210" i="5" s="1"/>
  <c r="M210" i="5"/>
  <c r="L210" i="5"/>
  <c r="K210" i="5"/>
  <c r="M209" i="5"/>
  <c r="L209" i="5"/>
  <c r="K209" i="5"/>
  <c r="M208" i="5"/>
  <c r="L208" i="5"/>
  <c r="K208" i="5"/>
  <c r="M207" i="5"/>
  <c r="L207" i="5"/>
  <c r="K207" i="5"/>
  <c r="N206" i="5" s="1"/>
  <c r="Q206" i="5" s="1"/>
  <c r="R206" i="5"/>
  <c r="M206" i="5"/>
  <c r="P206" i="5" s="1"/>
  <c r="S206" i="5" s="1"/>
  <c r="L206" i="5"/>
  <c r="O206" i="5" s="1"/>
  <c r="K206" i="5"/>
  <c r="M205" i="5"/>
  <c r="L205" i="5"/>
  <c r="K205" i="5"/>
  <c r="M204" i="5"/>
  <c r="L204" i="5"/>
  <c r="K204" i="5"/>
  <c r="M203" i="5"/>
  <c r="L203" i="5"/>
  <c r="K203" i="5"/>
  <c r="M202" i="5"/>
  <c r="L202" i="5"/>
  <c r="K202" i="5"/>
  <c r="M201" i="5"/>
  <c r="L201" i="5"/>
  <c r="K201" i="5"/>
  <c r="M200" i="5"/>
  <c r="L200" i="5"/>
  <c r="O199" i="5" s="1"/>
  <c r="R199" i="5" s="1"/>
  <c r="K200" i="5"/>
  <c r="M199" i="5"/>
  <c r="P199" i="5" s="1"/>
  <c r="S199" i="5" s="1"/>
  <c r="L199" i="5"/>
  <c r="K199" i="5"/>
  <c r="M198" i="5"/>
  <c r="L198" i="5"/>
  <c r="K198" i="5"/>
  <c r="M197" i="5"/>
  <c r="L197" i="5"/>
  <c r="K197" i="5"/>
  <c r="N195" i="5" s="1"/>
  <c r="Q195" i="5" s="1"/>
  <c r="M196" i="5"/>
  <c r="L196" i="5"/>
  <c r="K196" i="5"/>
  <c r="O195" i="5"/>
  <c r="R195" i="5" s="1"/>
  <c r="M195" i="5"/>
  <c r="L195" i="5"/>
  <c r="K195" i="5"/>
  <c r="M194" i="5"/>
  <c r="L194" i="5"/>
  <c r="K194" i="5"/>
  <c r="M193" i="5"/>
  <c r="L193" i="5"/>
  <c r="K193" i="5"/>
  <c r="M192" i="5"/>
  <c r="L192" i="5"/>
  <c r="K192" i="5"/>
  <c r="P191" i="5"/>
  <c r="S191" i="5" s="1"/>
  <c r="M191" i="5"/>
  <c r="L191" i="5"/>
  <c r="K191" i="5"/>
  <c r="N191" i="5" s="1"/>
  <c r="Q191" i="5" s="1"/>
  <c r="M190" i="5"/>
  <c r="L190" i="5"/>
  <c r="K190" i="5"/>
  <c r="M189" i="5"/>
  <c r="L189" i="5"/>
  <c r="K189" i="5"/>
  <c r="M188" i="5"/>
  <c r="L188" i="5"/>
  <c r="O187" i="5" s="1"/>
  <c r="R187" i="5" s="1"/>
  <c r="K188" i="5"/>
  <c r="M187" i="5"/>
  <c r="P187" i="5" s="1"/>
  <c r="S187" i="5" s="1"/>
  <c r="L187" i="5"/>
  <c r="K187" i="5"/>
  <c r="N187" i="5" s="1"/>
  <c r="Q187" i="5" s="1"/>
  <c r="M186" i="5"/>
  <c r="L186" i="5"/>
  <c r="K186" i="5"/>
  <c r="M185" i="5"/>
  <c r="L185" i="5"/>
  <c r="K185" i="5"/>
  <c r="M184" i="5"/>
  <c r="L184" i="5"/>
  <c r="K184" i="5"/>
  <c r="M183" i="5"/>
  <c r="P183" i="5" s="1"/>
  <c r="S183" i="5" s="1"/>
  <c r="L183" i="5"/>
  <c r="O183" i="5" s="1"/>
  <c r="R183" i="5" s="1"/>
  <c r="K183" i="5"/>
  <c r="M182" i="5"/>
  <c r="L182" i="5"/>
  <c r="K182" i="5"/>
  <c r="M181" i="5"/>
  <c r="L181" i="5"/>
  <c r="K181" i="5"/>
  <c r="M180" i="5"/>
  <c r="L180" i="5"/>
  <c r="K180" i="5"/>
  <c r="O179" i="5"/>
  <c r="R179" i="5" s="1"/>
  <c r="M179" i="5"/>
  <c r="L179" i="5"/>
  <c r="K179" i="5"/>
  <c r="N179" i="5" s="1"/>
  <c r="Q179" i="5" s="1"/>
  <c r="M178" i="5"/>
  <c r="L178" i="5"/>
  <c r="K178" i="5"/>
  <c r="M177" i="5"/>
  <c r="L177" i="5"/>
  <c r="K177" i="5"/>
  <c r="M176" i="5"/>
  <c r="L176" i="5"/>
  <c r="K176" i="5"/>
  <c r="P175" i="5"/>
  <c r="S175" i="5" s="1"/>
  <c r="M175" i="5"/>
  <c r="L175" i="5"/>
  <c r="K175" i="5"/>
  <c r="N175" i="5" s="1"/>
  <c r="Q175" i="5" s="1"/>
  <c r="M174" i="5"/>
  <c r="L174" i="5"/>
  <c r="K174" i="5"/>
  <c r="M173" i="5"/>
  <c r="L173" i="5"/>
  <c r="K173" i="5"/>
  <c r="M172" i="5"/>
  <c r="L172" i="5"/>
  <c r="K172" i="5"/>
  <c r="S171" i="5"/>
  <c r="M171" i="5"/>
  <c r="P171" i="5" s="1"/>
  <c r="L171" i="5"/>
  <c r="K171" i="5"/>
  <c r="N171" i="5" s="1"/>
  <c r="Q171" i="5" s="1"/>
  <c r="M170" i="5"/>
  <c r="L170" i="5"/>
  <c r="K170" i="5"/>
  <c r="M169" i="5"/>
  <c r="L169" i="5"/>
  <c r="K169" i="5"/>
  <c r="M168" i="5"/>
  <c r="L168" i="5"/>
  <c r="K168" i="5"/>
  <c r="M167" i="5"/>
  <c r="L167" i="5"/>
  <c r="K167" i="5"/>
  <c r="M166" i="5"/>
  <c r="L166" i="5"/>
  <c r="O165" i="5" s="1"/>
  <c r="R165" i="5" s="1"/>
  <c r="K166" i="5"/>
  <c r="M165" i="5"/>
  <c r="P165" i="5" s="1"/>
  <c r="S165" i="5" s="1"/>
  <c r="L165" i="5"/>
  <c r="K165" i="5"/>
  <c r="M164" i="5"/>
  <c r="L164" i="5"/>
  <c r="K164" i="5"/>
  <c r="M163" i="5"/>
  <c r="L163" i="5"/>
  <c r="K163" i="5"/>
  <c r="M162" i="5"/>
  <c r="L162" i="5"/>
  <c r="K162" i="5"/>
  <c r="M161" i="5"/>
  <c r="L161" i="5"/>
  <c r="O161" i="5" s="1"/>
  <c r="R161" i="5" s="1"/>
  <c r="K161" i="5"/>
  <c r="M160" i="5"/>
  <c r="L160" i="5"/>
  <c r="O157" i="5" s="1"/>
  <c r="R157" i="5" s="1"/>
  <c r="K160" i="5"/>
  <c r="M159" i="5"/>
  <c r="L159" i="5"/>
  <c r="K159" i="5"/>
  <c r="M158" i="5"/>
  <c r="P157" i="5" s="1"/>
  <c r="S157" i="5" s="1"/>
  <c r="L158" i="5"/>
  <c r="K158" i="5"/>
  <c r="M157" i="5"/>
  <c r="L157" i="5"/>
  <c r="K157" i="5"/>
  <c r="N157" i="5" s="1"/>
  <c r="Q157" i="5" s="1"/>
  <c r="M156" i="5"/>
  <c r="L156" i="5"/>
  <c r="K156" i="5"/>
  <c r="M155" i="5"/>
  <c r="L155" i="5"/>
  <c r="K155" i="5"/>
  <c r="M154" i="5"/>
  <c r="L154" i="5"/>
  <c r="K154" i="5"/>
  <c r="P153" i="5"/>
  <c r="S153" i="5" s="1"/>
  <c r="M153" i="5"/>
  <c r="L153" i="5"/>
  <c r="K153" i="5"/>
  <c r="N153" i="5" s="1"/>
  <c r="Q153" i="5" s="1"/>
  <c r="M152" i="5"/>
  <c r="L152" i="5"/>
  <c r="K152" i="5"/>
  <c r="M151" i="5"/>
  <c r="L151" i="5"/>
  <c r="K151" i="5"/>
  <c r="M150" i="5"/>
  <c r="L150" i="5"/>
  <c r="O149" i="5" s="1"/>
  <c r="R149" i="5" s="1"/>
  <c r="K150" i="5"/>
  <c r="M149" i="5"/>
  <c r="P149" i="5" s="1"/>
  <c r="S149" i="5" s="1"/>
  <c r="L149" i="5"/>
  <c r="K149" i="5"/>
  <c r="N149" i="5" s="1"/>
  <c r="Q149" i="5" s="1"/>
  <c r="M148" i="5"/>
  <c r="L148" i="5"/>
  <c r="K148" i="5"/>
  <c r="N145" i="5" s="1"/>
  <c r="Q145" i="5" s="1"/>
  <c r="M147" i="5"/>
  <c r="L147" i="5"/>
  <c r="K147" i="5"/>
  <c r="M146" i="5"/>
  <c r="L146" i="5"/>
  <c r="K146" i="5"/>
  <c r="M145" i="5"/>
  <c r="L145" i="5"/>
  <c r="O145" i="5" s="1"/>
  <c r="R145" i="5" s="1"/>
  <c r="K145" i="5"/>
  <c r="M144" i="5"/>
  <c r="L144" i="5"/>
  <c r="K144" i="5"/>
  <c r="M143" i="5"/>
  <c r="L143" i="5"/>
  <c r="K143" i="5"/>
  <c r="M142" i="5"/>
  <c r="P141" i="5" s="1"/>
  <c r="S141" i="5" s="1"/>
  <c r="L142" i="5"/>
  <c r="K142" i="5"/>
  <c r="Q141" i="5"/>
  <c r="N141" i="5"/>
  <c r="M141" i="5"/>
  <c r="L141" i="5"/>
  <c r="O141" i="5" s="1"/>
  <c r="R141" i="5" s="1"/>
  <c r="K141" i="5"/>
  <c r="M140" i="5"/>
  <c r="L140" i="5"/>
  <c r="K140" i="5"/>
  <c r="M139" i="5"/>
  <c r="L139" i="5"/>
  <c r="K139" i="5"/>
  <c r="M138" i="5"/>
  <c r="L138" i="5"/>
  <c r="K138" i="5"/>
  <c r="Q137" i="5"/>
  <c r="N137" i="5"/>
  <c r="M137" i="5"/>
  <c r="L137" i="5"/>
  <c r="K137" i="5"/>
  <c r="M136" i="5"/>
  <c r="L136" i="5"/>
  <c r="K136" i="5"/>
  <c r="M135" i="5"/>
  <c r="L135" i="5"/>
  <c r="K135" i="5"/>
  <c r="M134" i="5"/>
  <c r="L134" i="5"/>
  <c r="K134" i="5"/>
  <c r="M133" i="5"/>
  <c r="L133" i="5"/>
  <c r="K133" i="5"/>
  <c r="M132" i="5"/>
  <c r="L132" i="5"/>
  <c r="O129" i="5" s="1"/>
  <c r="R129" i="5" s="1"/>
  <c r="K132" i="5"/>
  <c r="M131" i="5"/>
  <c r="L131" i="5"/>
  <c r="K131" i="5"/>
  <c r="M130" i="5"/>
  <c r="P129" i="5" s="1"/>
  <c r="S129" i="5" s="1"/>
  <c r="L130" i="5"/>
  <c r="K130" i="5"/>
  <c r="M129" i="5"/>
  <c r="L129" i="5"/>
  <c r="K129" i="5"/>
  <c r="N129" i="5" s="1"/>
  <c r="Q129" i="5" s="1"/>
  <c r="M128" i="5"/>
  <c r="L128" i="5"/>
  <c r="K128" i="5"/>
  <c r="M127" i="5"/>
  <c r="L127" i="5"/>
  <c r="K127" i="5"/>
  <c r="M126" i="5"/>
  <c r="L126" i="5"/>
  <c r="K126" i="5"/>
  <c r="M125" i="5"/>
  <c r="P125" i="5" s="1"/>
  <c r="S125" i="5" s="1"/>
  <c r="L125" i="5"/>
  <c r="O125" i="5" s="1"/>
  <c r="R125" i="5" s="1"/>
  <c r="K125" i="5"/>
  <c r="N125" i="5" s="1"/>
  <c r="Q125" i="5" s="1"/>
  <c r="M124" i="5"/>
  <c r="L124" i="5"/>
  <c r="K124" i="5"/>
  <c r="M123" i="5"/>
  <c r="L123" i="5"/>
  <c r="K123" i="5"/>
  <c r="M122" i="5"/>
  <c r="L122" i="5"/>
  <c r="O121" i="5" s="1"/>
  <c r="R121" i="5" s="1"/>
  <c r="K122" i="5"/>
  <c r="M121" i="5"/>
  <c r="P121" i="5" s="1"/>
  <c r="S121" i="5" s="1"/>
  <c r="L121" i="5"/>
  <c r="K121" i="5"/>
  <c r="N121" i="5" s="1"/>
  <c r="Q121" i="5" s="1"/>
  <c r="M120" i="5"/>
  <c r="L120" i="5"/>
  <c r="K120" i="5"/>
  <c r="N117" i="5" s="1"/>
  <c r="Q117" i="5" s="1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P113" i="5" s="1"/>
  <c r="S113" i="5" s="1"/>
  <c r="L114" i="5"/>
  <c r="K114" i="5"/>
  <c r="Q113" i="5"/>
  <c r="N113" i="5"/>
  <c r="M113" i="5"/>
  <c r="L113" i="5"/>
  <c r="O113" i="5" s="1"/>
  <c r="R113" i="5" s="1"/>
  <c r="K113" i="5"/>
  <c r="M112" i="5"/>
  <c r="L112" i="5"/>
  <c r="K112" i="5"/>
  <c r="M111" i="5"/>
  <c r="L111" i="5"/>
  <c r="K111" i="5"/>
  <c r="M110" i="5"/>
  <c r="L110" i="5"/>
  <c r="K110" i="5"/>
  <c r="Q109" i="5"/>
  <c r="N109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R105" i="5"/>
  <c r="O105" i="5"/>
  <c r="M105" i="5"/>
  <c r="P105" i="5" s="1"/>
  <c r="S105" i="5" s="1"/>
  <c r="L105" i="5"/>
  <c r="K105" i="5"/>
  <c r="M104" i="5"/>
  <c r="L104" i="5"/>
  <c r="K104" i="5"/>
  <c r="M103" i="5"/>
  <c r="L103" i="5"/>
  <c r="K103" i="5"/>
  <c r="M102" i="5"/>
  <c r="L102" i="5"/>
  <c r="K102" i="5"/>
  <c r="O101" i="5"/>
  <c r="R101" i="5" s="1"/>
  <c r="M101" i="5"/>
  <c r="P101" i="5" s="1"/>
  <c r="S101" i="5" s="1"/>
  <c r="L101" i="5"/>
  <c r="K101" i="5"/>
  <c r="M100" i="5"/>
  <c r="P97" i="5" s="1"/>
  <c r="S97" i="5" s="1"/>
  <c r="L100" i="5"/>
  <c r="K100" i="5"/>
  <c r="M99" i="5"/>
  <c r="L99" i="5"/>
  <c r="K99" i="5"/>
  <c r="N97" i="5" s="1"/>
  <c r="Q97" i="5" s="1"/>
  <c r="M98" i="5"/>
  <c r="L98" i="5"/>
  <c r="K98" i="5"/>
  <c r="O97" i="5"/>
  <c r="R97" i="5" s="1"/>
  <c r="M97" i="5"/>
  <c r="L97" i="5"/>
  <c r="K97" i="5"/>
  <c r="M96" i="5"/>
  <c r="L96" i="5"/>
  <c r="K96" i="5"/>
  <c r="N93" i="5" s="1"/>
  <c r="Q93" i="5" s="1"/>
  <c r="M95" i="5"/>
  <c r="L95" i="5"/>
  <c r="K95" i="5"/>
  <c r="M94" i="5"/>
  <c r="L94" i="5"/>
  <c r="K94" i="5"/>
  <c r="P93" i="5"/>
  <c r="S93" i="5" s="1"/>
  <c r="M93" i="5"/>
  <c r="L93" i="5"/>
  <c r="K93" i="5"/>
  <c r="M92" i="5"/>
  <c r="L92" i="5"/>
  <c r="K92" i="5"/>
  <c r="M91" i="5"/>
  <c r="L91" i="5"/>
  <c r="K91" i="5"/>
  <c r="M90" i="5"/>
  <c r="L90" i="5"/>
  <c r="K90" i="5"/>
  <c r="P89" i="5"/>
  <c r="S89" i="5" s="1"/>
  <c r="M89" i="5"/>
  <c r="L89" i="5"/>
  <c r="O89" i="5" s="1"/>
  <c r="R89" i="5" s="1"/>
  <c r="K89" i="5"/>
  <c r="M88" i="5"/>
  <c r="L88" i="5"/>
  <c r="K88" i="5"/>
  <c r="M87" i="5"/>
  <c r="L87" i="5"/>
  <c r="K87" i="5"/>
  <c r="M86" i="5"/>
  <c r="L86" i="5"/>
  <c r="K86" i="5"/>
  <c r="N85" i="5" s="1"/>
  <c r="Q85" i="5" s="1"/>
  <c r="O85" i="5"/>
  <c r="R85" i="5" s="1"/>
  <c r="M85" i="5"/>
  <c r="L85" i="5"/>
  <c r="K85" i="5"/>
  <c r="M84" i="5"/>
  <c r="L84" i="5"/>
  <c r="O81" i="5" s="1"/>
  <c r="R81" i="5" s="1"/>
  <c r="K84" i="5"/>
  <c r="M83" i="5"/>
  <c r="L83" i="5"/>
  <c r="K83" i="5"/>
  <c r="M82" i="5"/>
  <c r="L82" i="5"/>
  <c r="K82" i="5"/>
  <c r="P81" i="5"/>
  <c r="S81" i="5" s="1"/>
  <c r="M81" i="5"/>
  <c r="L81" i="5"/>
  <c r="K81" i="5"/>
  <c r="N81" i="5" s="1"/>
  <c r="Q81" i="5" s="1"/>
  <c r="M80" i="5"/>
  <c r="L80" i="5"/>
  <c r="K80" i="5"/>
  <c r="N77" i="5" s="1"/>
  <c r="Q77" i="5" s="1"/>
  <c r="M79" i="5"/>
  <c r="L79" i="5"/>
  <c r="K79" i="5"/>
  <c r="M78" i="5"/>
  <c r="L78" i="5"/>
  <c r="K78" i="5"/>
  <c r="R77" i="5"/>
  <c r="M77" i="5"/>
  <c r="P77" i="5" s="1"/>
  <c r="S77" i="5" s="1"/>
  <c r="L77" i="5"/>
  <c r="O77" i="5" s="1"/>
  <c r="K77" i="5"/>
  <c r="M76" i="5"/>
  <c r="P73" i="5" s="1"/>
  <c r="L76" i="5"/>
  <c r="O73" i="5" s="1"/>
  <c r="R73" i="5" s="1"/>
  <c r="K76" i="5"/>
  <c r="M75" i="5"/>
  <c r="L75" i="5"/>
  <c r="K75" i="5"/>
  <c r="M74" i="5"/>
  <c r="L74" i="5"/>
  <c r="K74" i="5"/>
  <c r="S73" i="5"/>
  <c r="M73" i="5"/>
  <c r="L73" i="5"/>
  <c r="K73" i="5"/>
  <c r="M72" i="5"/>
  <c r="L72" i="5"/>
  <c r="K72" i="5"/>
  <c r="M71" i="5"/>
  <c r="L71" i="5"/>
  <c r="K71" i="5"/>
  <c r="M70" i="5"/>
  <c r="L70" i="5"/>
  <c r="K70" i="5"/>
  <c r="N69" i="5"/>
  <c r="Q69" i="5" s="1"/>
  <c r="M69" i="5"/>
  <c r="L69" i="5"/>
  <c r="O69" i="5" s="1"/>
  <c r="R69" i="5" s="1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N63" i="5" s="1"/>
  <c r="Q63" i="5" s="1"/>
  <c r="O63" i="5"/>
  <c r="R63" i="5" s="1"/>
  <c r="M63" i="5"/>
  <c r="L63" i="5"/>
  <c r="K63" i="5"/>
  <c r="M62" i="5"/>
  <c r="L62" i="5"/>
  <c r="O59" i="5" s="1"/>
  <c r="R59" i="5" s="1"/>
  <c r="K62" i="5"/>
  <c r="M61" i="5"/>
  <c r="L61" i="5"/>
  <c r="K61" i="5"/>
  <c r="M60" i="5"/>
  <c r="L60" i="5"/>
  <c r="K60" i="5"/>
  <c r="P59" i="5"/>
  <c r="S59" i="5" s="1"/>
  <c r="M59" i="5"/>
  <c r="L59" i="5"/>
  <c r="K59" i="5"/>
  <c r="N59" i="5" s="1"/>
  <c r="Q59" i="5" s="1"/>
  <c r="M58" i="5"/>
  <c r="L58" i="5"/>
  <c r="K58" i="5"/>
  <c r="M57" i="5"/>
  <c r="L57" i="5"/>
  <c r="K57" i="5"/>
  <c r="M56" i="5"/>
  <c r="L56" i="5"/>
  <c r="K56" i="5"/>
  <c r="R55" i="5"/>
  <c r="O55" i="5"/>
  <c r="M55" i="5"/>
  <c r="P55" i="5" s="1"/>
  <c r="S55" i="5" s="1"/>
  <c r="L55" i="5"/>
  <c r="K55" i="5"/>
  <c r="M54" i="5"/>
  <c r="L54" i="5"/>
  <c r="K54" i="5"/>
  <c r="M53" i="5"/>
  <c r="L53" i="5"/>
  <c r="K53" i="5"/>
  <c r="M52" i="5"/>
  <c r="L52" i="5"/>
  <c r="K52" i="5"/>
  <c r="N51" i="5" s="1"/>
  <c r="Q51" i="5" s="1"/>
  <c r="M51" i="5"/>
  <c r="L51" i="5"/>
  <c r="O51" i="5" s="1"/>
  <c r="R51" i="5" s="1"/>
  <c r="K51" i="5"/>
  <c r="M50" i="5"/>
  <c r="L50" i="5"/>
  <c r="K50" i="5"/>
  <c r="M49" i="5"/>
  <c r="L49" i="5"/>
  <c r="O47" i="5" s="1"/>
  <c r="R47" i="5" s="1"/>
  <c r="K49" i="5"/>
  <c r="M48" i="5"/>
  <c r="P47" i="5" s="1"/>
  <c r="S47" i="5" s="1"/>
  <c r="L48" i="5"/>
  <c r="K48" i="5"/>
  <c r="N47" i="5"/>
  <c r="Q47" i="5" s="1"/>
  <c r="M47" i="5"/>
  <c r="L47" i="5"/>
  <c r="K47" i="5"/>
  <c r="M46" i="5"/>
  <c r="L46" i="5"/>
  <c r="K46" i="5"/>
  <c r="M45" i="5"/>
  <c r="L45" i="5"/>
  <c r="K45" i="5"/>
  <c r="M44" i="5"/>
  <c r="L44" i="5"/>
  <c r="O43" i="5" s="1"/>
  <c r="R43" i="5" s="1"/>
  <c r="K44" i="5"/>
  <c r="P43" i="5"/>
  <c r="S43" i="5" s="1"/>
  <c r="M43" i="5"/>
  <c r="L43" i="5"/>
  <c r="K43" i="5"/>
  <c r="N43" i="5" s="1"/>
  <c r="Q43" i="5" s="1"/>
  <c r="M42" i="5"/>
  <c r="L42" i="5"/>
  <c r="K42" i="5"/>
  <c r="M41" i="5"/>
  <c r="L41" i="5"/>
  <c r="K41" i="5"/>
  <c r="M40" i="5"/>
  <c r="L40" i="5"/>
  <c r="K40" i="5"/>
  <c r="R39" i="5"/>
  <c r="O39" i="5"/>
  <c r="M39" i="5"/>
  <c r="P39" i="5" s="1"/>
  <c r="S39" i="5" s="1"/>
  <c r="L39" i="5"/>
  <c r="K39" i="5"/>
  <c r="M38" i="5"/>
  <c r="L38" i="5"/>
  <c r="K38" i="5"/>
  <c r="M37" i="5"/>
  <c r="L37" i="5"/>
  <c r="K37" i="5"/>
  <c r="M36" i="5"/>
  <c r="L36" i="5"/>
  <c r="K36" i="5"/>
  <c r="N35" i="5" s="1"/>
  <c r="Q35" i="5" s="1"/>
  <c r="M35" i="5"/>
  <c r="L35" i="5"/>
  <c r="O35" i="5" s="1"/>
  <c r="R35" i="5" s="1"/>
  <c r="K35" i="5"/>
  <c r="M34" i="5"/>
  <c r="L34" i="5"/>
  <c r="K34" i="5"/>
  <c r="M33" i="5"/>
  <c r="L33" i="5"/>
  <c r="O31" i="5" s="1"/>
  <c r="R31" i="5" s="1"/>
  <c r="K33" i="5"/>
  <c r="M32" i="5"/>
  <c r="P31" i="5" s="1"/>
  <c r="S31" i="5" s="1"/>
  <c r="L32" i="5"/>
  <c r="K32" i="5"/>
  <c r="N31" i="5"/>
  <c r="Q31" i="5" s="1"/>
  <c r="M31" i="5"/>
  <c r="L31" i="5"/>
  <c r="K31" i="5"/>
  <c r="M30" i="5"/>
  <c r="L30" i="5"/>
  <c r="K30" i="5"/>
  <c r="M29" i="5"/>
  <c r="L29" i="5"/>
  <c r="K29" i="5"/>
  <c r="M28" i="5"/>
  <c r="L28" i="5"/>
  <c r="O27" i="5" s="1"/>
  <c r="R27" i="5" s="1"/>
  <c r="K28" i="5"/>
  <c r="P27" i="5"/>
  <c r="S27" i="5" s="1"/>
  <c r="M27" i="5"/>
  <c r="L27" i="5"/>
  <c r="K27" i="5"/>
  <c r="N27" i="5" s="1"/>
  <c r="Q27" i="5" s="1"/>
  <c r="M26" i="5"/>
  <c r="L26" i="5"/>
  <c r="K26" i="5"/>
  <c r="M25" i="5"/>
  <c r="L25" i="5"/>
  <c r="K25" i="5"/>
  <c r="M24" i="5"/>
  <c r="L24" i="5"/>
  <c r="K24" i="5"/>
  <c r="R23" i="5"/>
  <c r="O23" i="5"/>
  <c r="M23" i="5"/>
  <c r="P23" i="5" s="1"/>
  <c r="S23" i="5" s="1"/>
  <c r="L23" i="5"/>
  <c r="K23" i="5"/>
  <c r="M22" i="5"/>
  <c r="L22" i="5"/>
  <c r="K22" i="5"/>
  <c r="M21" i="5"/>
  <c r="L21" i="5"/>
  <c r="K21" i="5"/>
  <c r="M20" i="5"/>
  <c r="L20" i="5"/>
  <c r="K20" i="5"/>
  <c r="N19" i="5" s="1"/>
  <c r="Q19" i="5" s="1"/>
  <c r="M19" i="5"/>
  <c r="L19" i="5"/>
  <c r="O19" i="5" s="1"/>
  <c r="R19" i="5" s="1"/>
  <c r="K19" i="5"/>
  <c r="M18" i="5"/>
  <c r="L18" i="5"/>
  <c r="K18" i="5"/>
  <c r="M17" i="5"/>
  <c r="L17" i="5"/>
  <c r="O15" i="5" s="1"/>
  <c r="R15" i="5" s="1"/>
  <c r="K17" i="5"/>
  <c r="M16" i="5"/>
  <c r="P15" i="5" s="1"/>
  <c r="S15" i="5" s="1"/>
  <c r="L16" i="5"/>
  <c r="K16" i="5"/>
  <c r="N15" i="5"/>
  <c r="Q15" i="5" s="1"/>
  <c r="M15" i="5"/>
  <c r="L15" i="5"/>
  <c r="K15" i="5"/>
  <c r="M14" i="5"/>
  <c r="L14" i="5"/>
  <c r="K14" i="5"/>
  <c r="M13" i="5"/>
  <c r="L13" i="5"/>
  <c r="K13" i="5"/>
  <c r="M12" i="5"/>
  <c r="L12" i="5"/>
  <c r="O11" i="5" s="1"/>
  <c r="R11" i="5" s="1"/>
  <c r="K12" i="5"/>
  <c r="P11" i="5"/>
  <c r="S11" i="5" s="1"/>
  <c r="M11" i="5"/>
  <c r="L11" i="5"/>
  <c r="K11" i="5"/>
  <c r="N11" i="5" s="1"/>
  <c r="Q11" i="5" s="1"/>
  <c r="M10" i="5"/>
  <c r="L10" i="5"/>
  <c r="K10" i="5"/>
  <c r="M9" i="5"/>
  <c r="L9" i="5"/>
  <c r="K9" i="5"/>
  <c r="M8" i="5"/>
  <c r="L8" i="5"/>
  <c r="K8" i="5"/>
  <c r="M7" i="5"/>
  <c r="P7" i="5" s="1"/>
  <c r="S7" i="5" s="1"/>
  <c r="L7" i="5"/>
  <c r="O7" i="5" s="1"/>
  <c r="R7" i="5" s="1"/>
  <c r="K7" i="5"/>
  <c r="M6" i="5"/>
  <c r="L6" i="5"/>
  <c r="K6" i="5"/>
  <c r="M5" i="5"/>
  <c r="L5" i="5"/>
  <c r="K5" i="5"/>
  <c r="M4" i="5"/>
  <c r="L4" i="5"/>
  <c r="K4" i="5"/>
  <c r="N3" i="5" s="1"/>
  <c r="Q3" i="5" s="1"/>
  <c r="M3" i="5"/>
  <c r="P3" i="5" s="1"/>
  <c r="S3" i="5" s="1"/>
  <c r="L3" i="5"/>
  <c r="O3" i="5" s="1"/>
  <c r="R3" i="5" s="1"/>
  <c r="K3" i="5"/>
  <c r="M1512" i="4"/>
  <c r="L1512" i="4"/>
  <c r="K1512" i="4"/>
  <c r="M1511" i="4"/>
  <c r="L1511" i="4"/>
  <c r="K1511" i="4"/>
  <c r="M1510" i="4"/>
  <c r="L1510" i="4"/>
  <c r="K1510" i="4"/>
  <c r="M1509" i="4"/>
  <c r="L1509" i="4"/>
  <c r="K1509" i="4"/>
  <c r="M1508" i="4"/>
  <c r="P1506" i="4" s="1"/>
  <c r="L1508" i="4"/>
  <c r="K1508" i="4"/>
  <c r="M1507" i="4"/>
  <c r="L1507" i="4"/>
  <c r="K1507" i="4"/>
  <c r="N1506" i="4" s="1"/>
  <c r="Q1506" i="4" s="1"/>
  <c r="O1506" i="4"/>
  <c r="M1506" i="4"/>
  <c r="L1506" i="4"/>
  <c r="K1506" i="4"/>
  <c r="M1505" i="4"/>
  <c r="L1505" i="4"/>
  <c r="K1505" i="4"/>
  <c r="M1504" i="4"/>
  <c r="L1504" i="4"/>
  <c r="K1504" i="4"/>
  <c r="M1503" i="4"/>
  <c r="L1503" i="4"/>
  <c r="K1503" i="4"/>
  <c r="Q1502" i="4"/>
  <c r="M1502" i="4"/>
  <c r="L1502" i="4"/>
  <c r="O1502" i="4" s="1"/>
  <c r="K1502" i="4"/>
  <c r="N1502" i="4" s="1"/>
  <c r="M1501" i="4"/>
  <c r="L1501" i="4"/>
  <c r="K1501" i="4"/>
  <c r="M1500" i="4"/>
  <c r="L1500" i="4"/>
  <c r="K1500" i="4"/>
  <c r="M1499" i="4"/>
  <c r="L1499" i="4"/>
  <c r="K1499" i="4"/>
  <c r="P1498" i="4"/>
  <c r="M1498" i="4"/>
  <c r="L1498" i="4"/>
  <c r="O1498" i="4" s="1"/>
  <c r="K1498" i="4"/>
  <c r="N1498" i="4" s="1"/>
  <c r="Q1498" i="4" s="1"/>
  <c r="M1497" i="4"/>
  <c r="L1497" i="4"/>
  <c r="K1497" i="4"/>
  <c r="M1496" i="4"/>
  <c r="L1496" i="4"/>
  <c r="K1496" i="4"/>
  <c r="N1494" i="4" s="1"/>
  <c r="Q1494" i="4" s="1"/>
  <c r="M1495" i="4"/>
  <c r="L1495" i="4"/>
  <c r="O1494" i="4" s="1"/>
  <c r="K1495" i="4"/>
  <c r="M1494" i="4"/>
  <c r="P1494" i="4" s="1"/>
  <c r="L1494" i="4"/>
  <c r="K1494" i="4"/>
  <c r="M1493" i="4"/>
  <c r="L1493" i="4"/>
  <c r="K1493" i="4"/>
  <c r="M1492" i="4"/>
  <c r="P1490" i="4" s="1"/>
  <c r="L1492" i="4"/>
  <c r="K1492" i="4"/>
  <c r="M1491" i="4"/>
  <c r="L1491" i="4"/>
  <c r="K1491" i="4"/>
  <c r="N1490" i="4" s="1"/>
  <c r="Q1490" i="4" s="1"/>
  <c r="O1490" i="4"/>
  <c r="M1490" i="4"/>
  <c r="L1490" i="4"/>
  <c r="K1490" i="4"/>
  <c r="M1489" i="4"/>
  <c r="L1489" i="4"/>
  <c r="K1489" i="4"/>
  <c r="M1488" i="4"/>
  <c r="L1488" i="4"/>
  <c r="K1488" i="4"/>
  <c r="M1487" i="4"/>
  <c r="L1487" i="4"/>
  <c r="K1487" i="4"/>
  <c r="Q1486" i="4"/>
  <c r="N1486" i="4"/>
  <c r="M1486" i="4"/>
  <c r="L1486" i="4"/>
  <c r="O1486" i="4" s="1"/>
  <c r="K1486" i="4"/>
  <c r="M1485" i="4"/>
  <c r="L1485" i="4"/>
  <c r="K1485" i="4"/>
  <c r="M1484" i="4"/>
  <c r="L1484" i="4"/>
  <c r="K1484" i="4"/>
  <c r="M1483" i="4"/>
  <c r="L1483" i="4"/>
  <c r="K1483" i="4"/>
  <c r="P1482" i="4"/>
  <c r="M1482" i="4"/>
  <c r="L1482" i="4"/>
  <c r="K1482" i="4"/>
  <c r="N1482" i="4" s="1"/>
  <c r="Q1482" i="4" s="1"/>
  <c r="M1481" i="4"/>
  <c r="L1481" i="4"/>
  <c r="K1481" i="4"/>
  <c r="M1480" i="4"/>
  <c r="L1480" i="4"/>
  <c r="K1480" i="4"/>
  <c r="N1478" i="4" s="1"/>
  <c r="Q1478" i="4" s="1"/>
  <c r="M1479" i="4"/>
  <c r="L1479" i="4"/>
  <c r="O1478" i="4" s="1"/>
  <c r="K1479" i="4"/>
  <c r="M1478" i="4"/>
  <c r="P1478" i="4" s="1"/>
  <c r="L1478" i="4"/>
  <c r="K1478" i="4"/>
  <c r="M1477" i="4"/>
  <c r="L1477" i="4"/>
  <c r="K1477" i="4"/>
  <c r="M1476" i="4"/>
  <c r="P1474" i="4" s="1"/>
  <c r="L1476" i="4"/>
  <c r="K1476" i="4"/>
  <c r="M1475" i="4"/>
  <c r="L1475" i="4"/>
  <c r="K1475" i="4"/>
  <c r="O1474" i="4"/>
  <c r="M1474" i="4"/>
  <c r="L1474" i="4"/>
  <c r="K1474" i="4"/>
  <c r="M1473" i="4"/>
  <c r="L1473" i="4"/>
  <c r="K1473" i="4"/>
  <c r="M1472" i="4"/>
  <c r="L1472" i="4"/>
  <c r="K1472" i="4"/>
  <c r="M1471" i="4"/>
  <c r="P1470" i="4" s="1"/>
  <c r="L1471" i="4"/>
  <c r="K1471" i="4"/>
  <c r="Q1470" i="4"/>
  <c r="N1470" i="4"/>
  <c r="M1470" i="4"/>
  <c r="L1470" i="4"/>
  <c r="O1470" i="4" s="1"/>
  <c r="K1470" i="4"/>
  <c r="M1469" i="4"/>
  <c r="L1469" i="4"/>
  <c r="K1469" i="4"/>
  <c r="M1468" i="4"/>
  <c r="L1468" i="4"/>
  <c r="K1468" i="4"/>
  <c r="M1467" i="4"/>
  <c r="L1467" i="4"/>
  <c r="K1467" i="4"/>
  <c r="P1466" i="4"/>
  <c r="M1466" i="4"/>
  <c r="L1466" i="4"/>
  <c r="O1466" i="4" s="1"/>
  <c r="R1466" i="4" s="1"/>
  <c r="K1466" i="4"/>
  <c r="N1466" i="4" s="1"/>
  <c r="Q1466" i="4" s="1"/>
  <c r="M1465" i="4"/>
  <c r="L1465" i="4"/>
  <c r="K1465" i="4"/>
  <c r="M1464" i="4"/>
  <c r="L1464" i="4"/>
  <c r="K1464" i="4"/>
  <c r="N1462" i="4" s="1"/>
  <c r="Q1462" i="4" s="1"/>
  <c r="M1463" i="4"/>
  <c r="L1463" i="4"/>
  <c r="O1462" i="4" s="1"/>
  <c r="K1463" i="4"/>
  <c r="M1462" i="4"/>
  <c r="P1462" i="4" s="1"/>
  <c r="L1462" i="4"/>
  <c r="K1462" i="4"/>
  <c r="M1461" i="4"/>
  <c r="L1461" i="4"/>
  <c r="K1461" i="4"/>
  <c r="M1460" i="4"/>
  <c r="P1458" i="4" s="1"/>
  <c r="L1460" i="4"/>
  <c r="K1460" i="4"/>
  <c r="M1459" i="4"/>
  <c r="L1459" i="4"/>
  <c r="K1459" i="4"/>
  <c r="N1458" i="4" s="1"/>
  <c r="Q1458" i="4" s="1"/>
  <c r="O1458" i="4"/>
  <c r="M1458" i="4"/>
  <c r="L1458" i="4"/>
  <c r="K1458" i="4"/>
  <c r="M1457" i="4"/>
  <c r="L1457" i="4"/>
  <c r="K1457" i="4"/>
  <c r="M1456" i="4"/>
  <c r="L1456" i="4"/>
  <c r="K1456" i="4"/>
  <c r="M1455" i="4"/>
  <c r="L1455" i="4"/>
  <c r="K1455" i="4"/>
  <c r="Q1454" i="4"/>
  <c r="N1454" i="4"/>
  <c r="M1454" i="4"/>
  <c r="L1454" i="4"/>
  <c r="O1454" i="4" s="1"/>
  <c r="K1454" i="4"/>
  <c r="M1453" i="4"/>
  <c r="L1453" i="4"/>
  <c r="K1453" i="4"/>
  <c r="M1452" i="4"/>
  <c r="L1452" i="4"/>
  <c r="K1452" i="4"/>
  <c r="M1451" i="4"/>
  <c r="L1451" i="4"/>
  <c r="K1451" i="4"/>
  <c r="P1450" i="4"/>
  <c r="M1450" i="4"/>
  <c r="L1450" i="4"/>
  <c r="O1450" i="4" s="1"/>
  <c r="R1450" i="4" s="1"/>
  <c r="K1450" i="4"/>
  <c r="N1450" i="4" s="1"/>
  <c r="Q1450" i="4" s="1"/>
  <c r="M1449" i="4"/>
  <c r="L1449" i="4"/>
  <c r="K1449" i="4"/>
  <c r="M1448" i="4"/>
  <c r="L1448" i="4"/>
  <c r="K1448" i="4"/>
  <c r="N1446" i="4" s="1"/>
  <c r="Q1446" i="4" s="1"/>
  <c r="M1447" i="4"/>
  <c r="L1447" i="4"/>
  <c r="O1446" i="4" s="1"/>
  <c r="K1447" i="4"/>
  <c r="M1446" i="4"/>
  <c r="P1446" i="4" s="1"/>
  <c r="L1446" i="4"/>
  <c r="K1446" i="4"/>
  <c r="M1445" i="4"/>
  <c r="L1445" i="4"/>
  <c r="K1445" i="4"/>
  <c r="M1444" i="4"/>
  <c r="P1442" i="4" s="1"/>
  <c r="L1444" i="4"/>
  <c r="K1444" i="4"/>
  <c r="M1443" i="4"/>
  <c r="L1443" i="4"/>
  <c r="K1443" i="4"/>
  <c r="O1442" i="4"/>
  <c r="M1442" i="4"/>
  <c r="L1442" i="4"/>
  <c r="K1442" i="4"/>
  <c r="M1441" i="4"/>
  <c r="L1441" i="4"/>
  <c r="K1441" i="4"/>
  <c r="M1440" i="4"/>
  <c r="L1440" i="4"/>
  <c r="K1440" i="4"/>
  <c r="M1439" i="4"/>
  <c r="P1438" i="4" s="1"/>
  <c r="L1439" i="4"/>
  <c r="K1439" i="4"/>
  <c r="Q1438" i="4"/>
  <c r="N1438" i="4"/>
  <c r="M1438" i="4"/>
  <c r="L1438" i="4"/>
  <c r="O1438" i="4" s="1"/>
  <c r="K1438" i="4"/>
  <c r="M1437" i="4"/>
  <c r="L1437" i="4"/>
  <c r="K1437" i="4"/>
  <c r="M1436" i="4"/>
  <c r="L1436" i="4"/>
  <c r="K1436" i="4"/>
  <c r="M1435" i="4"/>
  <c r="L1435" i="4"/>
  <c r="K1435" i="4"/>
  <c r="P1434" i="4"/>
  <c r="M1434" i="4"/>
  <c r="L1434" i="4"/>
  <c r="K1434" i="4"/>
  <c r="N1434" i="4" s="1"/>
  <c r="Q1434" i="4" s="1"/>
  <c r="M1433" i="4"/>
  <c r="L1433" i="4"/>
  <c r="K1433" i="4"/>
  <c r="N1430" i="4" s="1"/>
  <c r="Q1430" i="4" s="1"/>
  <c r="M1432" i="4"/>
  <c r="L1432" i="4"/>
  <c r="K1432" i="4"/>
  <c r="M1431" i="4"/>
  <c r="L1431" i="4"/>
  <c r="O1430" i="4" s="1"/>
  <c r="K1431" i="4"/>
  <c r="M1430" i="4"/>
  <c r="P1430" i="4" s="1"/>
  <c r="L1430" i="4"/>
  <c r="K1430" i="4"/>
  <c r="M1429" i="4"/>
  <c r="P1426" i="4" s="1"/>
  <c r="L1429" i="4"/>
  <c r="K1429" i="4"/>
  <c r="M1428" i="4"/>
  <c r="L1428" i="4"/>
  <c r="K1428" i="4"/>
  <c r="M1427" i="4"/>
  <c r="L1427" i="4"/>
  <c r="K1427" i="4"/>
  <c r="N1426" i="4" s="1"/>
  <c r="Q1426" i="4" s="1"/>
  <c r="O1426" i="4"/>
  <c r="M1426" i="4"/>
  <c r="L1426" i="4"/>
  <c r="K1426" i="4"/>
  <c r="M1425" i="4"/>
  <c r="L1425" i="4"/>
  <c r="K1425" i="4"/>
  <c r="M1424" i="4"/>
  <c r="L1424" i="4"/>
  <c r="K1424" i="4"/>
  <c r="M1423" i="4"/>
  <c r="L1423" i="4"/>
  <c r="K1423" i="4"/>
  <c r="Q1422" i="4"/>
  <c r="N1422" i="4"/>
  <c r="M1422" i="4"/>
  <c r="L1422" i="4"/>
  <c r="O1422" i="4" s="1"/>
  <c r="K1422" i="4"/>
  <c r="M1421" i="4"/>
  <c r="L1421" i="4"/>
  <c r="K1421" i="4"/>
  <c r="M1420" i="4"/>
  <c r="L1420" i="4"/>
  <c r="K1420" i="4"/>
  <c r="M1419" i="4"/>
  <c r="L1419" i="4"/>
  <c r="K1419" i="4"/>
  <c r="P1418" i="4"/>
  <c r="M1418" i="4"/>
  <c r="L1418" i="4"/>
  <c r="K1418" i="4"/>
  <c r="N1418" i="4" s="1"/>
  <c r="Q1418" i="4" s="1"/>
  <c r="M1417" i="4"/>
  <c r="L1417" i="4"/>
  <c r="K1417" i="4"/>
  <c r="N1414" i="4" s="1"/>
  <c r="Q1414" i="4" s="1"/>
  <c r="M1416" i="4"/>
  <c r="L1416" i="4"/>
  <c r="K1416" i="4"/>
  <c r="M1415" i="4"/>
  <c r="L1415" i="4"/>
  <c r="K1415" i="4"/>
  <c r="M1414" i="4"/>
  <c r="P1414" i="4" s="1"/>
  <c r="L1414" i="4"/>
  <c r="K1414" i="4"/>
  <c r="M1413" i="4"/>
  <c r="P1410" i="4" s="1"/>
  <c r="L1413" i="4"/>
  <c r="K1413" i="4"/>
  <c r="M1412" i="4"/>
  <c r="L1412" i="4"/>
  <c r="K1412" i="4"/>
  <c r="M1411" i="4"/>
  <c r="L1411" i="4"/>
  <c r="K1411" i="4"/>
  <c r="N1410" i="4" s="1"/>
  <c r="Q1410" i="4" s="1"/>
  <c r="O1410" i="4"/>
  <c r="M1410" i="4"/>
  <c r="L1410" i="4"/>
  <c r="K1410" i="4"/>
  <c r="M1409" i="4"/>
  <c r="L1409" i="4"/>
  <c r="K1409" i="4"/>
  <c r="M1408" i="4"/>
  <c r="L1408" i="4"/>
  <c r="K1408" i="4"/>
  <c r="M1407" i="4"/>
  <c r="P1406" i="4" s="1"/>
  <c r="L1407" i="4"/>
  <c r="K1407" i="4"/>
  <c r="Q1406" i="4"/>
  <c r="N1406" i="4"/>
  <c r="M1406" i="4"/>
  <c r="L1406" i="4"/>
  <c r="O1406" i="4" s="1"/>
  <c r="K1406" i="4"/>
  <c r="M1405" i="4"/>
  <c r="L1405" i="4"/>
  <c r="K1405" i="4"/>
  <c r="M1404" i="4"/>
  <c r="L1404" i="4"/>
  <c r="K1404" i="4"/>
  <c r="M1403" i="4"/>
  <c r="L1403" i="4"/>
  <c r="K1403" i="4"/>
  <c r="P1402" i="4"/>
  <c r="M1402" i="4"/>
  <c r="L1402" i="4"/>
  <c r="O1402" i="4" s="1"/>
  <c r="R1402" i="4" s="1"/>
  <c r="K1402" i="4"/>
  <c r="N1402" i="4" s="1"/>
  <c r="Q1402" i="4" s="1"/>
  <c r="M1401" i="4"/>
  <c r="L1401" i="4"/>
  <c r="K1401" i="4"/>
  <c r="N1398" i="4" s="1"/>
  <c r="Q1398" i="4" s="1"/>
  <c r="M1400" i="4"/>
  <c r="L1400" i="4"/>
  <c r="K1400" i="4"/>
  <c r="M1399" i="4"/>
  <c r="L1399" i="4"/>
  <c r="K1399" i="4"/>
  <c r="M1398" i="4"/>
  <c r="P1398" i="4" s="1"/>
  <c r="L1398" i="4"/>
  <c r="O1398" i="4" s="1"/>
  <c r="K1398" i="4"/>
  <c r="M1397" i="4"/>
  <c r="P1394" i="4" s="1"/>
  <c r="L1397" i="4"/>
  <c r="K1397" i="4"/>
  <c r="M1396" i="4"/>
  <c r="L1396" i="4"/>
  <c r="K1396" i="4"/>
  <c r="M1395" i="4"/>
  <c r="L1395" i="4"/>
  <c r="K1395" i="4"/>
  <c r="O1394" i="4"/>
  <c r="M1394" i="4"/>
  <c r="L1394" i="4"/>
  <c r="K1394" i="4"/>
  <c r="M1393" i="4"/>
  <c r="L1393" i="4"/>
  <c r="K1393" i="4"/>
  <c r="M1392" i="4"/>
  <c r="L1392" i="4"/>
  <c r="K1392" i="4"/>
  <c r="M1391" i="4"/>
  <c r="P1390" i="4" s="1"/>
  <c r="L1391" i="4"/>
  <c r="K1391" i="4"/>
  <c r="Q1390" i="4"/>
  <c r="N1390" i="4"/>
  <c r="M1390" i="4"/>
  <c r="L1390" i="4"/>
  <c r="O1390" i="4" s="1"/>
  <c r="K1390" i="4"/>
  <c r="M1389" i="4"/>
  <c r="L1389" i="4"/>
  <c r="K1389" i="4"/>
  <c r="M1388" i="4"/>
  <c r="L1388" i="4"/>
  <c r="K1388" i="4"/>
  <c r="M1387" i="4"/>
  <c r="L1387" i="4"/>
  <c r="K1387" i="4"/>
  <c r="P1386" i="4"/>
  <c r="M1386" i="4"/>
  <c r="L1386" i="4"/>
  <c r="K1386" i="4"/>
  <c r="N1386" i="4" s="1"/>
  <c r="Q1386" i="4" s="1"/>
  <c r="M1385" i="4"/>
  <c r="L1385" i="4"/>
  <c r="K1385" i="4"/>
  <c r="N1382" i="4" s="1"/>
  <c r="Q1382" i="4" s="1"/>
  <c r="M1384" i="4"/>
  <c r="L1384" i="4"/>
  <c r="K1384" i="4"/>
  <c r="M1383" i="4"/>
  <c r="L1383" i="4"/>
  <c r="K1383" i="4"/>
  <c r="M1382" i="4"/>
  <c r="P1382" i="4" s="1"/>
  <c r="L1382" i="4"/>
  <c r="O1382" i="4" s="1"/>
  <c r="K1382" i="4"/>
  <c r="M1381" i="4"/>
  <c r="P1378" i="4" s="1"/>
  <c r="L1381" i="4"/>
  <c r="K1381" i="4"/>
  <c r="M1380" i="4"/>
  <c r="L1380" i="4"/>
  <c r="K1380" i="4"/>
  <c r="M1379" i="4"/>
  <c r="L1379" i="4"/>
  <c r="K1379" i="4"/>
  <c r="O1378" i="4"/>
  <c r="M1378" i="4"/>
  <c r="L1378" i="4"/>
  <c r="K1378" i="4"/>
  <c r="M1377" i="4"/>
  <c r="L1377" i="4"/>
  <c r="K1377" i="4"/>
  <c r="M1376" i="4"/>
  <c r="L1376" i="4"/>
  <c r="K1376" i="4"/>
  <c r="M1375" i="4"/>
  <c r="L1375" i="4"/>
  <c r="K1375" i="4"/>
  <c r="Q1374" i="4"/>
  <c r="N1374" i="4"/>
  <c r="M1374" i="4"/>
  <c r="L1374" i="4"/>
  <c r="O1374" i="4" s="1"/>
  <c r="K1374" i="4"/>
  <c r="M1373" i="4"/>
  <c r="L1373" i="4"/>
  <c r="K1373" i="4"/>
  <c r="M1372" i="4"/>
  <c r="L1372" i="4"/>
  <c r="K1372" i="4"/>
  <c r="M1371" i="4"/>
  <c r="L1371" i="4"/>
  <c r="K1371" i="4"/>
  <c r="P1370" i="4"/>
  <c r="M1370" i="4"/>
  <c r="L1370" i="4"/>
  <c r="O1370" i="4" s="1"/>
  <c r="K1370" i="4"/>
  <c r="N1370" i="4" s="1"/>
  <c r="Q1370" i="4" s="1"/>
  <c r="M1369" i="4"/>
  <c r="L1369" i="4"/>
  <c r="K1369" i="4"/>
  <c r="N1366" i="4" s="1"/>
  <c r="Q1366" i="4" s="1"/>
  <c r="M1368" i="4"/>
  <c r="L1368" i="4"/>
  <c r="K1368" i="4"/>
  <c r="M1367" i="4"/>
  <c r="L1367" i="4"/>
  <c r="K1367" i="4"/>
  <c r="M1366" i="4"/>
  <c r="P1366" i="4" s="1"/>
  <c r="L1366" i="4"/>
  <c r="K1366" i="4"/>
  <c r="M1365" i="4"/>
  <c r="P1362" i="4" s="1"/>
  <c r="L1365" i="4"/>
  <c r="K1365" i="4"/>
  <c r="M1364" i="4"/>
  <c r="L1364" i="4"/>
  <c r="K1364" i="4"/>
  <c r="M1363" i="4"/>
  <c r="L1363" i="4"/>
  <c r="K1363" i="4"/>
  <c r="N1362" i="4" s="1"/>
  <c r="Q1362" i="4" s="1"/>
  <c r="O1362" i="4"/>
  <c r="M1362" i="4"/>
  <c r="L1362" i="4"/>
  <c r="K1362" i="4"/>
  <c r="M1361" i="4"/>
  <c r="L1361" i="4"/>
  <c r="K1361" i="4"/>
  <c r="M1360" i="4"/>
  <c r="L1360" i="4"/>
  <c r="K1360" i="4"/>
  <c r="M1359" i="4"/>
  <c r="L1359" i="4"/>
  <c r="K1359" i="4"/>
  <c r="Q1358" i="4"/>
  <c r="N1358" i="4"/>
  <c r="M1358" i="4"/>
  <c r="L1358" i="4"/>
  <c r="O1358" i="4" s="1"/>
  <c r="K1358" i="4"/>
  <c r="M1357" i="4"/>
  <c r="L1357" i="4"/>
  <c r="K1357" i="4"/>
  <c r="M1356" i="4"/>
  <c r="L1356" i="4"/>
  <c r="K1356" i="4"/>
  <c r="M1355" i="4"/>
  <c r="L1355" i="4"/>
  <c r="K1355" i="4"/>
  <c r="P1354" i="4"/>
  <c r="M1354" i="4"/>
  <c r="L1354" i="4"/>
  <c r="K1354" i="4"/>
  <c r="N1354" i="4" s="1"/>
  <c r="Q1354" i="4" s="1"/>
  <c r="M1353" i="4"/>
  <c r="L1353" i="4"/>
  <c r="K1353" i="4"/>
  <c r="N1350" i="4" s="1"/>
  <c r="Q1350" i="4" s="1"/>
  <c r="M1352" i="4"/>
  <c r="L1352" i="4"/>
  <c r="K1352" i="4"/>
  <c r="M1351" i="4"/>
  <c r="L1351" i="4"/>
  <c r="K1351" i="4"/>
  <c r="M1350" i="4"/>
  <c r="P1350" i="4" s="1"/>
  <c r="L1350" i="4"/>
  <c r="K1350" i="4"/>
  <c r="M1349" i="4"/>
  <c r="L1349" i="4"/>
  <c r="K1349" i="4"/>
  <c r="M1348" i="4"/>
  <c r="L1348" i="4"/>
  <c r="K1348" i="4"/>
  <c r="M1347" i="4"/>
  <c r="L1347" i="4"/>
  <c r="K1347" i="4"/>
  <c r="M1346" i="4"/>
  <c r="L1346" i="4"/>
  <c r="K1346" i="4"/>
  <c r="M1345" i="4"/>
  <c r="L1345" i="4"/>
  <c r="K1345" i="4"/>
  <c r="M1344" i="4"/>
  <c r="L1344" i="4"/>
  <c r="K1344" i="4"/>
  <c r="Q1343" i="4"/>
  <c r="M1343" i="4"/>
  <c r="P1343" i="4" s="1"/>
  <c r="L1343" i="4"/>
  <c r="K1343" i="4"/>
  <c r="N1343" i="4" s="1"/>
  <c r="M1342" i="4"/>
  <c r="L1342" i="4"/>
  <c r="O1339" i="4" s="1"/>
  <c r="K1342" i="4"/>
  <c r="M1341" i="4"/>
  <c r="L1341" i="4"/>
  <c r="K1341" i="4"/>
  <c r="M1340" i="4"/>
  <c r="L1340" i="4"/>
  <c r="K1340" i="4"/>
  <c r="M1339" i="4"/>
  <c r="L1339" i="4"/>
  <c r="K1339" i="4"/>
  <c r="M1338" i="4"/>
  <c r="L1338" i="4"/>
  <c r="K1338" i="4"/>
  <c r="M1337" i="4"/>
  <c r="L1337" i="4"/>
  <c r="K1337" i="4"/>
  <c r="M1336" i="4"/>
  <c r="L1336" i="4"/>
  <c r="K1336" i="4"/>
  <c r="O1335" i="4"/>
  <c r="M1335" i="4"/>
  <c r="L1335" i="4"/>
  <c r="K1335" i="4"/>
  <c r="M1334" i="4"/>
  <c r="L1334" i="4"/>
  <c r="K1334" i="4"/>
  <c r="M1333" i="4"/>
  <c r="L1333" i="4"/>
  <c r="K1333" i="4"/>
  <c r="M1332" i="4"/>
  <c r="L1332" i="4"/>
  <c r="K1332" i="4"/>
  <c r="O1331" i="4"/>
  <c r="R1331" i="4" s="1"/>
  <c r="N1331" i="4"/>
  <c r="Q1331" i="4" s="1"/>
  <c r="M1331" i="4"/>
  <c r="L1331" i="4"/>
  <c r="K1331" i="4"/>
  <c r="M1330" i="4"/>
  <c r="L1330" i="4"/>
  <c r="K1330" i="4"/>
  <c r="M1329" i="4"/>
  <c r="L1329" i="4"/>
  <c r="O1327" i="4" s="1"/>
  <c r="K1329" i="4"/>
  <c r="M1328" i="4"/>
  <c r="L1328" i="4"/>
  <c r="K1328" i="4"/>
  <c r="P1327" i="4"/>
  <c r="M1327" i="4"/>
  <c r="L1327" i="4"/>
  <c r="K1327" i="4"/>
  <c r="M1326" i="4"/>
  <c r="L1326" i="4"/>
  <c r="K1326" i="4"/>
  <c r="M1325" i="4"/>
  <c r="L1325" i="4"/>
  <c r="K1325" i="4"/>
  <c r="M1324" i="4"/>
  <c r="L1324" i="4"/>
  <c r="K1324" i="4"/>
  <c r="O1323" i="4"/>
  <c r="M1323" i="4"/>
  <c r="P1323" i="4" s="1"/>
  <c r="L1323" i="4"/>
  <c r="K1323" i="4"/>
  <c r="M1322" i="4"/>
  <c r="L1322" i="4"/>
  <c r="K1322" i="4"/>
  <c r="M1321" i="4"/>
  <c r="L1321" i="4"/>
  <c r="K1321" i="4"/>
  <c r="M1320" i="4"/>
  <c r="L1320" i="4"/>
  <c r="K1320" i="4"/>
  <c r="Q1319" i="4"/>
  <c r="M1319" i="4"/>
  <c r="P1319" i="4" s="1"/>
  <c r="L1319" i="4"/>
  <c r="O1319" i="4" s="1"/>
  <c r="K1319" i="4"/>
  <c r="N1319" i="4" s="1"/>
  <c r="M1318" i="4"/>
  <c r="L1318" i="4"/>
  <c r="K1318" i="4"/>
  <c r="M1317" i="4"/>
  <c r="L1317" i="4"/>
  <c r="K1317" i="4"/>
  <c r="N1315" i="4" s="1"/>
  <c r="Q1315" i="4" s="1"/>
  <c r="M1316" i="4"/>
  <c r="L1316" i="4"/>
  <c r="O1315" i="4" s="1"/>
  <c r="K1316" i="4"/>
  <c r="P1315" i="4"/>
  <c r="M1315" i="4"/>
  <c r="L1315" i="4"/>
  <c r="K1315" i="4"/>
  <c r="M1314" i="4"/>
  <c r="L1314" i="4"/>
  <c r="K1314" i="4"/>
  <c r="M1313" i="4"/>
  <c r="L1313" i="4"/>
  <c r="O1311" i="4" s="1"/>
  <c r="K1313" i="4"/>
  <c r="M1312" i="4"/>
  <c r="L1312" i="4"/>
  <c r="K1312" i="4"/>
  <c r="P1311" i="4"/>
  <c r="M1311" i="4"/>
  <c r="L1311" i="4"/>
  <c r="K1311" i="4"/>
  <c r="M1310" i="4"/>
  <c r="L1310" i="4"/>
  <c r="O1307" i="4" s="1"/>
  <c r="K1310" i="4"/>
  <c r="M1309" i="4"/>
  <c r="L1309" i="4"/>
  <c r="K1309" i="4"/>
  <c r="M1308" i="4"/>
  <c r="L1308" i="4"/>
  <c r="K1308" i="4"/>
  <c r="M1307" i="4"/>
  <c r="L1307" i="4"/>
  <c r="K1307" i="4"/>
  <c r="M1306" i="4"/>
  <c r="L1306" i="4"/>
  <c r="O1303" i="4" s="1"/>
  <c r="K1306" i="4"/>
  <c r="M1305" i="4"/>
  <c r="L1305" i="4"/>
  <c r="K1305" i="4"/>
  <c r="M1304" i="4"/>
  <c r="L1304" i="4"/>
  <c r="K1304" i="4"/>
  <c r="Q1303" i="4"/>
  <c r="N1303" i="4"/>
  <c r="M1303" i="4"/>
  <c r="L1303" i="4"/>
  <c r="K1303" i="4"/>
  <c r="M1302" i="4"/>
  <c r="P1299" i="4" s="1"/>
  <c r="L1302" i="4"/>
  <c r="K1302" i="4"/>
  <c r="M1301" i="4"/>
  <c r="L1301" i="4"/>
  <c r="K1301" i="4"/>
  <c r="M1300" i="4"/>
  <c r="L1300" i="4"/>
  <c r="K1300" i="4"/>
  <c r="O1299" i="4"/>
  <c r="R1299" i="4" s="1"/>
  <c r="M1299" i="4"/>
  <c r="L1299" i="4"/>
  <c r="K1299" i="4"/>
  <c r="N1299" i="4" s="1"/>
  <c r="Q1299" i="4" s="1"/>
  <c r="M1298" i="4"/>
  <c r="L1298" i="4"/>
  <c r="K1298" i="4"/>
  <c r="M1297" i="4"/>
  <c r="L1297" i="4"/>
  <c r="K1297" i="4"/>
  <c r="M1296" i="4"/>
  <c r="L1296" i="4"/>
  <c r="K1296" i="4"/>
  <c r="M1295" i="4"/>
  <c r="P1295" i="4" s="1"/>
  <c r="L1295" i="4"/>
  <c r="K1295" i="4"/>
  <c r="N1295" i="4" s="1"/>
  <c r="Q1295" i="4" s="1"/>
  <c r="M1294" i="4"/>
  <c r="L1294" i="4"/>
  <c r="K1294" i="4"/>
  <c r="M1293" i="4"/>
  <c r="L1293" i="4"/>
  <c r="K1293" i="4"/>
  <c r="M1292" i="4"/>
  <c r="L1292" i="4"/>
  <c r="K1292" i="4"/>
  <c r="M1291" i="4"/>
  <c r="P1291" i="4" s="1"/>
  <c r="L1291" i="4"/>
  <c r="O1291" i="4" s="1"/>
  <c r="K1291" i="4"/>
  <c r="M1290" i="4"/>
  <c r="L1290" i="4"/>
  <c r="O1287" i="4" s="1"/>
  <c r="K1290" i="4"/>
  <c r="M1289" i="4"/>
  <c r="L1289" i="4"/>
  <c r="K1289" i="4"/>
  <c r="M1288" i="4"/>
  <c r="L1288" i="4"/>
  <c r="K1288" i="4"/>
  <c r="M1287" i="4"/>
  <c r="L1287" i="4"/>
  <c r="K1287" i="4"/>
  <c r="N1287" i="4" s="1"/>
  <c r="Q1287" i="4" s="1"/>
  <c r="M1286" i="4"/>
  <c r="L1286" i="4"/>
  <c r="K1286" i="4"/>
  <c r="M1285" i="4"/>
  <c r="L1285" i="4"/>
  <c r="K1285" i="4"/>
  <c r="M1284" i="4"/>
  <c r="L1284" i="4"/>
  <c r="K1284" i="4"/>
  <c r="P1283" i="4"/>
  <c r="N1283" i="4"/>
  <c r="Q1283" i="4" s="1"/>
  <c r="M1283" i="4"/>
  <c r="L1283" i="4"/>
  <c r="O1283" i="4" s="1"/>
  <c r="K1283" i="4"/>
  <c r="M1282" i="4"/>
  <c r="L1282" i="4"/>
  <c r="K1282" i="4"/>
  <c r="N1279" i="4" s="1"/>
  <c r="Q1279" i="4" s="1"/>
  <c r="M1281" i="4"/>
  <c r="L1281" i="4"/>
  <c r="K1281" i="4"/>
  <c r="M1280" i="4"/>
  <c r="L1280" i="4"/>
  <c r="K1280" i="4"/>
  <c r="P1279" i="4"/>
  <c r="M1279" i="4"/>
  <c r="L1279" i="4"/>
  <c r="K1279" i="4"/>
  <c r="M1278" i="4"/>
  <c r="P1275" i="4" s="1"/>
  <c r="L1278" i="4"/>
  <c r="K1278" i="4"/>
  <c r="M1277" i="4"/>
  <c r="L1277" i="4"/>
  <c r="K1277" i="4"/>
  <c r="M1276" i="4"/>
  <c r="L1276" i="4"/>
  <c r="K1276" i="4"/>
  <c r="R1275" i="4"/>
  <c r="O1275" i="4"/>
  <c r="S1275" i="4" s="1"/>
  <c r="M1275" i="4"/>
  <c r="L1275" i="4"/>
  <c r="K1275" i="4"/>
  <c r="M1274" i="4"/>
  <c r="L1274" i="4"/>
  <c r="K1274" i="4"/>
  <c r="M1273" i="4"/>
  <c r="L1273" i="4"/>
  <c r="K1273" i="4"/>
  <c r="M1272" i="4"/>
  <c r="L1272" i="4"/>
  <c r="K1272" i="4"/>
  <c r="M1271" i="4"/>
  <c r="L1271" i="4"/>
  <c r="O1271" i="4" s="1"/>
  <c r="K1271" i="4"/>
  <c r="N1271" i="4" s="1"/>
  <c r="Q1271" i="4" s="1"/>
  <c r="M1270" i="4"/>
  <c r="P1267" i="4" s="1"/>
  <c r="L1270" i="4"/>
  <c r="K1270" i="4"/>
  <c r="M1269" i="4"/>
  <c r="L1269" i="4"/>
  <c r="K1269" i="4"/>
  <c r="M1268" i="4"/>
  <c r="L1268" i="4"/>
  <c r="K1268" i="4"/>
  <c r="M1267" i="4"/>
  <c r="L1267" i="4"/>
  <c r="O1267" i="4" s="1"/>
  <c r="K1267" i="4"/>
  <c r="N1267" i="4" s="1"/>
  <c r="Q1267" i="4" s="1"/>
  <c r="M1266" i="4"/>
  <c r="L1266" i="4"/>
  <c r="K1266" i="4"/>
  <c r="M1265" i="4"/>
  <c r="L1265" i="4"/>
  <c r="K1265" i="4"/>
  <c r="M1264" i="4"/>
  <c r="L1264" i="4"/>
  <c r="O1263" i="4" s="1"/>
  <c r="K1264" i="4"/>
  <c r="M1263" i="4"/>
  <c r="P1263" i="4" s="1"/>
  <c r="L1263" i="4"/>
  <c r="K1263" i="4"/>
  <c r="N1263" i="4" s="1"/>
  <c r="Q1263" i="4" s="1"/>
  <c r="M1262" i="4"/>
  <c r="L1262" i="4"/>
  <c r="K1262" i="4"/>
  <c r="M1261" i="4"/>
  <c r="L1261" i="4"/>
  <c r="K1261" i="4"/>
  <c r="M1260" i="4"/>
  <c r="L1260" i="4"/>
  <c r="K1260" i="4"/>
  <c r="O1259" i="4"/>
  <c r="M1259" i="4"/>
  <c r="P1259" i="4" s="1"/>
  <c r="L1259" i="4"/>
  <c r="K1259" i="4"/>
  <c r="M1258" i="4"/>
  <c r="L1258" i="4"/>
  <c r="K1258" i="4"/>
  <c r="N1255" i="4" s="1"/>
  <c r="Q1255" i="4" s="1"/>
  <c r="M1257" i="4"/>
  <c r="L1257" i="4"/>
  <c r="K1257" i="4"/>
  <c r="M1256" i="4"/>
  <c r="L1256" i="4"/>
  <c r="K1256" i="4"/>
  <c r="O1255" i="4"/>
  <c r="M1255" i="4"/>
  <c r="P1255" i="4" s="1"/>
  <c r="L1255" i="4"/>
  <c r="K1255" i="4"/>
  <c r="M1254" i="4"/>
  <c r="L1254" i="4"/>
  <c r="O1251" i="4" s="1"/>
  <c r="K1254" i="4"/>
  <c r="M1253" i="4"/>
  <c r="P1251" i="4" s="1"/>
  <c r="L1253" i="4"/>
  <c r="K1253" i="4"/>
  <c r="M1252" i="4"/>
  <c r="L1252" i="4"/>
  <c r="K1252" i="4"/>
  <c r="N1251" i="4"/>
  <c r="Q1251" i="4" s="1"/>
  <c r="M1251" i="4"/>
  <c r="L1251" i="4"/>
  <c r="K1251" i="4"/>
  <c r="M1250" i="4"/>
  <c r="L1250" i="4"/>
  <c r="K1250" i="4"/>
  <c r="M1249" i="4"/>
  <c r="L1249" i="4"/>
  <c r="K1249" i="4"/>
  <c r="M1248" i="4"/>
  <c r="L1248" i="4"/>
  <c r="K1248" i="4"/>
  <c r="R1247" i="4"/>
  <c r="P1247" i="4"/>
  <c r="O1247" i="4"/>
  <c r="S1247" i="4" s="1"/>
  <c r="M1247" i="4"/>
  <c r="L1247" i="4"/>
  <c r="K1247" i="4"/>
  <c r="N1247" i="4" s="1"/>
  <c r="Q1247" i="4" s="1"/>
  <c r="M1246" i="4"/>
  <c r="L1246" i="4"/>
  <c r="K1246" i="4"/>
  <c r="M1245" i="4"/>
  <c r="L1245" i="4"/>
  <c r="K1245" i="4"/>
  <c r="M1244" i="4"/>
  <c r="L1244" i="4"/>
  <c r="K1244" i="4"/>
  <c r="M1243" i="4"/>
  <c r="L1243" i="4"/>
  <c r="O1243" i="4" s="1"/>
  <c r="K1243" i="4"/>
  <c r="N1243" i="4" s="1"/>
  <c r="Q1243" i="4" s="1"/>
  <c r="M1242" i="4"/>
  <c r="L1242" i="4"/>
  <c r="K1242" i="4"/>
  <c r="M1241" i="4"/>
  <c r="L1241" i="4"/>
  <c r="K1241" i="4"/>
  <c r="M1240" i="4"/>
  <c r="L1240" i="4"/>
  <c r="O1239" i="4" s="1"/>
  <c r="K1240" i="4"/>
  <c r="M1239" i="4"/>
  <c r="P1239" i="4" s="1"/>
  <c r="L1239" i="4"/>
  <c r="K1239" i="4"/>
  <c r="N1239" i="4" s="1"/>
  <c r="Q1239" i="4" s="1"/>
  <c r="M1238" i="4"/>
  <c r="L1238" i="4"/>
  <c r="K1238" i="4"/>
  <c r="M1237" i="4"/>
  <c r="L1237" i="4"/>
  <c r="K1237" i="4"/>
  <c r="M1236" i="4"/>
  <c r="L1236" i="4"/>
  <c r="K1236" i="4"/>
  <c r="O1235" i="4"/>
  <c r="M1235" i="4"/>
  <c r="P1235" i="4" s="1"/>
  <c r="L1235" i="4"/>
  <c r="K1235" i="4"/>
  <c r="M1234" i="4"/>
  <c r="L1234" i="4"/>
  <c r="K1234" i="4"/>
  <c r="M1233" i="4"/>
  <c r="L1233" i="4"/>
  <c r="K1233" i="4"/>
  <c r="M1232" i="4"/>
  <c r="P1231" i="4" s="1"/>
  <c r="L1232" i="4"/>
  <c r="K1232" i="4"/>
  <c r="Q1231" i="4"/>
  <c r="O1231" i="4"/>
  <c r="S1231" i="4" s="1"/>
  <c r="N1231" i="4"/>
  <c r="M1231" i="4"/>
  <c r="L1231" i="4"/>
  <c r="K1231" i="4"/>
  <c r="M1230" i="4"/>
  <c r="L1230" i="4"/>
  <c r="K1230" i="4"/>
  <c r="M1229" i="4"/>
  <c r="L1229" i="4"/>
  <c r="K1229" i="4"/>
  <c r="M1228" i="4"/>
  <c r="L1228" i="4"/>
  <c r="K1228" i="4"/>
  <c r="P1227" i="4"/>
  <c r="M1227" i="4"/>
  <c r="L1227" i="4"/>
  <c r="K1227" i="4"/>
  <c r="N1227" i="4" s="1"/>
  <c r="Q1227" i="4" s="1"/>
  <c r="M1226" i="4"/>
  <c r="L1226" i="4"/>
  <c r="K1226" i="4"/>
  <c r="M1225" i="4"/>
  <c r="L1225" i="4"/>
  <c r="K1225" i="4"/>
  <c r="M1224" i="4"/>
  <c r="L1224" i="4"/>
  <c r="O1223" i="4" s="1"/>
  <c r="K1224" i="4"/>
  <c r="M1223" i="4"/>
  <c r="P1223" i="4" s="1"/>
  <c r="L1223" i="4"/>
  <c r="K1223" i="4"/>
  <c r="N1223" i="4" s="1"/>
  <c r="Q1223" i="4" s="1"/>
  <c r="M1222" i="4"/>
  <c r="L1222" i="4"/>
  <c r="K1222" i="4"/>
  <c r="M1221" i="4"/>
  <c r="L1221" i="4"/>
  <c r="K1221" i="4"/>
  <c r="M1220" i="4"/>
  <c r="L1220" i="4"/>
  <c r="K1220" i="4"/>
  <c r="O1219" i="4"/>
  <c r="M1219" i="4"/>
  <c r="P1219" i="4" s="1"/>
  <c r="L1219" i="4"/>
  <c r="K1219" i="4"/>
  <c r="M1218" i="4"/>
  <c r="L1218" i="4"/>
  <c r="K1218" i="4"/>
  <c r="M1217" i="4"/>
  <c r="L1217" i="4"/>
  <c r="K1217" i="4"/>
  <c r="M1216" i="4"/>
  <c r="L1216" i="4"/>
  <c r="K1216" i="4"/>
  <c r="Q1215" i="4"/>
  <c r="O1215" i="4"/>
  <c r="S1215" i="4" s="1"/>
  <c r="N1215" i="4"/>
  <c r="M1215" i="4"/>
  <c r="L1215" i="4"/>
  <c r="K1215" i="4"/>
  <c r="M1214" i="4"/>
  <c r="L1214" i="4"/>
  <c r="K1214" i="4"/>
  <c r="M1213" i="4"/>
  <c r="L1213" i="4"/>
  <c r="K1213" i="4"/>
  <c r="M1212" i="4"/>
  <c r="L1212" i="4"/>
  <c r="K1212" i="4"/>
  <c r="P1211" i="4"/>
  <c r="M1211" i="4"/>
  <c r="L1211" i="4"/>
  <c r="K1211" i="4"/>
  <c r="N1211" i="4" s="1"/>
  <c r="Q1211" i="4" s="1"/>
  <c r="M1210" i="4"/>
  <c r="L1210" i="4"/>
  <c r="K1210" i="4"/>
  <c r="M1209" i="4"/>
  <c r="L1209" i="4"/>
  <c r="K1209" i="4"/>
  <c r="M1208" i="4"/>
  <c r="L1208" i="4"/>
  <c r="O1207" i="4" s="1"/>
  <c r="K1208" i="4"/>
  <c r="M1207" i="4"/>
  <c r="P1207" i="4" s="1"/>
  <c r="L1207" i="4"/>
  <c r="K1207" i="4"/>
  <c r="N1207" i="4" s="1"/>
  <c r="Q1207" i="4" s="1"/>
  <c r="M1206" i="4"/>
  <c r="L1206" i="4"/>
  <c r="K1206" i="4"/>
  <c r="M1205" i="4"/>
  <c r="L1205" i="4"/>
  <c r="K1205" i="4"/>
  <c r="M1204" i="4"/>
  <c r="L1204" i="4"/>
  <c r="K1204" i="4"/>
  <c r="O1203" i="4"/>
  <c r="M1203" i="4"/>
  <c r="P1203" i="4" s="1"/>
  <c r="L1203" i="4"/>
  <c r="K1203" i="4"/>
  <c r="M1202" i="4"/>
  <c r="L1202" i="4"/>
  <c r="K1202" i="4"/>
  <c r="M1201" i="4"/>
  <c r="L1201" i="4"/>
  <c r="O1199" i="4" s="1"/>
  <c r="K1201" i="4"/>
  <c r="M1200" i="4"/>
  <c r="P1199" i="4" s="1"/>
  <c r="L1200" i="4"/>
  <c r="K1200" i="4"/>
  <c r="Q1199" i="4"/>
  <c r="N1199" i="4"/>
  <c r="M1199" i="4"/>
  <c r="L1199" i="4"/>
  <c r="K1199" i="4"/>
  <c r="M1198" i="4"/>
  <c r="L1198" i="4"/>
  <c r="K1198" i="4"/>
  <c r="M1197" i="4"/>
  <c r="L1197" i="4"/>
  <c r="K1197" i="4"/>
  <c r="M1196" i="4"/>
  <c r="L1196" i="4"/>
  <c r="K1196" i="4"/>
  <c r="P1195" i="4"/>
  <c r="M1195" i="4"/>
  <c r="L1195" i="4"/>
  <c r="O1195" i="4" s="1"/>
  <c r="R1195" i="4" s="1"/>
  <c r="K1195" i="4"/>
  <c r="N1195" i="4" s="1"/>
  <c r="Q1195" i="4" s="1"/>
  <c r="M1194" i="4"/>
  <c r="L1194" i="4"/>
  <c r="K1194" i="4"/>
  <c r="M1193" i="4"/>
  <c r="L1193" i="4"/>
  <c r="K1193" i="4"/>
  <c r="M1192" i="4"/>
  <c r="L1192" i="4"/>
  <c r="K1192" i="4"/>
  <c r="M1191" i="4"/>
  <c r="P1191" i="4" s="1"/>
  <c r="L1191" i="4"/>
  <c r="O1191" i="4" s="1"/>
  <c r="K1191" i="4"/>
  <c r="N1191" i="4" s="1"/>
  <c r="Q1191" i="4" s="1"/>
  <c r="M1190" i="4"/>
  <c r="L1190" i="4"/>
  <c r="K1190" i="4"/>
  <c r="M1189" i="4"/>
  <c r="L1189" i="4"/>
  <c r="K1189" i="4"/>
  <c r="M1188" i="4"/>
  <c r="L1188" i="4"/>
  <c r="K1188" i="4"/>
  <c r="O1187" i="4"/>
  <c r="M1187" i="4"/>
  <c r="P1187" i="4" s="1"/>
  <c r="L1187" i="4"/>
  <c r="K1187" i="4"/>
  <c r="M1186" i="4"/>
  <c r="L1186" i="4"/>
  <c r="K1186" i="4"/>
  <c r="M1185" i="4"/>
  <c r="L1185" i="4"/>
  <c r="K1185" i="4"/>
  <c r="M1184" i="4"/>
  <c r="L1184" i="4"/>
  <c r="K1184" i="4"/>
  <c r="M1183" i="4"/>
  <c r="L1183" i="4"/>
  <c r="K1183" i="4"/>
  <c r="M1182" i="4"/>
  <c r="P1180" i="4" s="1"/>
  <c r="L1182" i="4"/>
  <c r="K1182" i="4"/>
  <c r="M1181" i="4"/>
  <c r="L1181" i="4"/>
  <c r="K1181" i="4"/>
  <c r="R1180" i="4"/>
  <c r="O1180" i="4"/>
  <c r="S1180" i="4" s="1"/>
  <c r="M1180" i="4"/>
  <c r="L1180" i="4"/>
  <c r="K1180" i="4"/>
  <c r="N1180" i="4" s="1"/>
  <c r="Q1180" i="4" s="1"/>
  <c r="M1179" i="4"/>
  <c r="L1179" i="4"/>
  <c r="K1179" i="4"/>
  <c r="M1178" i="4"/>
  <c r="L1178" i="4"/>
  <c r="K1178" i="4"/>
  <c r="M1177" i="4"/>
  <c r="L1177" i="4"/>
  <c r="K1177" i="4"/>
  <c r="M1176" i="4"/>
  <c r="L1176" i="4"/>
  <c r="O1176" i="4" s="1"/>
  <c r="K1176" i="4"/>
  <c r="M1175" i="4"/>
  <c r="L1175" i="4"/>
  <c r="K1175" i="4"/>
  <c r="M1174" i="4"/>
  <c r="L1174" i="4"/>
  <c r="K1174" i="4"/>
  <c r="M1173" i="4"/>
  <c r="L1173" i="4"/>
  <c r="K1173" i="4"/>
  <c r="N1172" i="4"/>
  <c r="Q1172" i="4" s="1"/>
  <c r="M1172" i="4"/>
  <c r="L1172" i="4"/>
  <c r="O1172" i="4" s="1"/>
  <c r="K1172" i="4"/>
  <c r="M1171" i="4"/>
  <c r="L1171" i="4"/>
  <c r="K1171" i="4"/>
  <c r="M1170" i="4"/>
  <c r="L1170" i="4"/>
  <c r="K1170" i="4"/>
  <c r="N1168" i="4" s="1"/>
  <c r="Q1168" i="4" s="1"/>
  <c r="M1169" i="4"/>
  <c r="L1169" i="4"/>
  <c r="O1168" i="4" s="1"/>
  <c r="K1169" i="4"/>
  <c r="P1168" i="4"/>
  <c r="M1168" i="4"/>
  <c r="L1168" i="4"/>
  <c r="K1168" i="4"/>
  <c r="M1167" i="4"/>
  <c r="L1167" i="4"/>
  <c r="K1167" i="4"/>
  <c r="M1166" i="4"/>
  <c r="P1164" i="4" s="1"/>
  <c r="L1166" i="4"/>
  <c r="K1166" i="4"/>
  <c r="M1165" i="4"/>
  <c r="L1165" i="4"/>
  <c r="K1165" i="4"/>
  <c r="R1164" i="4"/>
  <c r="O1164" i="4"/>
  <c r="S1164" i="4" s="1"/>
  <c r="M1164" i="4"/>
  <c r="L1164" i="4"/>
  <c r="K1164" i="4"/>
  <c r="M1163" i="4"/>
  <c r="L1163" i="4"/>
  <c r="K1163" i="4"/>
  <c r="M1162" i="4"/>
  <c r="L1162" i="4"/>
  <c r="K1162" i="4"/>
  <c r="M1161" i="4"/>
  <c r="L1161" i="4"/>
  <c r="K1161" i="4"/>
  <c r="M1160" i="4"/>
  <c r="P1160" i="4" s="1"/>
  <c r="L1160" i="4"/>
  <c r="O1160" i="4" s="1"/>
  <c r="K1160" i="4"/>
  <c r="N1160" i="4" s="1"/>
  <c r="Q1160" i="4" s="1"/>
  <c r="M1159" i="4"/>
  <c r="L1159" i="4"/>
  <c r="K1159" i="4"/>
  <c r="M1158" i="4"/>
  <c r="L1158" i="4"/>
  <c r="K1158" i="4"/>
  <c r="M1157" i="4"/>
  <c r="P1156" i="4" s="1"/>
  <c r="L1157" i="4"/>
  <c r="K1157" i="4"/>
  <c r="N1156" i="4"/>
  <c r="Q1156" i="4" s="1"/>
  <c r="M1156" i="4"/>
  <c r="L1156" i="4"/>
  <c r="O1156" i="4" s="1"/>
  <c r="K1156" i="4"/>
  <c r="M1155" i="4"/>
  <c r="L1155" i="4"/>
  <c r="K1155" i="4"/>
  <c r="N1152" i="4" s="1"/>
  <c r="Q1152" i="4" s="1"/>
  <c r="M1154" i="4"/>
  <c r="L1154" i="4"/>
  <c r="K1154" i="4"/>
  <c r="M1153" i="4"/>
  <c r="L1153" i="4"/>
  <c r="K1153" i="4"/>
  <c r="P1152" i="4"/>
  <c r="M1152" i="4"/>
  <c r="L1152" i="4"/>
  <c r="K1152" i="4"/>
  <c r="M1151" i="4"/>
  <c r="L1151" i="4"/>
  <c r="K1151" i="4"/>
  <c r="M1150" i="4"/>
  <c r="L1150" i="4"/>
  <c r="K1150" i="4"/>
  <c r="M1149" i="4"/>
  <c r="L1149" i="4"/>
  <c r="K1149" i="4"/>
  <c r="R1148" i="4"/>
  <c r="P1148" i="4"/>
  <c r="O1148" i="4"/>
  <c r="S1148" i="4" s="1"/>
  <c r="M1148" i="4"/>
  <c r="L1148" i="4"/>
  <c r="K1148" i="4"/>
  <c r="N1148" i="4" s="1"/>
  <c r="Q1148" i="4" s="1"/>
  <c r="M1147" i="4"/>
  <c r="L1147" i="4"/>
  <c r="K1147" i="4"/>
  <c r="M1146" i="4"/>
  <c r="L1146" i="4"/>
  <c r="K1146" i="4"/>
  <c r="M1145" i="4"/>
  <c r="L1145" i="4"/>
  <c r="K1145" i="4"/>
  <c r="N1144" i="4" s="1"/>
  <c r="Q1144" i="4" s="1"/>
  <c r="M1144" i="4"/>
  <c r="P1144" i="4" s="1"/>
  <c r="L1144" i="4"/>
  <c r="O1144" i="4" s="1"/>
  <c r="K1144" i="4"/>
  <c r="M1143" i="4"/>
  <c r="L1143" i="4"/>
  <c r="K1143" i="4"/>
  <c r="M1142" i="4"/>
  <c r="L1142" i="4"/>
  <c r="K1142" i="4"/>
  <c r="M1141" i="4"/>
  <c r="P1140" i="4" s="1"/>
  <c r="L1141" i="4"/>
  <c r="K1141" i="4"/>
  <c r="N1140" i="4"/>
  <c r="Q1140" i="4" s="1"/>
  <c r="M1140" i="4"/>
  <c r="L1140" i="4"/>
  <c r="O1140" i="4" s="1"/>
  <c r="K1140" i="4"/>
  <c r="M1139" i="4"/>
  <c r="L1139" i="4"/>
  <c r="K1139" i="4"/>
  <c r="N1136" i="4" s="1"/>
  <c r="Q1136" i="4" s="1"/>
  <c r="M1138" i="4"/>
  <c r="L1138" i="4"/>
  <c r="K1138" i="4"/>
  <c r="M1137" i="4"/>
  <c r="L1137" i="4"/>
  <c r="K1137" i="4"/>
  <c r="P1136" i="4"/>
  <c r="M1136" i="4"/>
  <c r="L1136" i="4"/>
  <c r="K1136" i="4"/>
  <c r="M1135" i="4"/>
  <c r="L1135" i="4"/>
  <c r="K1135" i="4"/>
  <c r="M1134" i="4"/>
  <c r="L1134" i="4"/>
  <c r="K1134" i="4"/>
  <c r="M1133" i="4"/>
  <c r="L1133" i="4"/>
  <c r="K1133" i="4"/>
  <c r="R1132" i="4"/>
  <c r="P1132" i="4"/>
  <c r="O1132" i="4"/>
  <c r="S1132" i="4" s="1"/>
  <c r="M1132" i="4"/>
  <c r="L1132" i="4"/>
  <c r="K1132" i="4"/>
  <c r="M1131" i="4"/>
  <c r="L1131" i="4"/>
  <c r="K1131" i="4"/>
  <c r="M1130" i="4"/>
  <c r="L1130" i="4"/>
  <c r="K1130" i="4"/>
  <c r="M1129" i="4"/>
  <c r="L1129" i="4"/>
  <c r="K1129" i="4"/>
  <c r="N1128" i="4" s="1"/>
  <c r="Q1128" i="4" s="1"/>
  <c r="M1128" i="4"/>
  <c r="L1128" i="4"/>
  <c r="O1128" i="4" s="1"/>
  <c r="K1128" i="4"/>
  <c r="M1127" i="4"/>
  <c r="L1127" i="4"/>
  <c r="K1127" i="4"/>
  <c r="M1126" i="4"/>
  <c r="L1126" i="4"/>
  <c r="K1126" i="4"/>
  <c r="M1125" i="4"/>
  <c r="P1124" i="4" s="1"/>
  <c r="L1125" i="4"/>
  <c r="K1125" i="4"/>
  <c r="N1124" i="4"/>
  <c r="Q1124" i="4" s="1"/>
  <c r="M1124" i="4"/>
  <c r="L1124" i="4"/>
  <c r="O1124" i="4" s="1"/>
  <c r="K1124" i="4"/>
  <c r="M1123" i="4"/>
  <c r="L1123" i="4"/>
  <c r="K1123" i="4"/>
  <c r="N1120" i="4" s="1"/>
  <c r="Q1120" i="4" s="1"/>
  <c r="M1122" i="4"/>
  <c r="L1122" i="4"/>
  <c r="K1122" i="4"/>
  <c r="M1121" i="4"/>
  <c r="L1121" i="4"/>
  <c r="O1120" i="4" s="1"/>
  <c r="K1121" i="4"/>
  <c r="P1120" i="4"/>
  <c r="M1120" i="4"/>
  <c r="L1120" i="4"/>
  <c r="K1120" i="4"/>
  <c r="M1119" i="4"/>
  <c r="L1119" i="4"/>
  <c r="K1119" i="4"/>
  <c r="M1118" i="4"/>
  <c r="L1118" i="4"/>
  <c r="K1118" i="4"/>
  <c r="M1117" i="4"/>
  <c r="L1117" i="4"/>
  <c r="K1117" i="4"/>
  <c r="R1116" i="4"/>
  <c r="P1116" i="4"/>
  <c r="O1116" i="4"/>
  <c r="S1116" i="4" s="1"/>
  <c r="M1116" i="4"/>
  <c r="L1116" i="4"/>
  <c r="K1116" i="4"/>
  <c r="N1116" i="4" s="1"/>
  <c r="Q1116" i="4" s="1"/>
  <c r="M1115" i="4"/>
  <c r="L1115" i="4"/>
  <c r="K1115" i="4"/>
  <c r="M1114" i="4"/>
  <c r="L1114" i="4"/>
  <c r="K1114" i="4"/>
  <c r="M1113" i="4"/>
  <c r="L1113" i="4"/>
  <c r="K1113" i="4"/>
  <c r="N1112" i="4" s="1"/>
  <c r="Q1112" i="4" s="1"/>
  <c r="M1112" i="4"/>
  <c r="L1112" i="4"/>
  <c r="O1112" i="4" s="1"/>
  <c r="K1112" i="4"/>
  <c r="M1111" i="4"/>
  <c r="L1111" i="4"/>
  <c r="K1111" i="4"/>
  <c r="M1110" i="4"/>
  <c r="L1110" i="4"/>
  <c r="K1110" i="4"/>
  <c r="M1109" i="4"/>
  <c r="P1108" i="4" s="1"/>
  <c r="L1109" i="4"/>
  <c r="K1109" i="4"/>
  <c r="N1108" i="4"/>
  <c r="Q1108" i="4" s="1"/>
  <c r="M1108" i="4"/>
  <c r="L1108" i="4"/>
  <c r="O1108" i="4" s="1"/>
  <c r="K1108" i="4"/>
  <c r="M1107" i="4"/>
  <c r="L1107" i="4"/>
  <c r="K1107" i="4"/>
  <c r="N1104" i="4" s="1"/>
  <c r="Q1104" i="4" s="1"/>
  <c r="M1106" i="4"/>
  <c r="L1106" i="4"/>
  <c r="K1106" i="4"/>
  <c r="M1105" i="4"/>
  <c r="L1105" i="4"/>
  <c r="K1105" i="4"/>
  <c r="P1104" i="4"/>
  <c r="M1104" i="4"/>
  <c r="L1104" i="4"/>
  <c r="K1104" i="4"/>
  <c r="M1103" i="4"/>
  <c r="L1103" i="4"/>
  <c r="K1103" i="4"/>
  <c r="M1102" i="4"/>
  <c r="L1102" i="4"/>
  <c r="K1102" i="4"/>
  <c r="M1101" i="4"/>
  <c r="L1101" i="4"/>
  <c r="K1101" i="4"/>
  <c r="R1100" i="4"/>
  <c r="P1100" i="4"/>
  <c r="O1100" i="4"/>
  <c r="S1100" i="4" s="1"/>
  <c r="M1100" i="4"/>
  <c r="L1100" i="4"/>
  <c r="K1100" i="4"/>
  <c r="M1099" i="4"/>
  <c r="L1099" i="4"/>
  <c r="K1099" i="4"/>
  <c r="M1098" i="4"/>
  <c r="L1098" i="4"/>
  <c r="K1098" i="4"/>
  <c r="M1097" i="4"/>
  <c r="L1097" i="4"/>
  <c r="K1097" i="4"/>
  <c r="N1096" i="4" s="1"/>
  <c r="Q1096" i="4" s="1"/>
  <c r="M1096" i="4"/>
  <c r="L1096" i="4"/>
  <c r="O1096" i="4" s="1"/>
  <c r="K1096" i="4"/>
  <c r="M1095" i="4"/>
  <c r="L1095" i="4"/>
  <c r="K1095" i="4"/>
  <c r="M1094" i="4"/>
  <c r="L1094" i="4"/>
  <c r="K1094" i="4"/>
  <c r="M1093" i="4"/>
  <c r="P1092" i="4" s="1"/>
  <c r="L1093" i="4"/>
  <c r="K1093" i="4"/>
  <c r="N1092" i="4"/>
  <c r="Q1092" i="4" s="1"/>
  <c r="M1092" i="4"/>
  <c r="L1092" i="4"/>
  <c r="O1092" i="4" s="1"/>
  <c r="K1092" i="4"/>
  <c r="M1091" i="4"/>
  <c r="L1091" i="4"/>
  <c r="K1091" i="4"/>
  <c r="N1088" i="4" s="1"/>
  <c r="Q1088" i="4" s="1"/>
  <c r="M1090" i="4"/>
  <c r="L1090" i="4"/>
  <c r="K1090" i="4"/>
  <c r="M1089" i="4"/>
  <c r="L1089" i="4"/>
  <c r="O1088" i="4" s="1"/>
  <c r="K1089" i="4"/>
  <c r="P1088" i="4"/>
  <c r="M1088" i="4"/>
  <c r="L1088" i="4"/>
  <c r="K1088" i="4"/>
  <c r="M1087" i="4"/>
  <c r="L1087" i="4"/>
  <c r="K1087" i="4"/>
  <c r="M1086" i="4"/>
  <c r="L1086" i="4"/>
  <c r="K1086" i="4"/>
  <c r="M1085" i="4"/>
  <c r="L1085" i="4"/>
  <c r="K1085" i="4"/>
  <c r="P1084" i="4"/>
  <c r="M1084" i="4"/>
  <c r="L1084" i="4"/>
  <c r="O1084" i="4" s="1"/>
  <c r="K1084" i="4"/>
  <c r="M1083" i="4"/>
  <c r="L1083" i="4"/>
  <c r="K1083" i="4"/>
  <c r="M1082" i="4"/>
  <c r="L1082" i="4"/>
  <c r="K1082" i="4"/>
  <c r="M1081" i="4"/>
  <c r="L1081" i="4"/>
  <c r="K1081" i="4"/>
  <c r="N1080" i="4" s="1"/>
  <c r="Q1080" i="4" s="1"/>
  <c r="M1080" i="4"/>
  <c r="P1080" i="4" s="1"/>
  <c r="L1080" i="4"/>
  <c r="O1080" i="4" s="1"/>
  <c r="K1080" i="4"/>
  <c r="M1079" i="4"/>
  <c r="L1079" i="4"/>
  <c r="K1079" i="4"/>
  <c r="M1078" i="4"/>
  <c r="L1078" i="4"/>
  <c r="K1078" i="4"/>
  <c r="M1077" i="4"/>
  <c r="P1076" i="4" s="1"/>
  <c r="L1077" i="4"/>
  <c r="K1077" i="4"/>
  <c r="N1076" i="4"/>
  <c r="Q1076" i="4" s="1"/>
  <c r="M1076" i="4"/>
  <c r="L1076" i="4"/>
  <c r="O1076" i="4" s="1"/>
  <c r="K1076" i="4"/>
  <c r="M1075" i="4"/>
  <c r="L1075" i="4"/>
  <c r="K1075" i="4"/>
  <c r="N1072" i="4" s="1"/>
  <c r="Q1072" i="4" s="1"/>
  <c r="M1074" i="4"/>
  <c r="L1074" i="4"/>
  <c r="K1074" i="4"/>
  <c r="M1073" i="4"/>
  <c r="L1073" i="4"/>
  <c r="K1073" i="4"/>
  <c r="P1072" i="4"/>
  <c r="M1072" i="4"/>
  <c r="L1072" i="4"/>
  <c r="K1072" i="4"/>
  <c r="M1071" i="4"/>
  <c r="L1071" i="4"/>
  <c r="K1071" i="4"/>
  <c r="M1070" i="4"/>
  <c r="L1070" i="4"/>
  <c r="K1070" i="4"/>
  <c r="M1069" i="4"/>
  <c r="L1069" i="4"/>
  <c r="K1069" i="4"/>
  <c r="P1068" i="4"/>
  <c r="M1068" i="4"/>
  <c r="L1068" i="4"/>
  <c r="O1068" i="4" s="1"/>
  <c r="S1068" i="4" s="1"/>
  <c r="K1068" i="4"/>
  <c r="N1068" i="4" s="1"/>
  <c r="Q1068" i="4" s="1"/>
  <c r="M1067" i="4"/>
  <c r="L1067" i="4"/>
  <c r="K1067" i="4"/>
  <c r="M1066" i="4"/>
  <c r="L1066" i="4"/>
  <c r="K1066" i="4"/>
  <c r="M1065" i="4"/>
  <c r="L1065" i="4"/>
  <c r="K1065" i="4"/>
  <c r="N1064" i="4" s="1"/>
  <c r="Q1064" i="4" s="1"/>
  <c r="M1064" i="4"/>
  <c r="L1064" i="4"/>
  <c r="O1064" i="4" s="1"/>
  <c r="K1064" i="4"/>
  <c r="M1063" i="4"/>
  <c r="L1063" i="4"/>
  <c r="K1063" i="4"/>
  <c r="M1062" i="4"/>
  <c r="L1062" i="4"/>
  <c r="K1062" i="4"/>
  <c r="M1061" i="4"/>
  <c r="P1060" i="4" s="1"/>
  <c r="L1061" i="4"/>
  <c r="K1061" i="4"/>
  <c r="N1060" i="4"/>
  <c r="Q1060" i="4" s="1"/>
  <c r="M1060" i="4"/>
  <c r="L1060" i="4"/>
  <c r="O1060" i="4" s="1"/>
  <c r="K1060" i="4"/>
  <c r="M1059" i="4"/>
  <c r="L1059" i="4"/>
  <c r="K1059" i="4"/>
  <c r="N1056" i="4" s="1"/>
  <c r="Q1056" i="4" s="1"/>
  <c r="M1058" i="4"/>
  <c r="L1058" i="4"/>
  <c r="K1058" i="4"/>
  <c r="M1057" i="4"/>
  <c r="L1057" i="4"/>
  <c r="O1056" i="4" s="1"/>
  <c r="K1057" i="4"/>
  <c r="P1056" i="4"/>
  <c r="M1056" i="4"/>
  <c r="L1056" i="4"/>
  <c r="K1056" i="4"/>
  <c r="M1055" i="4"/>
  <c r="L1055" i="4"/>
  <c r="K1055" i="4"/>
  <c r="M1054" i="4"/>
  <c r="L1054" i="4"/>
  <c r="K1054" i="4"/>
  <c r="M1053" i="4"/>
  <c r="L1053" i="4"/>
  <c r="K1053" i="4"/>
  <c r="R1052" i="4"/>
  <c r="P1052" i="4"/>
  <c r="O1052" i="4"/>
  <c r="S1052" i="4" s="1"/>
  <c r="M1052" i="4"/>
  <c r="L1052" i="4"/>
  <c r="K1052" i="4"/>
  <c r="M1051" i="4"/>
  <c r="L1051" i="4"/>
  <c r="K1051" i="4"/>
  <c r="M1050" i="4"/>
  <c r="L1050" i="4"/>
  <c r="K1050" i="4"/>
  <c r="M1049" i="4"/>
  <c r="L1049" i="4"/>
  <c r="K1049" i="4"/>
  <c r="N1048" i="4" s="1"/>
  <c r="Q1048" i="4" s="1"/>
  <c r="M1048" i="4"/>
  <c r="P1048" i="4" s="1"/>
  <c r="L1048" i="4"/>
  <c r="O1048" i="4" s="1"/>
  <c r="K1048" i="4"/>
  <c r="M1047" i="4"/>
  <c r="L1047" i="4"/>
  <c r="K1047" i="4"/>
  <c r="M1046" i="4"/>
  <c r="L1046" i="4"/>
  <c r="K1046" i="4"/>
  <c r="M1045" i="4"/>
  <c r="P1044" i="4" s="1"/>
  <c r="L1045" i="4"/>
  <c r="K1045" i="4"/>
  <c r="N1044" i="4"/>
  <c r="Q1044" i="4" s="1"/>
  <c r="M1044" i="4"/>
  <c r="L1044" i="4"/>
  <c r="O1044" i="4" s="1"/>
  <c r="K1044" i="4"/>
  <c r="M1043" i="4"/>
  <c r="L1043" i="4"/>
  <c r="K1043" i="4"/>
  <c r="M1042" i="4"/>
  <c r="L1042" i="4"/>
  <c r="K1042" i="4"/>
  <c r="M1041" i="4"/>
  <c r="L1041" i="4"/>
  <c r="K1041" i="4"/>
  <c r="P1040" i="4"/>
  <c r="N1040" i="4"/>
  <c r="Q1040" i="4" s="1"/>
  <c r="M1040" i="4"/>
  <c r="L1040" i="4"/>
  <c r="K1040" i="4"/>
  <c r="M1039" i="4"/>
  <c r="L1039" i="4"/>
  <c r="K1039" i="4"/>
  <c r="M1038" i="4"/>
  <c r="L1038" i="4"/>
  <c r="K1038" i="4"/>
  <c r="M1037" i="4"/>
  <c r="L1037" i="4"/>
  <c r="K1037" i="4"/>
  <c r="P1036" i="4"/>
  <c r="M1036" i="4"/>
  <c r="L1036" i="4"/>
  <c r="O1036" i="4" s="1"/>
  <c r="S1036" i="4" s="1"/>
  <c r="K1036" i="4"/>
  <c r="M1035" i="4"/>
  <c r="L1035" i="4"/>
  <c r="K1035" i="4"/>
  <c r="M1034" i="4"/>
  <c r="L1034" i="4"/>
  <c r="K1034" i="4"/>
  <c r="M1033" i="4"/>
  <c r="L1033" i="4"/>
  <c r="K1033" i="4"/>
  <c r="N1032" i="4" s="1"/>
  <c r="Q1032" i="4" s="1"/>
  <c r="M1032" i="4"/>
  <c r="L1032" i="4"/>
  <c r="O1032" i="4" s="1"/>
  <c r="K1032" i="4"/>
  <c r="M1031" i="4"/>
  <c r="L1031" i="4"/>
  <c r="K1031" i="4"/>
  <c r="M1030" i="4"/>
  <c r="L1030" i="4"/>
  <c r="K1030" i="4"/>
  <c r="M1029" i="4"/>
  <c r="P1028" i="4" s="1"/>
  <c r="L1029" i="4"/>
  <c r="K1029" i="4"/>
  <c r="N1028" i="4"/>
  <c r="Q1028" i="4" s="1"/>
  <c r="M1028" i="4"/>
  <c r="L1028" i="4"/>
  <c r="O1028" i="4" s="1"/>
  <c r="K1028" i="4"/>
  <c r="M1027" i="4"/>
  <c r="L1027" i="4"/>
  <c r="K1027" i="4"/>
  <c r="M1026" i="4"/>
  <c r="L1026" i="4"/>
  <c r="K1026" i="4"/>
  <c r="M1025" i="4"/>
  <c r="L1025" i="4"/>
  <c r="O1024" i="4" s="1"/>
  <c r="K1025" i="4"/>
  <c r="P1024" i="4"/>
  <c r="N1024" i="4"/>
  <c r="Q1024" i="4" s="1"/>
  <c r="M1024" i="4"/>
  <c r="L1024" i="4"/>
  <c r="K1024" i="4"/>
  <c r="M1023" i="4"/>
  <c r="L1023" i="4"/>
  <c r="K1023" i="4"/>
  <c r="M1022" i="4"/>
  <c r="L1022" i="4"/>
  <c r="K1022" i="4"/>
  <c r="M1021" i="4"/>
  <c r="L1021" i="4"/>
  <c r="K1021" i="4"/>
  <c r="M1020" i="4"/>
  <c r="L1020" i="4"/>
  <c r="K1020" i="4"/>
  <c r="M1019" i="4"/>
  <c r="L1019" i="4"/>
  <c r="K1019" i="4"/>
  <c r="M1018" i="4"/>
  <c r="L1018" i="4"/>
  <c r="K1018" i="4"/>
  <c r="M1017" i="4"/>
  <c r="L1017" i="4"/>
  <c r="K1017" i="4"/>
  <c r="M1016" i="4"/>
  <c r="L1016" i="4"/>
  <c r="K1016" i="4"/>
  <c r="M1015" i="4"/>
  <c r="L1015" i="4"/>
  <c r="K1015" i="4"/>
  <c r="N1014" i="4" s="1"/>
  <c r="Q1014" i="4" s="1"/>
  <c r="M1014" i="4"/>
  <c r="L1014" i="4"/>
  <c r="O1014" i="4" s="1"/>
  <c r="K1014" i="4"/>
  <c r="M1013" i="4"/>
  <c r="L1013" i="4"/>
  <c r="K1013" i="4"/>
  <c r="M1012" i="4"/>
  <c r="L1012" i="4"/>
  <c r="K1012" i="4"/>
  <c r="M1011" i="4"/>
  <c r="P1010" i="4" s="1"/>
  <c r="L1011" i="4"/>
  <c r="K1011" i="4"/>
  <c r="N1010" i="4"/>
  <c r="Q1010" i="4" s="1"/>
  <c r="M1010" i="4"/>
  <c r="L1010" i="4"/>
  <c r="O1010" i="4" s="1"/>
  <c r="K1010" i="4"/>
  <c r="M1009" i="4"/>
  <c r="L1009" i="4"/>
  <c r="K1009" i="4"/>
  <c r="N1006" i="4" s="1"/>
  <c r="Q1006" i="4" s="1"/>
  <c r="M1008" i="4"/>
  <c r="L1008" i="4"/>
  <c r="K1008" i="4"/>
  <c r="M1007" i="4"/>
  <c r="L1007" i="4"/>
  <c r="K1007" i="4"/>
  <c r="P1006" i="4"/>
  <c r="M1006" i="4"/>
  <c r="L1006" i="4"/>
  <c r="K1006" i="4"/>
  <c r="M1005" i="4"/>
  <c r="L1005" i="4"/>
  <c r="K1005" i="4"/>
  <c r="M1004" i="4"/>
  <c r="L1004" i="4"/>
  <c r="K1004" i="4"/>
  <c r="M1003" i="4"/>
  <c r="L1003" i="4"/>
  <c r="K1003" i="4"/>
  <c r="R1002" i="4"/>
  <c r="P1002" i="4"/>
  <c r="M1002" i="4"/>
  <c r="L1002" i="4"/>
  <c r="O1002" i="4" s="1"/>
  <c r="S1002" i="4" s="1"/>
  <c r="K1002" i="4"/>
  <c r="N1002" i="4" s="1"/>
  <c r="Q1002" i="4" s="1"/>
  <c r="M1001" i="4"/>
  <c r="L1001" i="4"/>
  <c r="K1001" i="4"/>
  <c r="M1000" i="4"/>
  <c r="L1000" i="4"/>
  <c r="K1000" i="4"/>
  <c r="M999" i="4"/>
  <c r="L999" i="4"/>
  <c r="K999" i="4"/>
  <c r="N998" i="4" s="1"/>
  <c r="Q998" i="4" s="1"/>
  <c r="M998" i="4"/>
  <c r="P998" i="4" s="1"/>
  <c r="L998" i="4"/>
  <c r="O998" i="4" s="1"/>
  <c r="K998" i="4"/>
  <c r="M997" i="4"/>
  <c r="L997" i="4"/>
  <c r="K997" i="4"/>
  <c r="M996" i="4"/>
  <c r="L996" i="4"/>
  <c r="K996" i="4"/>
  <c r="M995" i="4"/>
  <c r="P994" i="4" s="1"/>
  <c r="L995" i="4"/>
  <c r="K995" i="4"/>
  <c r="N994" i="4"/>
  <c r="Q994" i="4" s="1"/>
  <c r="M994" i="4"/>
  <c r="L994" i="4"/>
  <c r="O994" i="4" s="1"/>
  <c r="K994" i="4"/>
  <c r="M993" i="4"/>
  <c r="L993" i="4"/>
  <c r="K993" i="4"/>
  <c r="N990" i="4" s="1"/>
  <c r="Q990" i="4" s="1"/>
  <c r="M992" i="4"/>
  <c r="L992" i="4"/>
  <c r="K992" i="4"/>
  <c r="M991" i="4"/>
  <c r="L991" i="4"/>
  <c r="O990" i="4" s="1"/>
  <c r="K991" i="4"/>
  <c r="P990" i="4"/>
  <c r="M990" i="4"/>
  <c r="L990" i="4"/>
  <c r="K990" i="4"/>
  <c r="M989" i="4"/>
  <c r="L989" i="4"/>
  <c r="K989" i="4"/>
  <c r="M988" i="4"/>
  <c r="L988" i="4"/>
  <c r="K988" i="4"/>
  <c r="M987" i="4"/>
  <c r="L987" i="4"/>
  <c r="K987" i="4"/>
  <c r="R986" i="4"/>
  <c r="P986" i="4"/>
  <c r="M986" i="4"/>
  <c r="L986" i="4"/>
  <c r="O986" i="4" s="1"/>
  <c r="S986" i="4" s="1"/>
  <c r="K986" i="4"/>
  <c r="N986" i="4" s="1"/>
  <c r="Q986" i="4" s="1"/>
  <c r="M985" i="4"/>
  <c r="L985" i="4"/>
  <c r="K985" i="4"/>
  <c r="M984" i="4"/>
  <c r="L984" i="4"/>
  <c r="K984" i="4"/>
  <c r="M983" i="4"/>
  <c r="L983" i="4"/>
  <c r="K983" i="4"/>
  <c r="N982" i="4" s="1"/>
  <c r="Q982" i="4" s="1"/>
  <c r="M982" i="4"/>
  <c r="L982" i="4"/>
  <c r="O982" i="4" s="1"/>
  <c r="K982" i="4"/>
  <c r="M981" i="4"/>
  <c r="L981" i="4"/>
  <c r="K981" i="4"/>
  <c r="M980" i="4"/>
  <c r="L980" i="4"/>
  <c r="K980" i="4"/>
  <c r="M979" i="4"/>
  <c r="P978" i="4" s="1"/>
  <c r="L979" i="4"/>
  <c r="K979" i="4"/>
  <c r="N978" i="4"/>
  <c r="Q978" i="4" s="1"/>
  <c r="M978" i="4"/>
  <c r="L978" i="4"/>
  <c r="O978" i="4" s="1"/>
  <c r="K978" i="4"/>
  <c r="M977" i="4"/>
  <c r="L977" i="4"/>
  <c r="K977" i="4"/>
  <c r="M976" i="4"/>
  <c r="L976" i="4"/>
  <c r="K976" i="4"/>
  <c r="M975" i="4"/>
  <c r="L975" i="4"/>
  <c r="K975" i="4"/>
  <c r="P974" i="4"/>
  <c r="N974" i="4"/>
  <c r="Q974" i="4" s="1"/>
  <c r="M974" i="4"/>
  <c r="L974" i="4"/>
  <c r="K974" i="4"/>
  <c r="M973" i="4"/>
  <c r="L973" i="4"/>
  <c r="K973" i="4"/>
  <c r="M972" i="4"/>
  <c r="L972" i="4"/>
  <c r="K972" i="4"/>
  <c r="M971" i="4"/>
  <c r="L971" i="4"/>
  <c r="K971" i="4"/>
  <c r="P970" i="4"/>
  <c r="M970" i="4"/>
  <c r="L970" i="4"/>
  <c r="O970" i="4" s="1"/>
  <c r="S970" i="4" s="1"/>
  <c r="K970" i="4"/>
  <c r="N970" i="4" s="1"/>
  <c r="Q970" i="4" s="1"/>
  <c r="M969" i="4"/>
  <c r="L969" i="4"/>
  <c r="K969" i="4"/>
  <c r="M968" i="4"/>
  <c r="L968" i="4"/>
  <c r="K968" i="4"/>
  <c r="M967" i="4"/>
  <c r="L967" i="4"/>
  <c r="K967" i="4"/>
  <c r="N966" i="4" s="1"/>
  <c r="Q966" i="4" s="1"/>
  <c r="M966" i="4"/>
  <c r="L966" i="4"/>
  <c r="O966" i="4" s="1"/>
  <c r="K966" i="4"/>
  <c r="M965" i="4"/>
  <c r="L965" i="4"/>
  <c r="K965" i="4"/>
  <c r="M964" i="4"/>
  <c r="L964" i="4"/>
  <c r="K964" i="4"/>
  <c r="M963" i="4"/>
  <c r="P962" i="4" s="1"/>
  <c r="L963" i="4"/>
  <c r="K963" i="4"/>
  <c r="N962" i="4"/>
  <c r="Q962" i="4" s="1"/>
  <c r="M962" i="4"/>
  <c r="L962" i="4"/>
  <c r="O962" i="4" s="1"/>
  <c r="K962" i="4"/>
  <c r="M961" i="4"/>
  <c r="L961" i="4"/>
  <c r="K961" i="4"/>
  <c r="M960" i="4"/>
  <c r="L960" i="4"/>
  <c r="K960" i="4"/>
  <c r="M959" i="4"/>
  <c r="L959" i="4"/>
  <c r="O958" i="4" s="1"/>
  <c r="K959" i="4"/>
  <c r="P958" i="4"/>
  <c r="N958" i="4"/>
  <c r="Q958" i="4" s="1"/>
  <c r="M958" i="4"/>
  <c r="L958" i="4"/>
  <c r="K958" i="4"/>
  <c r="M957" i="4"/>
  <c r="L957" i="4"/>
  <c r="K957" i="4"/>
  <c r="M956" i="4"/>
  <c r="L956" i="4"/>
  <c r="K956" i="4"/>
  <c r="M955" i="4"/>
  <c r="L955" i="4"/>
  <c r="K955" i="4"/>
  <c r="R954" i="4"/>
  <c r="P954" i="4"/>
  <c r="M954" i="4"/>
  <c r="L954" i="4"/>
  <c r="O954" i="4" s="1"/>
  <c r="S954" i="4" s="1"/>
  <c r="K954" i="4"/>
  <c r="M953" i="4"/>
  <c r="L953" i="4"/>
  <c r="K953" i="4"/>
  <c r="M952" i="4"/>
  <c r="L952" i="4"/>
  <c r="K952" i="4"/>
  <c r="M951" i="4"/>
  <c r="P950" i="4" s="1"/>
  <c r="L951" i="4"/>
  <c r="K951" i="4"/>
  <c r="N950" i="4" s="1"/>
  <c r="Q950" i="4" s="1"/>
  <c r="M950" i="4"/>
  <c r="L950" i="4"/>
  <c r="O950" i="4" s="1"/>
  <c r="K950" i="4"/>
  <c r="M949" i="4"/>
  <c r="L949" i="4"/>
  <c r="K949" i="4"/>
  <c r="M948" i="4"/>
  <c r="L948" i="4"/>
  <c r="K948" i="4"/>
  <c r="M947" i="4"/>
  <c r="P946" i="4" s="1"/>
  <c r="L947" i="4"/>
  <c r="K947" i="4"/>
  <c r="N946" i="4"/>
  <c r="Q946" i="4" s="1"/>
  <c r="M946" i="4"/>
  <c r="L946" i="4"/>
  <c r="O946" i="4" s="1"/>
  <c r="K946" i="4"/>
  <c r="M945" i="4"/>
  <c r="L945" i="4"/>
  <c r="K945" i="4"/>
  <c r="M944" i="4"/>
  <c r="L944" i="4"/>
  <c r="K944" i="4"/>
  <c r="M943" i="4"/>
  <c r="L943" i="4"/>
  <c r="K943" i="4"/>
  <c r="P942" i="4"/>
  <c r="N942" i="4"/>
  <c r="Q942" i="4" s="1"/>
  <c r="M942" i="4"/>
  <c r="L942" i="4"/>
  <c r="K942" i="4"/>
  <c r="M941" i="4"/>
  <c r="L941" i="4"/>
  <c r="K941" i="4"/>
  <c r="M940" i="4"/>
  <c r="L940" i="4"/>
  <c r="K940" i="4"/>
  <c r="M939" i="4"/>
  <c r="L939" i="4"/>
  <c r="K939" i="4"/>
  <c r="P938" i="4"/>
  <c r="M938" i="4"/>
  <c r="L938" i="4"/>
  <c r="O938" i="4" s="1"/>
  <c r="S938" i="4" s="1"/>
  <c r="K938" i="4"/>
  <c r="M937" i="4"/>
  <c r="L937" i="4"/>
  <c r="K937" i="4"/>
  <c r="M936" i="4"/>
  <c r="L936" i="4"/>
  <c r="K936" i="4"/>
  <c r="M935" i="4"/>
  <c r="L935" i="4"/>
  <c r="K935" i="4"/>
  <c r="N934" i="4" s="1"/>
  <c r="Q934" i="4" s="1"/>
  <c r="M934" i="4"/>
  <c r="L934" i="4"/>
  <c r="O934" i="4" s="1"/>
  <c r="K934" i="4"/>
  <c r="M933" i="4"/>
  <c r="L933" i="4"/>
  <c r="K933" i="4"/>
  <c r="M932" i="4"/>
  <c r="L932" i="4"/>
  <c r="K932" i="4"/>
  <c r="M931" i="4"/>
  <c r="P930" i="4" s="1"/>
  <c r="L931" i="4"/>
  <c r="K931" i="4"/>
  <c r="N930" i="4"/>
  <c r="Q930" i="4" s="1"/>
  <c r="M930" i="4"/>
  <c r="L930" i="4"/>
  <c r="O930" i="4" s="1"/>
  <c r="K930" i="4"/>
  <c r="M929" i="4"/>
  <c r="L929" i="4"/>
  <c r="K929" i="4"/>
  <c r="M928" i="4"/>
  <c r="L928" i="4"/>
  <c r="K928" i="4"/>
  <c r="M927" i="4"/>
  <c r="L927" i="4"/>
  <c r="O926" i="4" s="1"/>
  <c r="K927" i="4"/>
  <c r="P926" i="4"/>
  <c r="N926" i="4"/>
  <c r="Q926" i="4" s="1"/>
  <c r="M926" i="4"/>
  <c r="L926" i="4"/>
  <c r="K926" i="4"/>
  <c r="M925" i="4"/>
  <c r="L925" i="4"/>
  <c r="K925" i="4"/>
  <c r="M924" i="4"/>
  <c r="L924" i="4"/>
  <c r="K924" i="4"/>
  <c r="M923" i="4"/>
  <c r="L923" i="4"/>
  <c r="K923" i="4"/>
  <c r="R922" i="4"/>
  <c r="P922" i="4"/>
  <c r="M922" i="4"/>
  <c r="L922" i="4"/>
  <c r="O922" i="4" s="1"/>
  <c r="S922" i="4" s="1"/>
  <c r="K922" i="4"/>
  <c r="M921" i="4"/>
  <c r="L921" i="4"/>
  <c r="K921" i="4"/>
  <c r="M920" i="4"/>
  <c r="L920" i="4"/>
  <c r="K920" i="4"/>
  <c r="M919" i="4"/>
  <c r="P918" i="4" s="1"/>
  <c r="L919" i="4"/>
  <c r="K919" i="4"/>
  <c r="N918" i="4" s="1"/>
  <c r="Q918" i="4" s="1"/>
  <c r="M918" i="4"/>
  <c r="L918" i="4"/>
  <c r="O918" i="4" s="1"/>
  <c r="K918" i="4"/>
  <c r="M917" i="4"/>
  <c r="L917" i="4"/>
  <c r="K917" i="4"/>
  <c r="M916" i="4"/>
  <c r="L916" i="4"/>
  <c r="K916" i="4"/>
  <c r="M915" i="4"/>
  <c r="P914" i="4" s="1"/>
  <c r="L915" i="4"/>
  <c r="K915" i="4"/>
  <c r="N914" i="4"/>
  <c r="Q914" i="4" s="1"/>
  <c r="M914" i="4"/>
  <c r="L914" i="4"/>
  <c r="O914" i="4" s="1"/>
  <c r="K914" i="4"/>
  <c r="M913" i="4"/>
  <c r="L913" i="4"/>
  <c r="K913" i="4"/>
  <c r="M912" i="4"/>
  <c r="L912" i="4"/>
  <c r="K912" i="4"/>
  <c r="M911" i="4"/>
  <c r="L911" i="4"/>
  <c r="O910" i="4" s="1"/>
  <c r="K911" i="4"/>
  <c r="P910" i="4"/>
  <c r="N910" i="4"/>
  <c r="Q910" i="4" s="1"/>
  <c r="M910" i="4"/>
  <c r="L910" i="4"/>
  <c r="K910" i="4"/>
  <c r="M909" i="4"/>
  <c r="L909" i="4"/>
  <c r="K909" i="4"/>
  <c r="M908" i="4"/>
  <c r="L908" i="4"/>
  <c r="K908" i="4"/>
  <c r="M907" i="4"/>
  <c r="L907" i="4"/>
  <c r="K907" i="4"/>
  <c r="P906" i="4"/>
  <c r="M906" i="4"/>
  <c r="L906" i="4"/>
  <c r="O906" i="4" s="1"/>
  <c r="K906" i="4"/>
  <c r="M905" i="4"/>
  <c r="L905" i="4"/>
  <c r="K905" i="4"/>
  <c r="M904" i="4"/>
  <c r="L904" i="4"/>
  <c r="K904" i="4"/>
  <c r="M903" i="4"/>
  <c r="P902" i="4" s="1"/>
  <c r="L903" i="4"/>
  <c r="K903" i="4"/>
  <c r="N902" i="4" s="1"/>
  <c r="Q902" i="4" s="1"/>
  <c r="M902" i="4"/>
  <c r="L902" i="4"/>
  <c r="O902" i="4" s="1"/>
  <c r="K902" i="4"/>
  <c r="M901" i="4"/>
  <c r="L901" i="4"/>
  <c r="K901" i="4"/>
  <c r="M900" i="4"/>
  <c r="L900" i="4"/>
  <c r="K900" i="4"/>
  <c r="M899" i="4"/>
  <c r="P898" i="4" s="1"/>
  <c r="L899" i="4"/>
  <c r="K899" i="4"/>
  <c r="N898" i="4"/>
  <c r="Q898" i="4" s="1"/>
  <c r="M898" i="4"/>
  <c r="L898" i="4"/>
  <c r="O898" i="4" s="1"/>
  <c r="K898" i="4"/>
  <c r="M897" i="4"/>
  <c r="L897" i="4"/>
  <c r="K897" i="4"/>
  <c r="M896" i="4"/>
  <c r="L896" i="4"/>
  <c r="K896" i="4"/>
  <c r="M895" i="4"/>
  <c r="L895" i="4"/>
  <c r="K895" i="4"/>
  <c r="P894" i="4"/>
  <c r="N894" i="4"/>
  <c r="Q894" i="4" s="1"/>
  <c r="M894" i="4"/>
  <c r="L894" i="4"/>
  <c r="K894" i="4"/>
  <c r="M893" i="4"/>
  <c r="L893" i="4"/>
  <c r="K893" i="4"/>
  <c r="M892" i="4"/>
  <c r="L892" i="4"/>
  <c r="K892" i="4"/>
  <c r="M891" i="4"/>
  <c r="L891" i="4"/>
  <c r="K891" i="4"/>
  <c r="N890" i="4" s="1"/>
  <c r="Q890" i="4" s="1"/>
  <c r="P890" i="4"/>
  <c r="M890" i="4"/>
  <c r="L890" i="4"/>
  <c r="O890" i="4" s="1"/>
  <c r="S890" i="4" s="1"/>
  <c r="K890" i="4"/>
  <c r="M889" i="4"/>
  <c r="L889" i="4"/>
  <c r="K889" i="4"/>
  <c r="M888" i="4"/>
  <c r="L888" i="4"/>
  <c r="K888" i="4"/>
  <c r="M887" i="4"/>
  <c r="P886" i="4" s="1"/>
  <c r="L887" i="4"/>
  <c r="K887" i="4"/>
  <c r="N886" i="4" s="1"/>
  <c r="Q886" i="4" s="1"/>
  <c r="M886" i="4"/>
  <c r="L886" i="4"/>
  <c r="O886" i="4" s="1"/>
  <c r="K886" i="4"/>
  <c r="M885" i="4"/>
  <c r="L885" i="4"/>
  <c r="K885" i="4"/>
  <c r="M884" i="4"/>
  <c r="L884" i="4"/>
  <c r="K884" i="4"/>
  <c r="M883" i="4"/>
  <c r="P882" i="4" s="1"/>
  <c r="L883" i="4"/>
  <c r="K883" i="4"/>
  <c r="N882" i="4"/>
  <c r="Q882" i="4" s="1"/>
  <c r="M882" i="4"/>
  <c r="L882" i="4"/>
  <c r="O882" i="4" s="1"/>
  <c r="K882" i="4"/>
  <c r="M881" i="4"/>
  <c r="L881" i="4"/>
  <c r="K881" i="4"/>
  <c r="M880" i="4"/>
  <c r="L880" i="4"/>
  <c r="K880" i="4"/>
  <c r="M879" i="4"/>
  <c r="L879" i="4"/>
  <c r="K879" i="4"/>
  <c r="P878" i="4"/>
  <c r="N878" i="4"/>
  <c r="Q878" i="4" s="1"/>
  <c r="M878" i="4"/>
  <c r="L878" i="4"/>
  <c r="K878" i="4"/>
  <c r="M877" i="4"/>
  <c r="L877" i="4"/>
  <c r="K877" i="4"/>
  <c r="M876" i="4"/>
  <c r="L876" i="4"/>
  <c r="K876" i="4"/>
  <c r="M875" i="4"/>
  <c r="L875" i="4"/>
  <c r="K875" i="4"/>
  <c r="R874" i="4"/>
  <c r="P874" i="4"/>
  <c r="M874" i="4"/>
  <c r="L874" i="4"/>
  <c r="O874" i="4" s="1"/>
  <c r="S874" i="4" s="1"/>
  <c r="K874" i="4"/>
  <c r="M873" i="4"/>
  <c r="L873" i="4"/>
  <c r="K873" i="4"/>
  <c r="M872" i="4"/>
  <c r="L872" i="4"/>
  <c r="K872" i="4"/>
  <c r="M871" i="4"/>
  <c r="L871" i="4"/>
  <c r="K871" i="4"/>
  <c r="N870" i="4" s="1"/>
  <c r="Q870" i="4" s="1"/>
  <c r="M870" i="4"/>
  <c r="L870" i="4"/>
  <c r="O870" i="4" s="1"/>
  <c r="K870" i="4"/>
  <c r="M869" i="4"/>
  <c r="L869" i="4"/>
  <c r="K869" i="4"/>
  <c r="M868" i="4"/>
  <c r="L868" i="4"/>
  <c r="K868" i="4"/>
  <c r="M867" i="4"/>
  <c r="P866" i="4" s="1"/>
  <c r="L867" i="4"/>
  <c r="K867" i="4"/>
  <c r="N866" i="4"/>
  <c r="Q866" i="4" s="1"/>
  <c r="M866" i="4"/>
  <c r="L866" i="4"/>
  <c r="O866" i="4" s="1"/>
  <c r="K866" i="4"/>
  <c r="M865" i="4"/>
  <c r="L865" i="4"/>
  <c r="K865" i="4"/>
  <c r="M864" i="4"/>
  <c r="L864" i="4"/>
  <c r="K864" i="4"/>
  <c r="M863" i="4"/>
  <c r="L863" i="4"/>
  <c r="O862" i="4" s="1"/>
  <c r="K863" i="4"/>
  <c r="P862" i="4"/>
  <c r="N862" i="4"/>
  <c r="Q862" i="4" s="1"/>
  <c r="M862" i="4"/>
  <c r="L862" i="4"/>
  <c r="K862" i="4"/>
  <c r="M861" i="4"/>
  <c r="L861" i="4"/>
  <c r="K861" i="4"/>
  <c r="M860" i="4"/>
  <c r="L860" i="4"/>
  <c r="K860" i="4"/>
  <c r="S859" i="4"/>
  <c r="R859" i="4"/>
  <c r="Q859" i="4"/>
  <c r="M859" i="4"/>
  <c r="L859" i="4"/>
  <c r="K859" i="4"/>
  <c r="M858" i="4"/>
  <c r="L858" i="4"/>
  <c r="K858" i="4"/>
  <c r="M857" i="4"/>
  <c r="L857" i="4"/>
  <c r="K857" i="4"/>
  <c r="M856" i="4"/>
  <c r="P855" i="4" s="1"/>
  <c r="L856" i="4"/>
  <c r="K856" i="4"/>
  <c r="N855" i="4"/>
  <c r="Q855" i="4" s="1"/>
  <c r="M855" i="4"/>
  <c r="L855" i="4"/>
  <c r="O855" i="4" s="1"/>
  <c r="K855" i="4"/>
  <c r="M854" i="4"/>
  <c r="L854" i="4"/>
  <c r="K854" i="4"/>
  <c r="M853" i="4"/>
  <c r="L853" i="4"/>
  <c r="K853" i="4"/>
  <c r="M852" i="4"/>
  <c r="L852" i="4"/>
  <c r="K852" i="4"/>
  <c r="P851" i="4"/>
  <c r="N851" i="4"/>
  <c r="Q851" i="4" s="1"/>
  <c r="M851" i="4"/>
  <c r="L851" i="4"/>
  <c r="K851" i="4"/>
  <c r="M850" i="4"/>
  <c r="L850" i="4"/>
  <c r="K850" i="4"/>
  <c r="M849" i="4"/>
  <c r="L849" i="4"/>
  <c r="K849" i="4"/>
  <c r="M848" i="4"/>
  <c r="L848" i="4"/>
  <c r="K848" i="4"/>
  <c r="P847" i="4"/>
  <c r="M847" i="4"/>
  <c r="L847" i="4"/>
  <c r="O847" i="4" s="1"/>
  <c r="S847" i="4" s="1"/>
  <c r="K847" i="4"/>
  <c r="M846" i="4"/>
  <c r="L846" i="4"/>
  <c r="K846" i="4"/>
  <c r="M845" i="4"/>
  <c r="L845" i="4"/>
  <c r="K845" i="4"/>
  <c r="M844" i="4"/>
  <c r="L844" i="4"/>
  <c r="K844" i="4"/>
  <c r="N843" i="4" s="1"/>
  <c r="Q843" i="4" s="1"/>
  <c r="M843" i="4"/>
  <c r="L843" i="4"/>
  <c r="O843" i="4" s="1"/>
  <c r="K843" i="4"/>
  <c r="M842" i="4"/>
  <c r="L842" i="4"/>
  <c r="K842" i="4"/>
  <c r="M841" i="4"/>
  <c r="L841" i="4"/>
  <c r="K841" i="4"/>
  <c r="M840" i="4"/>
  <c r="P839" i="4" s="1"/>
  <c r="L840" i="4"/>
  <c r="K840" i="4"/>
  <c r="N839" i="4"/>
  <c r="Q839" i="4" s="1"/>
  <c r="M839" i="4"/>
  <c r="L839" i="4"/>
  <c r="O839" i="4" s="1"/>
  <c r="K839" i="4"/>
  <c r="M838" i="4"/>
  <c r="L838" i="4"/>
  <c r="K838" i="4"/>
  <c r="M837" i="4"/>
  <c r="L837" i="4"/>
  <c r="K837" i="4"/>
  <c r="M836" i="4"/>
  <c r="L836" i="4"/>
  <c r="O835" i="4" s="1"/>
  <c r="K836" i="4"/>
  <c r="P835" i="4"/>
  <c r="N835" i="4"/>
  <c r="Q835" i="4" s="1"/>
  <c r="M835" i="4"/>
  <c r="L835" i="4"/>
  <c r="K835" i="4"/>
  <c r="M834" i="4"/>
  <c r="L834" i="4"/>
  <c r="K834" i="4"/>
  <c r="M833" i="4"/>
  <c r="L833" i="4"/>
  <c r="K833" i="4"/>
  <c r="M832" i="4"/>
  <c r="L832" i="4"/>
  <c r="K832" i="4"/>
  <c r="R831" i="4"/>
  <c r="P831" i="4"/>
  <c r="M831" i="4"/>
  <c r="L831" i="4"/>
  <c r="O831" i="4" s="1"/>
  <c r="S831" i="4" s="1"/>
  <c r="K831" i="4"/>
  <c r="M830" i="4"/>
  <c r="L830" i="4"/>
  <c r="K830" i="4"/>
  <c r="M829" i="4"/>
  <c r="L829" i="4"/>
  <c r="K829" i="4"/>
  <c r="M828" i="4"/>
  <c r="L828" i="4"/>
  <c r="K828" i="4"/>
  <c r="N827" i="4" s="1"/>
  <c r="Q827" i="4" s="1"/>
  <c r="M827" i="4"/>
  <c r="L827" i="4"/>
  <c r="O827" i="4" s="1"/>
  <c r="K827" i="4"/>
  <c r="M826" i="4"/>
  <c r="L826" i="4"/>
  <c r="K826" i="4"/>
  <c r="M825" i="4"/>
  <c r="L825" i="4"/>
  <c r="K825" i="4"/>
  <c r="M824" i="4"/>
  <c r="P823" i="4" s="1"/>
  <c r="L824" i="4"/>
  <c r="K824" i="4"/>
  <c r="N823" i="4"/>
  <c r="Q823" i="4" s="1"/>
  <c r="M823" i="4"/>
  <c r="L823" i="4"/>
  <c r="O823" i="4" s="1"/>
  <c r="K823" i="4"/>
  <c r="M822" i="4"/>
  <c r="L822" i="4"/>
  <c r="K822" i="4"/>
  <c r="M821" i="4"/>
  <c r="L821" i="4"/>
  <c r="K821" i="4"/>
  <c r="M820" i="4"/>
  <c r="L820" i="4"/>
  <c r="O819" i="4" s="1"/>
  <c r="K820" i="4"/>
  <c r="P819" i="4"/>
  <c r="N819" i="4"/>
  <c r="Q819" i="4" s="1"/>
  <c r="M819" i="4"/>
  <c r="L819" i="4"/>
  <c r="K819" i="4"/>
  <c r="M818" i="4"/>
  <c r="L818" i="4"/>
  <c r="K818" i="4"/>
  <c r="M817" i="4"/>
  <c r="L817" i="4"/>
  <c r="K817" i="4"/>
  <c r="M816" i="4"/>
  <c r="L816" i="4"/>
  <c r="K816" i="4"/>
  <c r="N815" i="4" s="1"/>
  <c r="Q815" i="4" s="1"/>
  <c r="P815" i="4"/>
  <c r="M815" i="4"/>
  <c r="L815" i="4"/>
  <c r="O815" i="4" s="1"/>
  <c r="K815" i="4"/>
  <c r="M814" i="4"/>
  <c r="L814" i="4"/>
  <c r="K814" i="4"/>
  <c r="M813" i="4"/>
  <c r="L813" i="4"/>
  <c r="K813" i="4"/>
  <c r="M812" i="4"/>
  <c r="P811" i="4" s="1"/>
  <c r="L812" i="4"/>
  <c r="K812" i="4"/>
  <c r="N811" i="4" s="1"/>
  <c r="Q811" i="4" s="1"/>
  <c r="M811" i="4"/>
  <c r="L811" i="4"/>
  <c r="O811" i="4" s="1"/>
  <c r="K811" i="4"/>
  <c r="M810" i="4"/>
  <c r="L810" i="4"/>
  <c r="K810" i="4"/>
  <c r="M809" i="4"/>
  <c r="L809" i="4"/>
  <c r="K809" i="4"/>
  <c r="M808" i="4"/>
  <c r="P807" i="4" s="1"/>
  <c r="L808" i="4"/>
  <c r="K808" i="4"/>
  <c r="N807" i="4"/>
  <c r="Q807" i="4" s="1"/>
  <c r="M807" i="4"/>
  <c r="L807" i="4"/>
  <c r="O807" i="4" s="1"/>
  <c r="K807" i="4"/>
  <c r="M806" i="4"/>
  <c r="L806" i="4"/>
  <c r="K806" i="4"/>
  <c r="M805" i="4"/>
  <c r="L805" i="4"/>
  <c r="K805" i="4"/>
  <c r="M804" i="4"/>
  <c r="L804" i="4"/>
  <c r="K804" i="4"/>
  <c r="P803" i="4"/>
  <c r="N803" i="4"/>
  <c r="Q803" i="4" s="1"/>
  <c r="M803" i="4"/>
  <c r="L803" i="4"/>
  <c r="K803" i="4"/>
  <c r="M802" i="4"/>
  <c r="L802" i="4"/>
  <c r="K802" i="4"/>
  <c r="M801" i="4"/>
  <c r="L801" i="4"/>
  <c r="K801" i="4"/>
  <c r="M800" i="4"/>
  <c r="L800" i="4"/>
  <c r="K800" i="4"/>
  <c r="N799" i="4" s="1"/>
  <c r="Q799" i="4" s="1"/>
  <c r="P799" i="4"/>
  <c r="M799" i="4"/>
  <c r="L799" i="4"/>
  <c r="O799" i="4" s="1"/>
  <c r="S799" i="4" s="1"/>
  <c r="K799" i="4"/>
  <c r="M798" i="4"/>
  <c r="L798" i="4"/>
  <c r="K798" i="4"/>
  <c r="M797" i="4"/>
  <c r="L797" i="4"/>
  <c r="K797" i="4"/>
  <c r="M796" i="4"/>
  <c r="P795" i="4" s="1"/>
  <c r="L796" i="4"/>
  <c r="K796" i="4"/>
  <c r="N795" i="4" s="1"/>
  <c r="Q795" i="4" s="1"/>
  <c r="M795" i="4"/>
  <c r="L795" i="4"/>
  <c r="O795" i="4" s="1"/>
  <c r="K795" i="4"/>
  <c r="M794" i="4"/>
  <c r="L794" i="4"/>
  <c r="K794" i="4"/>
  <c r="M793" i="4"/>
  <c r="L793" i="4"/>
  <c r="K793" i="4"/>
  <c r="M792" i="4"/>
  <c r="P791" i="4" s="1"/>
  <c r="L792" i="4"/>
  <c r="K792" i="4"/>
  <c r="N791" i="4"/>
  <c r="Q791" i="4" s="1"/>
  <c r="M791" i="4"/>
  <c r="L791" i="4"/>
  <c r="O791" i="4" s="1"/>
  <c r="K791" i="4"/>
  <c r="M790" i="4"/>
  <c r="L790" i="4"/>
  <c r="K790" i="4"/>
  <c r="M789" i="4"/>
  <c r="L789" i="4"/>
  <c r="K789" i="4"/>
  <c r="M788" i="4"/>
  <c r="L788" i="4"/>
  <c r="K788" i="4"/>
  <c r="P787" i="4"/>
  <c r="N787" i="4"/>
  <c r="Q787" i="4" s="1"/>
  <c r="M787" i="4"/>
  <c r="L787" i="4"/>
  <c r="K787" i="4"/>
  <c r="M786" i="4"/>
  <c r="L786" i="4"/>
  <c r="K786" i="4"/>
  <c r="M785" i="4"/>
  <c r="L785" i="4"/>
  <c r="K785" i="4"/>
  <c r="M784" i="4"/>
  <c r="L784" i="4"/>
  <c r="K784" i="4"/>
  <c r="R783" i="4"/>
  <c r="P783" i="4"/>
  <c r="M783" i="4"/>
  <c r="L783" i="4"/>
  <c r="O783" i="4" s="1"/>
  <c r="S783" i="4" s="1"/>
  <c r="K783" i="4"/>
  <c r="M782" i="4"/>
  <c r="L782" i="4"/>
  <c r="K782" i="4"/>
  <c r="M781" i="4"/>
  <c r="L781" i="4"/>
  <c r="K781" i="4"/>
  <c r="M780" i="4"/>
  <c r="L780" i="4"/>
  <c r="K780" i="4"/>
  <c r="N779" i="4" s="1"/>
  <c r="Q779" i="4" s="1"/>
  <c r="M779" i="4"/>
  <c r="L779" i="4"/>
  <c r="O779" i="4" s="1"/>
  <c r="K779" i="4"/>
  <c r="M778" i="4"/>
  <c r="L778" i="4"/>
  <c r="K778" i="4"/>
  <c r="M777" i="4"/>
  <c r="L777" i="4"/>
  <c r="K777" i="4"/>
  <c r="M776" i="4"/>
  <c r="P775" i="4" s="1"/>
  <c r="L776" i="4"/>
  <c r="K776" i="4"/>
  <c r="N775" i="4"/>
  <c r="Q775" i="4" s="1"/>
  <c r="M775" i="4"/>
  <c r="L775" i="4"/>
  <c r="O775" i="4" s="1"/>
  <c r="K775" i="4"/>
  <c r="M774" i="4"/>
  <c r="L774" i="4"/>
  <c r="K774" i="4"/>
  <c r="M773" i="4"/>
  <c r="L773" i="4"/>
  <c r="K773" i="4"/>
  <c r="M772" i="4"/>
  <c r="L772" i="4"/>
  <c r="K772" i="4"/>
  <c r="P771" i="4"/>
  <c r="N771" i="4"/>
  <c r="Q771" i="4" s="1"/>
  <c r="M771" i="4"/>
  <c r="L771" i="4"/>
  <c r="O771" i="4" s="1"/>
  <c r="K771" i="4"/>
  <c r="M770" i="4"/>
  <c r="L770" i="4"/>
  <c r="K770" i="4"/>
  <c r="M769" i="4"/>
  <c r="L769" i="4"/>
  <c r="K769" i="4"/>
  <c r="M768" i="4"/>
  <c r="L768" i="4"/>
  <c r="K768" i="4"/>
  <c r="R767" i="4"/>
  <c r="P767" i="4"/>
  <c r="M767" i="4"/>
  <c r="L767" i="4"/>
  <c r="O767" i="4" s="1"/>
  <c r="S767" i="4" s="1"/>
  <c r="K767" i="4"/>
  <c r="M766" i="4"/>
  <c r="L766" i="4"/>
  <c r="K766" i="4"/>
  <c r="M765" i="4"/>
  <c r="L765" i="4"/>
  <c r="K765" i="4"/>
  <c r="M764" i="4"/>
  <c r="L764" i="4"/>
  <c r="K764" i="4"/>
  <c r="N763" i="4" s="1"/>
  <c r="Q763" i="4" s="1"/>
  <c r="M763" i="4"/>
  <c r="L763" i="4"/>
  <c r="O763" i="4" s="1"/>
  <c r="K763" i="4"/>
  <c r="M762" i="4"/>
  <c r="L762" i="4"/>
  <c r="K762" i="4"/>
  <c r="M761" i="4"/>
  <c r="L761" i="4"/>
  <c r="K761" i="4"/>
  <c r="M760" i="4"/>
  <c r="P759" i="4" s="1"/>
  <c r="L760" i="4"/>
  <c r="K760" i="4"/>
  <c r="N759" i="4"/>
  <c r="Q759" i="4" s="1"/>
  <c r="M759" i="4"/>
  <c r="L759" i="4"/>
  <c r="O759" i="4" s="1"/>
  <c r="K759" i="4"/>
  <c r="M758" i="4"/>
  <c r="L758" i="4"/>
  <c r="K758" i="4"/>
  <c r="M757" i="4"/>
  <c r="L757" i="4"/>
  <c r="K757" i="4"/>
  <c r="M756" i="4"/>
  <c r="L756" i="4"/>
  <c r="K756" i="4"/>
  <c r="P755" i="4"/>
  <c r="N755" i="4"/>
  <c r="Q755" i="4" s="1"/>
  <c r="M755" i="4"/>
  <c r="L755" i="4"/>
  <c r="O755" i="4" s="1"/>
  <c r="K755" i="4"/>
  <c r="M754" i="4"/>
  <c r="L754" i="4"/>
  <c r="K754" i="4"/>
  <c r="M753" i="4"/>
  <c r="L753" i="4"/>
  <c r="K753" i="4"/>
  <c r="M752" i="4"/>
  <c r="L752" i="4"/>
  <c r="K752" i="4"/>
  <c r="N751" i="4" s="1"/>
  <c r="Q751" i="4" s="1"/>
  <c r="P751" i="4"/>
  <c r="M751" i="4"/>
  <c r="L751" i="4"/>
  <c r="O751" i="4" s="1"/>
  <c r="S751" i="4" s="1"/>
  <c r="K751" i="4"/>
  <c r="M750" i="4"/>
  <c r="L750" i="4"/>
  <c r="K750" i="4"/>
  <c r="M749" i="4"/>
  <c r="L749" i="4"/>
  <c r="K749" i="4"/>
  <c r="M748" i="4"/>
  <c r="P747" i="4" s="1"/>
  <c r="L748" i="4"/>
  <c r="K748" i="4"/>
  <c r="N747" i="4" s="1"/>
  <c r="Q747" i="4" s="1"/>
  <c r="M747" i="4"/>
  <c r="L747" i="4"/>
  <c r="O747" i="4" s="1"/>
  <c r="K747" i="4"/>
  <c r="M746" i="4"/>
  <c r="L746" i="4"/>
  <c r="K746" i="4"/>
  <c r="M745" i="4"/>
  <c r="L745" i="4"/>
  <c r="K745" i="4"/>
  <c r="M744" i="4"/>
  <c r="P743" i="4" s="1"/>
  <c r="L744" i="4"/>
  <c r="K744" i="4"/>
  <c r="N743" i="4"/>
  <c r="Q743" i="4" s="1"/>
  <c r="M743" i="4"/>
  <c r="L743" i="4"/>
  <c r="O743" i="4" s="1"/>
  <c r="K743" i="4"/>
  <c r="M742" i="4"/>
  <c r="L742" i="4"/>
  <c r="K742" i="4"/>
  <c r="M741" i="4"/>
  <c r="L741" i="4"/>
  <c r="K741" i="4"/>
  <c r="M740" i="4"/>
  <c r="L740" i="4"/>
  <c r="K740" i="4"/>
  <c r="P739" i="4"/>
  <c r="N739" i="4"/>
  <c r="Q739" i="4" s="1"/>
  <c r="M739" i="4"/>
  <c r="L739" i="4"/>
  <c r="O739" i="4" s="1"/>
  <c r="K739" i="4"/>
  <c r="M738" i="4"/>
  <c r="L738" i="4"/>
  <c r="K738" i="4"/>
  <c r="M737" i="4"/>
  <c r="L737" i="4"/>
  <c r="K737" i="4"/>
  <c r="M736" i="4"/>
  <c r="L736" i="4"/>
  <c r="K736" i="4"/>
  <c r="N735" i="4" s="1"/>
  <c r="Q735" i="4" s="1"/>
  <c r="R735" i="4"/>
  <c r="P735" i="4"/>
  <c r="M735" i="4"/>
  <c r="L735" i="4"/>
  <c r="O735" i="4" s="1"/>
  <c r="S735" i="4" s="1"/>
  <c r="K735" i="4"/>
  <c r="M734" i="4"/>
  <c r="L734" i="4"/>
  <c r="K734" i="4"/>
  <c r="M733" i="4"/>
  <c r="L733" i="4"/>
  <c r="K733" i="4"/>
  <c r="M732" i="4"/>
  <c r="P731" i="4" s="1"/>
  <c r="L732" i="4"/>
  <c r="K732" i="4"/>
  <c r="N731" i="4" s="1"/>
  <c r="Q731" i="4" s="1"/>
  <c r="M731" i="4"/>
  <c r="L731" i="4"/>
  <c r="O731" i="4" s="1"/>
  <c r="K731" i="4"/>
  <c r="M730" i="4"/>
  <c r="L730" i="4"/>
  <c r="K730" i="4"/>
  <c r="M729" i="4"/>
  <c r="L729" i="4"/>
  <c r="K729" i="4"/>
  <c r="M728" i="4"/>
  <c r="P727" i="4" s="1"/>
  <c r="L728" i="4"/>
  <c r="K728" i="4"/>
  <c r="N727" i="4"/>
  <c r="Q727" i="4" s="1"/>
  <c r="M727" i="4"/>
  <c r="L727" i="4"/>
  <c r="O727" i="4" s="1"/>
  <c r="K727" i="4"/>
  <c r="M726" i="4"/>
  <c r="L726" i="4"/>
  <c r="K726" i="4"/>
  <c r="M725" i="4"/>
  <c r="L725" i="4"/>
  <c r="K725" i="4"/>
  <c r="M724" i="4"/>
  <c r="L724" i="4"/>
  <c r="K724" i="4"/>
  <c r="P723" i="4"/>
  <c r="N723" i="4"/>
  <c r="Q723" i="4" s="1"/>
  <c r="M723" i="4"/>
  <c r="L723" i="4"/>
  <c r="O723" i="4" s="1"/>
  <c r="K723" i="4"/>
  <c r="M722" i="4"/>
  <c r="L722" i="4"/>
  <c r="K722" i="4"/>
  <c r="M721" i="4"/>
  <c r="L721" i="4"/>
  <c r="K721" i="4"/>
  <c r="M720" i="4"/>
  <c r="L720" i="4"/>
  <c r="K720" i="4"/>
  <c r="P719" i="4"/>
  <c r="M719" i="4"/>
  <c r="L719" i="4"/>
  <c r="O719" i="4" s="1"/>
  <c r="S719" i="4" s="1"/>
  <c r="K719" i="4"/>
  <c r="M718" i="4"/>
  <c r="L718" i="4"/>
  <c r="K718" i="4"/>
  <c r="M717" i="4"/>
  <c r="L717" i="4"/>
  <c r="K717" i="4"/>
  <c r="M716" i="4"/>
  <c r="L716" i="4"/>
  <c r="K716" i="4"/>
  <c r="N715" i="4" s="1"/>
  <c r="Q715" i="4" s="1"/>
  <c r="M715" i="4"/>
  <c r="L715" i="4"/>
  <c r="O715" i="4" s="1"/>
  <c r="K715" i="4"/>
  <c r="M714" i="4"/>
  <c r="L714" i="4"/>
  <c r="K714" i="4"/>
  <c r="M713" i="4"/>
  <c r="L713" i="4"/>
  <c r="K713" i="4"/>
  <c r="M712" i="4"/>
  <c r="P711" i="4" s="1"/>
  <c r="L712" i="4"/>
  <c r="K712" i="4"/>
  <c r="N711" i="4"/>
  <c r="Q711" i="4" s="1"/>
  <c r="M711" i="4"/>
  <c r="L711" i="4"/>
  <c r="O711" i="4" s="1"/>
  <c r="K711" i="4"/>
  <c r="M710" i="4"/>
  <c r="L710" i="4"/>
  <c r="K710" i="4"/>
  <c r="M709" i="4"/>
  <c r="L709" i="4"/>
  <c r="K709" i="4"/>
  <c r="M708" i="4"/>
  <c r="L708" i="4"/>
  <c r="K708" i="4"/>
  <c r="P707" i="4"/>
  <c r="N707" i="4"/>
  <c r="Q707" i="4" s="1"/>
  <c r="M707" i="4"/>
  <c r="L707" i="4"/>
  <c r="O707" i="4" s="1"/>
  <c r="K707" i="4"/>
  <c r="M706" i="4"/>
  <c r="L706" i="4"/>
  <c r="K706" i="4"/>
  <c r="M705" i="4"/>
  <c r="L705" i="4"/>
  <c r="K705" i="4"/>
  <c r="M704" i="4"/>
  <c r="L704" i="4"/>
  <c r="K704" i="4"/>
  <c r="R703" i="4"/>
  <c r="P703" i="4"/>
  <c r="M703" i="4"/>
  <c r="L703" i="4"/>
  <c r="O703" i="4" s="1"/>
  <c r="S703" i="4" s="1"/>
  <c r="K703" i="4"/>
  <c r="M702" i="4"/>
  <c r="L702" i="4"/>
  <c r="K702" i="4"/>
  <c r="M701" i="4"/>
  <c r="L701" i="4"/>
  <c r="K701" i="4"/>
  <c r="M700" i="4"/>
  <c r="L700" i="4"/>
  <c r="K700" i="4"/>
  <c r="N699" i="4" s="1"/>
  <c r="Q699" i="4" s="1"/>
  <c r="M699" i="4"/>
  <c r="L699" i="4"/>
  <c r="O699" i="4" s="1"/>
  <c r="K699" i="4"/>
  <c r="M698" i="4"/>
  <c r="L698" i="4"/>
  <c r="K698" i="4"/>
  <c r="M697" i="4"/>
  <c r="L697" i="4"/>
  <c r="K697" i="4"/>
  <c r="M696" i="4"/>
  <c r="L696" i="4"/>
  <c r="K696" i="4"/>
  <c r="M695" i="4"/>
  <c r="L695" i="4"/>
  <c r="K695" i="4"/>
  <c r="M694" i="4"/>
  <c r="L694" i="4"/>
  <c r="K694" i="4"/>
  <c r="M693" i="4"/>
  <c r="L693" i="4"/>
  <c r="K693" i="4"/>
  <c r="O692" i="4"/>
  <c r="M692" i="4"/>
  <c r="P692" i="4" s="1"/>
  <c r="L692" i="4"/>
  <c r="K692" i="4"/>
  <c r="M691" i="4"/>
  <c r="L691" i="4"/>
  <c r="K691" i="4"/>
  <c r="M690" i="4"/>
  <c r="L690" i="4"/>
  <c r="K690" i="4"/>
  <c r="M689" i="4"/>
  <c r="L689" i="4"/>
  <c r="K689" i="4"/>
  <c r="O688" i="4"/>
  <c r="M688" i="4"/>
  <c r="P688" i="4" s="1"/>
  <c r="L688" i="4"/>
  <c r="K688" i="4"/>
  <c r="N688" i="4" s="1"/>
  <c r="Q688" i="4" s="1"/>
  <c r="M687" i="4"/>
  <c r="L687" i="4"/>
  <c r="K687" i="4"/>
  <c r="M686" i="4"/>
  <c r="L686" i="4"/>
  <c r="K686" i="4"/>
  <c r="M685" i="4"/>
  <c r="L685" i="4"/>
  <c r="O684" i="4" s="1"/>
  <c r="R684" i="4" s="1"/>
  <c r="K685" i="4"/>
  <c r="Q684" i="4"/>
  <c r="M684" i="4"/>
  <c r="P684" i="4" s="1"/>
  <c r="L684" i="4"/>
  <c r="K684" i="4"/>
  <c r="N684" i="4" s="1"/>
  <c r="M683" i="4"/>
  <c r="L683" i="4"/>
  <c r="K683" i="4"/>
  <c r="M682" i="4"/>
  <c r="L682" i="4"/>
  <c r="K682" i="4"/>
  <c r="M681" i="4"/>
  <c r="L681" i="4"/>
  <c r="K681" i="4"/>
  <c r="M680" i="4"/>
  <c r="P680" i="4" s="1"/>
  <c r="L680" i="4"/>
  <c r="K680" i="4"/>
  <c r="N680" i="4" s="1"/>
  <c r="Q680" i="4" s="1"/>
  <c r="M679" i="4"/>
  <c r="L679" i="4"/>
  <c r="K679" i="4"/>
  <c r="M678" i="4"/>
  <c r="L678" i="4"/>
  <c r="K678" i="4"/>
  <c r="M677" i="4"/>
  <c r="L677" i="4"/>
  <c r="O676" i="4" s="1"/>
  <c r="K677" i="4"/>
  <c r="M676" i="4"/>
  <c r="P676" i="4" s="1"/>
  <c r="L676" i="4"/>
  <c r="K676" i="4"/>
  <c r="M675" i="4"/>
  <c r="L675" i="4"/>
  <c r="K675" i="4"/>
  <c r="M674" i="4"/>
  <c r="L674" i="4"/>
  <c r="K674" i="4"/>
  <c r="M673" i="4"/>
  <c r="L673" i="4"/>
  <c r="K673" i="4"/>
  <c r="O672" i="4"/>
  <c r="M672" i="4"/>
  <c r="P672" i="4" s="1"/>
  <c r="L672" i="4"/>
  <c r="K672" i="4"/>
  <c r="N672" i="4" s="1"/>
  <c r="Q672" i="4" s="1"/>
  <c r="M671" i="4"/>
  <c r="L671" i="4"/>
  <c r="K671" i="4"/>
  <c r="M670" i="4"/>
  <c r="L670" i="4"/>
  <c r="K670" i="4"/>
  <c r="M669" i="4"/>
  <c r="L669" i="4"/>
  <c r="K669" i="4"/>
  <c r="Q668" i="4"/>
  <c r="M668" i="4"/>
  <c r="P668" i="4" s="1"/>
  <c r="L668" i="4"/>
  <c r="K668" i="4"/>
  <c r="N668" i="4" s="1"/>
  <c r="M667" i="4"/>
  <c r="L667" i="4"/>
  <c r="K667" i="4"/>
  <c r="M666" i="4"/>
  <c r="L666" i="4"/>
  <c r="K666" i="4"/>
  <c r="M665" i="4"/>
  <c r="L665" i="4"/>
  <c r="O664" i="4" s="1"/>
  <c r="R664" i="4" s="1"/>
  <c r="K665" i="4"/>
  <c r="M664" i="4"/>
  <c r="P664" i="4" s="1"/>
  <c r="L664" i="4"/>
  <c r="K664" i="4"/>
  <c r="N664" i="4" s="1"/>
  <c r="Q664" i="4" s="1"/>
  <c r="M663" i="4"/>
  <c r="L663" i="4"/>
  <c r="K663" i="4"/>
  <c r="M662" i="4"/>
  <c r="L662" i="4"/>
  <c r="K662" i="4"/>
  <c r="M661" i="4"/>
  <c r="L661" i="4"/>
  <c r="K661" i="4"/>
  <c r="O660" i="4"/>
  <c r="M660" i="4"/>
  <c r="P660" i="4" s="1"/>
  <c r="L660" i="4"/>
  <c r="K660" i="4"/>
  <c r="M659" i="4"/>
  <c r="L659" i="4"/>
  <c r="K659" i="4"/>
  <c r="M658" i="4"/>
  <c r="L658" i="4"/>
  <c r="K658" i="4"/>
  <c r="M657" i="4"/>
  <c r="L657" i="4"/>
  <c r="K657" i="4"/>
  <c r="S656" i="4"/>
  <c r="O656" i="4"/>
  <c r="R656" i="4" s="1"/>
  <c r="M656" i="4"/>
  <c r="P656" i="4" s="1"/>
  <c r="L656" i="4"/>
  <c r="K656" i="4"/>
  <c r="M655" i="4"/>
  <c r="L655" i="4"/>
  <c r="K655" i="4"/>
  <c r="M654" i="4"/>
  <c r="L654" i="4"/>
  <c r="K654" i="4"/>
  <c r="M653" i="4"/>
  <c r="L653" i="4"/>
  <c r="K653" i="4"/>
  <c r="M652" i="4"/>
  <c r="P652" i="4" s="1"/>
  <c r="L652" i="4"/>
  <c r="K652" i="4"/>
  <c r="N652" i="4" s="1"/>
  <c r="Q652" i="4" s="1"/>
  <c r="M651" i="4"/>
  <c r="L651" i="4"/>
  <c r="K651" i="4"/>
  <c r="M650" i="4"/>
  <c r="L650" i="4"/>
  <c r="K650" i="4"/>
  <c r="M649" i="4"/>
  <c r="L649" i="4"/>
  <c r="O648" i="4" s="1"/>
  <c r="K649" i="4"/>
  <c r="M648" i="4"/>
  <c r="P648" i="4" s="1"/>
  <c r="L648" i="4"/>
  <c r="K648" i="4"/>
  <c r="N648" i="4" s="1"/>
  <c r="Q648" i="4" s="1"/>
  <c r="M647" i="4"/>
  <c r="L647" i="4"/>
  <c r="K647" i="4"/>
  <c r="M646" i="4"/>
  <c r="L646" i="4"/>
  <c r="K646" i="4"/>
  <c r="M645" i="4"/>
  <c r="L645" i="4"/>
  <c r="O644" i="4" s="1"/>
  <c r="K645" i="4"/>
  <c r="Q644" i="4"/>
  <c r="M644" i="4"/>
  <c r="P644" i="4" s="1"/>
  <c r="L644" i="4"/>
  <c r="K644" i="4"/>
  <c r="N644" i="4" s="1"/>
  <c r="M643" i="4"/>
  <c r="L643" i="4"/>
  <c r="K643" i="4"/>
  <c r="M642" i="4"/>
  <c r="L642" i="4"/>
  <c r="K642" i="4"/>
  <c r="M641" i="4"/>
  <c r="L641" i="4"/>
  <c r="K641" i="4"/>
  <c r="O640" i="4"/>
  <c r="M640" i="4"/>
  <c r="L640" i="4"/>
  <c r="K640" i="4"/>
  <c r="N640" i="4" s="1"/>
  <c r="Q640" i="4" s="1"/>
  <c r="M639" i="4"/>
  <c r="L639" i="4"/>
  <c r="K639" i="4"/>
  <c r="M638" i="4"/>
  <c r="L638" i="4"/>
  <c r="K638" i="4"/>
  <c r="M637" i="4"/>
  <c r="L637" i="4"/>
  <c r="K637" i="4"/>
  <c r="Q636" i="4"/>
  <c r="M636" i="4"/>
  <c r="P636" i="4" s="1"/>
  <c r="L636" i="4"/>
  <c r="K636" i="4"/>
  <c r="N636" i="4" s="1"/>
  <c r="M635" i="4"/>
  <c r="L635" i="4"/>
  <c r="K635" i="4"/>
  <c r="M634" i="4"/>
  <c r="L634" i="4"/>
  <c r="K634" i="4"/>
  <c r="M633" i="4"/>
  <c r="L633" i="4"/>
  <c r="O632" i="4" s="1"/>
  <c r="K633" i="4"/>
  <c r="M632" i="4"/>
  <c r="P632" i="4" s="1"/>
  <c r="L632" i="4"/>
  <c r="K632" i="4"/>
  <c r="N632" i="4" s="1"/>
  <c r="Q632" i="4" s="1"/>
  <c r="M631" i="4"/>
  <c r="L631" i="4"/>
  <c r="K631" i="4"/>
  <c r="M630" i="4"/>
  <c r="L630" i="4"/>
  <c r="K630" i="4"/>
  <c r="M629" i="4"/>
  <c r="L629" i="4"/>
  <c r="K629" i="4"/>
  <c r="O628" i="4"/>
  <c r="M628" i="4"/>
  <c r="P628" i="4" s="1"/>
  <c r="L628" i="4"/>
  <c r="K628" i="4"/>
  <c r="N628" i="4" s="1"/>
  <c r="Q628" i="4" s="1"/>
  <c r="M627" i="4"/>
  <c r="L627" i="4"/>
  <c r="K627" i="4"/>
  <c r="M626" i="4"/>
  <c r="L626" i="4"/>
  <c r="K626" i="4"/>
  <c r="M625" i="4"/>
  <c r="L625" i="4"/>
  <c r="K625" i="4"/>
  <c r="Q624" i="4"/>
  <c r="O624" i="4"/>
  <c r="R624" i="4" s="1"/>
  <c r="M624" i="4"/>
  <c r="L624" i="4"/>
  <c r="K624" i="4"/>
  <c r="N624" i="4" s="1"/>
  <c r="M623" i="4"/>
  <c r="L623" i="4"/>
  <c r="K623" i="4"/>
  <c r="M622" i="4"/>
  <c r="L622" i="4"/>
  <c r="K622" i="4"/>
  <c r="M621" i="4"/>
  <c r="L621" i="4"/>
  <c r="K621" i="4"/>
  <c r="M620" i="4"/>
  <c r="P620" i="4" s="1"/>
  <c r="L620" i="4"/>
  <c r="K620" i="4"/>
  <c r="N620" i="4" s="1"/>
  <c r="Q620" i="4" s="1"/>
  <c r="M619" i="4"/>
  <c r="L619" i="4"/>
  <c r="O616" i="4" s="1"/>
  <c r="K619" i="4"/>
  <c r="M618" i="4"/>
  <c r="L618" i="4"/>
  <c r="K618" i="4"/>
  <c r="M617" i="4"/>
  <c r="L617" i="4"/>
  <c r="K617" i="4"/>
  <c r="M616" i="4"/>
  <c r="P616" i="4" s="1"/>
  <c r="L616" i="4"/>
  <c r="K616" i="4"/>
  <c r="M615" i="4"/>
  <c r="L615" i="4"/>
  <c r="K615" i="4"/>
  <c r="M614" i="4"/>
  <c r="L614" i="4"/>
  <c r="K614" i="4"/>
  <c r="M613" i="4"/>
  <c r="L613" i="4"/>
  <c r="O612" i="4" s="1"/>
  <c r="K613" i="4"/>
  <c r="M612" i="4"/>
  <c r="P612" i="4" s="1"/>
  <c r="L612" i="4"/>
  <c r="K612" i="4"/>
  <c r="N612" i="4" s="1"/>
  <c r="Q612" i="4" s="1"/>
  <c r="M611" i="4"/>
  <c r="L611" i="4"/>
  <c r="O608" i="4" s="1"/>
  <c r="R608" i="4" s="1"/>
  <c r="K611" i="4"/>
  <c r="M610" i="4"/>
  <c r="L610" i="4"/>
  <c r="K610" i="4"/>
  <c r="M609" i="4"/>
  <c r="L609" i="4"/>
  <c r="K609" i="4"/>
  <c r="S608" i="4"/>
  <c r="M608" i="4"/>
  <c r="P608" i="4" s="1"/>
  <c r="L608" i="4"/>
  <c r="K608" i="4"/>
  <c r="M607" i="4"/>
  <c r="L607" i="4"/>
  <c r="K607" i="4"/>
  <c r="M606" i="4"/>
  <c r="L606" i="4"/>
  <c r="K606" i="4"/>
  <c r="M605" i="4"/>
  <c r="L605" i="4"/>
  <c r="O604" i="4" s="1"/>
  <c r="R604" i="4" s="1"/>
  <c r="K605" i="4"/>
  <c r="Q604" i="4"/>
  <c r="M604" i="4"/>
  <c r="P604" i="4" s="1"/>
  <c r="L604" i="4"/>
  <c r="K604" i="4"/>
  <c r="N604" i="4" s="1"/>
  <c r="M603" i="4"/>
  <c r="L603" i="4"/>
  <c r="K603" i="4"/>
  <c r="M602" i="4"/>
  <c r="L602" i="4"/>
  <c r="K602" i="4"/>
  <c r="M601" i="4"/>
  <c r="L601" i="4"/>
  <c r="K601" i="4"/>
  <c r="O600" i="4"/>
  <c r="R600" i="4" s="1"/>
  <c r="M600" i="4"/>
  <c r="P600" i="4" s="1"/>
  <c r="L600" i="4"/>
  <c r="K600" i="4"/>
  <c r="N600" i="4" s="1"/>
  <c r="Q600" i="4" s="1"/>
  <c r="M599" i="4"/>
  <c r="L599" i="4"/>
  <c r="K599" i="4"/>
  <c r="M598" i="4"/>
  <c r="L598" i="4"/>
  <c r="K598" i="4"/>
  <c r="M597" i="4"/>
  <c r="L597" i="4"/>
  <c r="K597" i="4"/>
  <c r="Q596" i="4"/>
  <c r="M596" i="4"/>
  <c r="P596" i="4" s="1"/>
  <c r="L596" i="4"/>
  <c r="O596" i="4" s="1"/>
  <c r="K596" i="4"/>
  <c r="N596" i="4" s="1"/>
  <c r="M595" i="4"/>
  <c r="L595" i="4"/>
  <c r="O592" i="4" s="1"/>
  <c r="K595" i="4"/>
  <c r="M594" i="4"/>
  <c r="L594" i="4"/>
  <c r="K594" i="4"/>
  <c r="M593" i="4"/>
  <c r="L593" i="4"/>
  <c r="K593" i="4"/>
  <c r="N592" i="4"/>
  <c r="Q592" i="4" s="1"/>
  <c r="M592" i="4"/>
  <c r="L592" i="4"/>
  <c r="K592" i="4"/>
  <c r="M591" i="4"/>
  <c r="L591" i="4"/>
  <c r="K591" i="4"/>
  <c r="M590" i="4"/>
  <c r="L590" i="4"/>
  <c r="K590" i="4"/>
  <c r="M589" i="4"/>
  <c r="L589" i="4"/>
  <c r="K589" i="4"/>
  <c r="M588" i="4"/>
  <c r="P588" i="4" s="1"/>
  <c r="L588" i="4"/>
  <c r="K588" i="4"/>
  <c r="N588" i="4" s="1"/>
  <c r="Q588" i="4" s="1"/>
  <c r="M587" i="4"/>
  <c r="L587" i="4"/>
  <c r="K587" i="4"/>
  <c r="M586" i="4"/>
  <c r="L586" i="4"/>
  <c r="K586" i="4"/>
  <c r="M585" i="4"/>
  <c r="L585" i="4"/>
  <c r="O584" i="4" s="1"/>
  <c r="K585" i="4"/>
  <c r="M584" i="4"/>
  <c r="P584" i="4" s="1"/>
  <c r="L584" i="4"/>
  <c r="K584" i="4"/>
  <c r="N584" i="4" s="1"/>
  <c r="Q584" i="4" s="1"/>
  <c r="M583" i="4"/>
  <c r="L583" i="4"/>
  <c r="K583" i="4"/>
  <c r="M582" i="4"/>
  <c r="L582" i="4"/>
  <c r="K582" i="4"/>
  <c r="M581" i="4"/>
  <c r="L581" i="4"/>
  <c r="K581" i="4"/>
  <c r="O580" i="4"/>
  <c r="M580" i="4"/>
  <c r="L580" i="4"/>
  <c r="K580" i="4"/>
  <c r="M579" i="4"/>
  <c r="L579" i="4"/>
  <c r="O576" i="4" s="1"/>
  <c r="K579" i="4"/>
  <c r="M578" i="4"/>
  <c r="L578" i="4"/>
  <c r="K578" i="4"/>
  <c r="M577" i="4"/>
  <c r="L577" i="4"/>
  <c r="K577" i="4"/>
  <c r="N576" i="4"/>
  <c r="Q576" i="4" s="1"/>
  <c r="M576" i="4"/>
  <c r="P576" i="4" s="1"/>
  <c r="L576" i="4"/>
  <c r="K576" i="4"/>
  <c r="M575" i="4"/>
  <c r="L575" i="4"/>
  <c r="K575" i="4"/>
  <c r="M574" i="4"/>
  <c r="L574" i="4"/>
  <c r="K574" i="4"/>
  <c r="M573" i="4"/>
  <c r="L573" i="4"/>
  <c r="K573" i="4"/>
  <c r="Q572" i="4"/>
  <c r="M572" i="4"/>
  <c r="P572" i="4" s="1"/>
  <c r="L572" i="4"/>
  <c r="K572" i="4"/>
  <c r="N572" i="4" s="1"/>
  <c r="M571" i="4"/>
  <c r="L571" i="4"/>
  <c r="K571" i="4"/>
  <c r="M570" i="4"/>
  <c r="L570" i="4"/>
  <c r="K570" i="4"/>
  <c r="M569" i="4"/>
  <c r="L569" i="4"/>
  <c r="K569" i="4"/>
  <c r="O568" i="4"/>
  <c r="S568" i="4" s="1"/>
  <c r="M568" i="4"/>
  <c r="P568" i="4" s="1"/>
  <c r="L568" i="4"/>
  <c r="K568" i="4"/>
  <c r="M567" i="4"/>
  <c r="L567" i="4"/>
  <c r="K567" i="4"/>
  <c r="M566" i="4"/>
  <c r="L566" i="4"/>
  <c r="K566" i="4"/>
  <c r="M565" i="4"/>
  <c r="L565" i="4"/>
  <c r="K565" i="4"/>
  <c r="Q564" i="4"/>
  <c r="M564" i="4"/>
  <c r="P564" i="4" s="1"/>
  <c r="L564" i="4"/>
  <c r="O564" i="4" s="1"/>
  <c r="K564" i="4"/>
  <c r="N564" i="4" s="1"/>
  <c r="M563" i="4"/>
  <c r="L563" i="4"/>
  <c r="O560" i="4" s="1"/>
  <c r="K563" i="4"/>
  <c r="M562" i="4"/>
  <c r="L562" i="4"/>
  <c r="K562" i="4"/>
  <c r="N560" i="4" s="1"/>
  <c r="Q560" i="4" s="1"/>
  <c r="M561" i="4"/>
  <c r="P560" i="4" s="1"/>
  <c r="L561" i="4"/>
  <c r="K561" i="4"/>
  <c r="M560" i="4"/>
  <c r="L560" i="4"/>
  <c r="K560" i="4"/>
  <c r="M559" i="4"/>
  <c r="L559" i="4"/>
  <c r="K559" i="4"/>
  <c r="M558" i="4"/>
  <c r="L558" i="4"/>
  <c r="K558" i="4"/>
  <c r="M557" i="4"/>
  <c r="L557" i="4"/>
  <c r="K557" i="4"/>
  <c r="O556" i="4"/>
  <c r="R556" i="4" s="1"/>
  <c r="M556" i="4"/>
  <c r="P556" i="4" s="1"/>
  <c r="L556" i="4"/>
  <c r="K556" i="4"/>
  <c r="N556" i="4" s="1"/>
  <c r="Q556" i="4" s="1"/>
  <c r="M555" i="4"/>
  <c r="L555" i="4"/>
  <c r="K555" i="4"/>
  <c r="M554" i="4"/>
  <c r="L554" i="4"/>
  <c r="K554" i="4"/>
  <c r="M553" i="4"/>
  <c r="L553" i="4"/>
  <c r="K553" i="4"/>
  <c r="P552" i="4"/>
  <c r="M552" i="4"/>
  <c r="L552" i="4"/>
  <c r="K552" i="4"/>
  <c r="N552" i="4" s="1"/>
  <c r="Q552" i="4" s="1"/>
  <c r="M551" i="4"/>
  <c r="L551" i="4"/>
  <c r="K551" i="4"/>
  <c r="N548" i="4" s="1"/>
  <c r="Q548" i="4" s="1"/>
  <c r="M550" i="4"/>
  <c r="L550" i="4"/>
  <c r="K550" i="4"/>
  <c r="M549" i="4"/>
  <c r="L549" i="4"/>
  <c r="K549" i="4"/>
  <c r="M548" i="4"/>
  <c r="P548" i="4" s="1"/>
  <c r="L548" i="4"/>
  <c r="O548" i="4" s="1"/>
  <c r="K548" i="4"/>
  <c r="M547" i="4"/>
  <c r="L547" i="4"/>
  <c r="O544" i="4" s="1"/>
  <c r="K547" i="4"/>
  <c r="M546" i="4"/>
  <c r="L546" i="4"/>
  <c r="K546" i="4"/>
  <c r="N544" i="4" s="1"/>
  <c r="Q544" i="4" s="1"/>
  <c r="M545" i="4"/>
  <c r="L545" i="4"/>
  <c r="K545" i="4"/>
  <c r="P544" i="4"/>
  <c r="M544" i="4"/>
  <c r="L544" i="4"/>
  <c r="K544" i="4"/>
  <c r="M543" i="4"/>
  <c r="L543" i="4"/>
  <c r="K543" i="4"/>
  <c r="M542" i="4"/>
  <c r="L542" i="4"/>
  <c r="O540" i="4" s="1"/>
  <c r="K542" i="4"/>
  <c r="M541" i="4"/>
  <c r="L541" i="4"/>
  <c r="K541" i="4"/>
  <c r="P540" i="4"/>
  <c r="M540" i="4"/>
  <c r="L540" i="4"/>
  <c r="K540" i="4"/>
  <c r="N540" i="4" s="1"/>
  <c r="Q540" i="4" s="1"/>
  <c r="M539" i="4"/>
  <c r="L539" i="4"/>
  <c r="K539" i="4"/>
  <c r="M538" i="4"/>
  <c r="L538" i="4"/>
  <c r="K538" i="4"/>
  <c r="M537" i="4"/>
  <c r="L537" i="4"/>
  <c r="K537" i="4"/>
  <c r="R536" i="4"/>
  <c r="M536" i="4"/>
  <c r="P536" i="4" s="1"/>
  <c r="L536" i="4"/>
  <c r="O536" i="4" s="1"/>
  <c r="S536" i="4" s="1"/>
  <c r="K536" i="4"/>
  <c r="M535" i="4"/>
  <c r="L535" i="4"/>
  <c r="K535" i="4"/>
  <c r="M534" i="4"/>
  <c r="L534" i="4"/>
  <c r="K534" i="4"/>
  <c r="M533" i="4"/>
  <c r="L533" i="4"/>
  <c r="K533" i="4"/>
  <c r="M532" i="4"/>
  <c r="L532" i="4"/>
  <c r="O529" i="4" s="1"/>
  <c r="K532" i="4"/>
  <c r="M531" i="4"/>
  <c r="L531" i="4"/>
  <c r="K531" i="4"/>
  <c r="M530" i="4"/>
  <c r="L530" i="4"/>
  <c r="K530" i="4"/>
  <c r="M529" i="4"/>
  <c r="L529" i="4"/>
  <c r="K529" i="4"/>
  <c r="N529" i="4" s="1"/>
  <c r="Q529" i="4" s="1"/>
  <c r="M528" i="4"/>
  <c r="P525" i="4" s="1"/>
  <c r="L528" i="4"/>
  <c r="K528" i="4"/>
  <c r="M527" i="4"/>
  <c r="L527" i="4"/>
  <c r="K527" i="4"/>
  <c r="M526" i="4"/>
  <c r="L526" i="4"/>
  <c r="K526" i="4"/>
  <c r="N525" i="4"/>
  <c r="Q525" i="4" s="1"/>
  <c r="M525" i="4"/>
  <c r="L525" i="4"/>
  <c r="K525" i="4"/>
  <c r="M524" i="4"/>
  <c r="L524" i="4"/>
  <c r="K524" i="4"/>
  <c r="M523" i="4"/>
  <c r="L523" i="4"/>
  <c r="O521" i="4" s="1"/>
  <c r="K523" i="4"/>
  <c r="M522" i="4"/>
  <c r="P521" i="4" s="1"/>
  <c r="L522" i="4"/>
  <c r="K522" i="4"/>
  <c r="N521" i="4"/>
  <c r="Q521" i="4" s="1"/>
  <c r="M521" i="4"/>
  <c r="L521" i="4"/>
  <c r="K521" i="4"/>
  <c r="M520" i="4"/>
  <c r="L520" i="4"/>
  <c r="K520" i="4"/>
  <c r="N517" i="4" s="1"/>
  <c r="Q517" i="4" s="1"/>
  <c r="M519" i="4"/>
  <c r="L519" i="4"/>
  <c r="K519" i="4"/>
  <c r="M518" i="4"/>
  <c r="L518" i="4"/>
  <c r="K518" i="4"/>
  <c r="P517" i="4"/>
  <c r="M517" i="4"/>
  <c r="L517" i="4"/>
  <c r="K517" i="4"/>
  <c r="M516" i="4"/>
  <c r="L516" i="4"/>
  <c r="O513" i="4" s="1"/>
  <c r="K516" i="4"/>
  <c r="M515" i="4"/>
  <c r="L515" i="4"/>
  <c r="K515" i="4"/>
  <c r="M514" i="4"/>
  <c r="L514" i="4"/>
  <c r="K514" i="4"/>
  <c r="P513" i="4"/>
  <c r="M513" i="4"/>
  <c r="L513" i="4"/>
  <c r="K513" i="4"/>
  <c r="N513" i="4" s="1"/>
  <c r="Q513" i="4" s="1"/>
  <c r="M512" i="4"/>
  <c r="P509" i="4" s="1"/>
  <c r="L512" i="4"/>
  <c r="K512" i="4"/>
  <c r="M511" i="4"/>
  <c r="L511" i="4"/>
  <c r="K511" i="4"/>
  <c r="M510" i="4"/>
  <c r="L510" i="4"/>
  <c r="K510" i="4"/>
  <c r="M509" i="4"/>
  <c r="L509" i="4"/>
  <c r="O509" i="4" s="1"/>
  <c r="K509" i="4"/>
  <c r="M508" i="4"/>
  <c r="L508" i="4"/>
  <c r="O505" i="4" s="1"/>
  <c r="R505" i="4" s="1"/>
  <c r="K508" i="4"/>
  <c r="M507" i="4"/>
  <c r="L507" i="4"/>
  <c r="K507" i="4"/>
  <c r="M506" i="4"/>
  <c r="P505" i="4" s="1"/>
  <c r="L506" i="4"/>
  <c r="K506" i="4"/>
  <c r="S505" i="4"/>
  <c r="M505" i="4"/>
  <c r="L505" i="4"/>
  <c r="K505" i="4"/>
  <c r="N505" i="4" s="1"/>
  <c r="Q505" i="4" s="1"/>
  <c r="M504" i="4"/>
  <c r="L504" i="4"/>
  <c r="K504" i="4"/>
  <c r="M503" i="4"/>
  <c r="L503" i="4"/>
  <c r="K503" i="4"/>
  <c r="M502" i="4"/>
  <c r="L502" i="4"/>
  <c r="K502" i="4"/>
  <c r="P501" i="4"/>
  <c r="N501" i="4"/>
  <c r="Q501" i="4" s="1"/>
  <c r="M501" i="4"/>
  <c r="L501" i="4"/>
  <c r="O501" i="4" s="1"/>
  <c r="K501" i="4"/>
  <c r="M500" i="4"/>
  <c r="L500" i="4"/>
  <c r="K500" i="4"/>
  <c r="M499" i="4"/>
  <c r="L499" i="4"/>
  <c r="K499" i="4"/>
  <c r="M498" i="4"/>
  <c r="L498" i="4"/>
  <c r="K498" i="4"/>
  <c r="O497" i="4"/>
  <c r="S497" i="4" s="1"/>
  <c r="M497" i="4"/>
  <c r="L497" i="4"/>
  <c r="K497" i="4"/>
  <c r="N497" i="4" s="1"/>
  <c r="Q497" i="4" s="1"/>
  <c r="M496" i="4"/>
  <c r="L496" i="4"/>
  <c r="K496" i="4"/>
  <c r="M495" i="4"/>
  <c r="L495" i="4"/>
  <c r="K495" i="4"/>
  <c r="N493" i="4" s="1"/>
  <c r="Q493" i="4" s="1"/>
  <c r="M494" i="4"/>
  <c r="L494" i="4"/>
  <c r="K494" i="4"/>
  <c r="R493" i="4"/>
  <c r="P493" i="4"/>
  <c r="O493" i="4"/>
  <c r="S493" i="4" s="1"/>
  <c r="M493" i="4"/>
  <c r="L493" i="4"/>
  <c r="K493" i="4"/>
  <c r="M492" i="4"/>
  <c r="L492" i="4"/>
  <c r="K492" i="4"/>
  <c r="M491" i="4"/>
  <c r="L491" i="4"/>
  <c r="O489" i="4" s="1"/>
  <c r="K491" i="4"/>
  <c r="M490" i="4"/>
  <c r="L490" i="4"/>
  <c r="K490" i="4"/>
  <c r="P489" i="4"/>
  <c r="M489" i="4"/>
  <c r="L489" i="4"/>
  <c r="K489" i="4"/>
  <c r="N489" i="4" s="1"/>
  <c r="Q489" i="4" s="1"/>
  <c r="M488" i="4"/>
  <c r="L488" i="4"/>
  <c r="K488" i="4"/>
  <c r="M487" i="4"/>
  <c r="L487" i="4"/>
  <c r="K487" i="4"/>
  <c r="M486" i="4"/>
  <c r="L486" i="4"/>
  <c r="K486" i="4"/>
  <c r="R485" i="4"/>
  <c r="M485" i="4"/>
  <c r="P485" i="4" s="1"/>
  <c r="L485" i="4"/>
  <c r="O485" i="4" s="1"/>
  <c r="S485" i="4" s="1"/>
  <c r="K485" i="4"/>
  <c r="N485" i="4" s="1"/>
  <c r="Q485" i="4" s="1"/>
  <c r="M484" i="4"/>
  <c r="L484" i="4"/>
  <c r="K484" i="4"/>
  <c r="N481" i="4" s="1"/>
  <c r="Q481" i="4" s="1"/>
  <c r="M483" i="4"/>
  <c r="L483" i="4"/>
  <c r="K483" i="4"/>
  <c r="M482" i="4"/>
  <c r="L482" i="4"/>
  <c r="K482" i="4"/>
  <c r="M481" i="4"/>
  <c r="P481" i="4" s="1"/>
  <c r="L481" i="4"/>
  <c r="O481" i="4" s="1"/>
  <c r="R481" i="4" s="1"/>
  <c r="K481" i="4"/>
  <c r="M480" i="4"/>
  <c r="L480" i="4"/>
  <c r="K480" i="4"/>
  <c r="M479" i="4"/>
  <c r="L479" i="4"/>
  <c r="K479" i="4"/>
  <c r="M478" i="4"/>
  <c r="L478" i="4"/>
  <c r="K478" i="4"/>
  <c r="N477" i="4" s="1"/>
  <c r="Q477" i="4" s="1"/>
  <c r="R477" i="4"/>
  <c r="O477" i="4"/>
  <c r="S477" i="4" s="1"/>
  <c r="M477" i="4"/>
  <c r="P477" i="4" s="1"/>
  <c r="L477" i="4"/>
  <c r="K477" i="4"/>
  <c r="M476" i="4"/>
  <c r="L476" i="4"/>
  <c r="K476" i="4"/>
  <c r="M475" i="4"/>
  <c r="L475" i="4"/>
  <c r="O473" i="4" s="1"/>
  <c r="K475" i="4"/>
  <c r="M474" i="4"/>
  <c r="L474" i="4"/>
  <c r="K474" i="4"/>
  <c r="P473" i="4"/>
  <c r="M473" i="4"/>
  <c r="L473" i="4"/>
  <c r="K473" i="4"/>
  <c r="N473" i="4" s="1"/>
  <c r="Q473" i="4" s="1"/>
  <c r="M472" i="4"/>
  <c r="L472" i="4"/>
  <c r="K472" i="4"/>
  <c r="M471" i="4"/>
  <c r="L471" i="4"/>
  <c r="K471" i="4"/>
  <c r="M470" i="4"/>
  <c r="L470" i="4"/>
  <c r="K470" i="4"/>
  <c r="N469" i="4"/>
  <c r="Q469" i="4" s="1"/>
  <c r="M469" i="4"/>
  <c r="P469" i="4" s="1"/>
  <c r="L469" i="4"/>
  <c r="K469" i="4"/>
  <c r="M468" i="4"/>
  <c r="L468" i="4"/>
  <c r="K468" i="4"/>
  <c r="N465" i="4" s="1"/>
  <c r="Q465" i="4" s="1"/>
  <c r="M467" i="4"/>
  <c r="L467" i="4"/>
  <c r="K467" i="4"/>
  <c r="M466" i="4"/>
  <c r="L466" i="4"/>
  <c r="K466" i="4"/>
  <c r="O465" i="4"/>
  <c r="M465" i="4"/>
  <c r="P465" i="4" s="1"/>
  <c r="L465" i="4"/>
  <c r="K465" i="4"/>
  <c r="M464" i="4"/>
  <c r="L464" i="4"/>
  <c r="K464" i="4"/>
  <c r="M463" i="4"/>
  <c r="L463" i="4"/>
  <c r="K463" i="4"/>
  <c r="M462" i="4"/>
  <c r="L462" i="4"/>
  <c r="K462" i="4"/>
  <c r="N461" i="4" s="1"/>
  <c r="Q461" i="4" s="1"/>
  <c r="R461" i="4"/>
  <c r="P461" i="4"/>
  <c r="O461" i="4"/>
  <c r="S461" i="4" s="1"/>
  <c r="M461" i="4"/>
  <c r="L461" i="4"/>
  <c r="K461" i="4"/>
  <c r="M460" i="4"/>
  <c r="L460" i="4"/>
  <c r="K460" i="4"/>
  <c r="M459" i="4"/>
  <c r="L459" i="4"/>
  <c r="K459" i="4"/>
  <c r="M458" i="4"/>
  <c r="P457" i="4" s="1"/>
  <c r="L458" i="4"/>
  <c r="K458" i="4"/>
  <c r="M457" i="4"/>
  <c r="L457" i="4"/>
  <c r="O457" i="4" s="1"/>
  <c r="S457" i="4" s="1"/>
  <c r="K457" i="4"/>
  <c r="M456" i="4"/>
  <c r="L456" i="4"/>
  <c r="K456" i="4"/>
  <c r="M455" i="4"/>
  <c r="L455" i="4"/>
  <c r="K455" i="4"/>
  <c r="M454" i="4"/>
  <c r="L454" i="4"/>
  <c r="K454" i="4"/>
  <c r="M453" i="4"/>
  <c r="P453" i="4" s="1"/>
  <c r="L453" i="4"/>
  <c r="K453" i="4"/>
  <c r="M452" i="4"/>
  <c r="P449" i="4" s="1"/>
  <c r="L452" i="4"/>
  <c r="K452" i="4"/>
  <c r="M451" i="4"/>
  <c r="L451" i="4"/>
  <c r="K451" i="4"/>
  <c r="M450" i="4"/>
  <c r="L450" i="4"/>
  <c r="K450" i="4"/>
  <c r="N449" i="4"/>
  <c r="Q449" i="4" s="1"/>
  <c r="M449" i="4"/>
  <c r="L449" i="4"/>
  <c r="K449" i="4"/>
  <c r="M448" i="4"/>
  <c r="L448" i="4"/>
  <c r="K448" i="4"/>
  <c r="M447" i="4"/>
  <c r="L447" i="4"/>
  <c r="K447" i="4"/>
  <c r="M446" i="4"/>
  <c r="P445" i="4" s="1"/>
  <c r="L446" i="4"/>
  <c r="K446" i="4"/>
  <c r="N445" i="4"/>
  <c r="Q445" i="4" s="1"/>
  <c r="M445" i="4"/>
  <c r="L445" i="4"/>
  <c r="O445" i="4" s="1"/>
  <c r="K445" i="4"/>
  <c r="M444" i="4"/>
  <c r="L444" i="4"/>
  <c r="K444" i="4"/>
  <c r="M443" i="4"/>
  <c r="L443" i="4"/>
  <c r="O441" i="4" s="1"/>
  <c r="K443" i="4"/>
  <c r="M442" i="4"/>
  <c r="L442" i="4"/>
  <c r="K442" i="4"/>
  <c r="P441" i="4"/>
  <c r="M441" i="4"/>
  <c r="L441" i="4"/>
  <c r="K441" i="4"/>
  <c r="N441" i="4" s="1"/>
  <c r="Q441" i="4" s="1"/>
  <c r="M440" i="4"/>
  <c r="L440" i="4"/>
  <c r="K440" i="4"/>
  <c r="M439" i="4"/>
  <c r="L439" i="4"/>
  <c r="K439" i="4"/>
  <c r="M438" i="4"/>
  <c r="L438" i="4"/>
  <c r="K438" i="4"/>
  <c r="M437" i="4"/>
  <c r="P437" i="4" s="1"/>
  <c r="L437" i="4"/>
  <c r="O437" i="4" s="1"/>
  <c r="S437" i="4" s="1"/>
  <c r="K437" i="4"/>
  <c r="M436" i="4"/>
  <c r="L436" i="4"/>
  <c r="K436" i="4"/>
  <c r="M435" i="4"/>
  <c r="L435" i="4"/>
  <c r="K435" i="4"/>
  <c r="M434" i="4"/>
  <c r="P433" i="4" s="1"/>
  <c r="L434" i="4"/>
  <c r="K434" i="4"/>
  <c r="N433" i="4" s="1"/>
  <c r="Q433" i="4" s="1"/>
  <c r="M433" i="4"/>
  <c r="L433" i="4"/>
  <c r="O433" i="4" s="1"/>
  <c r="K433" i="4"/>
  <c r="M432" i="4"/>
  <c r="L432" i="4"/>
  <c r="K432" i="4"/>
  <c r="M431" i="4"/>
  <c r="L431" i="4"/>
  <c r="K431" i="4"/>
  <c r="M430" i="4"/>
  <c r="P429" i="4" s="1"/>
  <c r="L430" i="4"/>
  <c r="K430" i="4"/>
  <c r="N429" i="4"/>
  <c r="Q429" i="4" s="1"/>
  <c r="M429" i="4"/>
  <c r="L429" i="4"/>
  <c r="O429" i="4" s="1"/>
  <c r="K429" i="4"/>
  <c r="M428" i="4"/>
  <c r="L428" i="4"/>
  <c r="K428" i="4"/>
  <c r="M427" i="4"/>
  <c r="L427" i="4"/>
  <c r="K427" i="4"/>
  <c r="M426" i="4"/>
  <c r="L426" i="4"/>
  <c r="K426" i="4"/>
  <c r="P425" i="4"/>
  <c r="M425" i="4"/>
  <c r="L425" i="4"/>
  <c r="K425" i="4"/>
  <c r="N425" i="4" s="1"/>
  <c r="Q425" i="4" s="1"/>
  <c r="M424" i="4"/>
  <c r="L424" i="4"/>
  <c r="K424" i="4"/>
  <c r="M423" i="4"/>
  <c r="L423" i="4"/>
  <c r="K423" i="4"/>
  <c r="M422" i="4"/>
  <c r="L422" i="4"/>
  <c r="K422" i="4"/>
  <c r="N421" i="4" s="1"/>
  <c r="Q421" i="4" s="1"/>
  <c r="M421" i="4"/>
  <c r="P421" i="4" s="1"/>
  <c r="L421" i="4"/>
  <c r="O421" i="4" s="1"/>
  <c r="K421" i="4"/>
  <c r="M420" i="4"/>
  <c r="L420" i="4"/>
  <c r="K420" i="4"/>
  <c r="M419" i="4"/>
  <c r="L419" i="4"/>
  <c r="K419" i="4"/>
  <c r="M418" i="4"/>
  <c r="P417" i="4" s="1"/>
  <c r="L418" i="4"/>
  <c r="K418" i="4"/>
  <c r="N417" i="4" s="1"/>
  <c r="Q417" i="4" s="1"/>
  <c r="M417" i="4"/>
  <c r="L417" i="4"/>
  <c r="O417" i="4" s="1"/>
  <c r="K417" i="4"/>
  <c r="M416" i="4"/>
  <c r="L416" i="4"/>
  <c r="K416" i="4"/>
  <c r="M415" i="4"/>
  <c r="L415" i="4"/>
  <c r="K415" i="4"/>
  <c r="M414" i="4"/>
  <c r="P413" i="4" s="1"/>
  <c r="L414" i="4"/>
  <c r="K414" i="4"/>
  <c r="N413" i="4"/>
  <c r="Q413" i="4" s="1"/>
  <c r="M413" i="4"/>
  <c r="L413" i="4"/>
  <c r="O413" i="4" s="1"/>
  <c r="K413" i="4"/>
  <c r="M412" i="4"/>
  <c r="L412" i="4"/>
  <c r="K412" i="4"/>
  <c r="M411" i="4"/>
  <c r="L411" i="4"/>
  <c r="O409" i="4" s="1"/>
  <c r="K411" i="4"/>
  <c r="M410" i="4"/>
  <c r="L410" i="4"/>
  <c r="K410" i="4"/>
  <c r="P409" i="4"/>
  <c r="M409" i="4"/>
  <c r="L409" i="4"/>
  <c r="K409" i="4"/>
  <c r="N409" i="4" s="1"/>
  <c r="Q409" i="4" s="1"/>
  <c r="M408" i="4"/>
  <c r="L408" i="4"/>
  <c r="K408" i="4"/>
  <c r="M407" i="4"/>
  <c r="L407" i="4"/>
  <c r="K407" i="4"/>
  <c r="M406" i="4"/>
  <c r="L406" i="4"/>
  <c r="K406" i="4"/>
  <c r="N405" i="4" s="1"/>
  <c r="Q405" i="4" s="1"/>
  <c r="R405" i="4"/>
  <c r="M405" i="4"/>
  <c r="P405" i="4" s="1"/>
  <c r="L405" i="4"/>
  <c r="O405" i="4" s="1"/>
  <c r="S405" i="4" s="1"/>
  <c r="K405" i="4"/>
  <c r="M404" i="4"/>
  <c r="L404" i="4"/>
  <c r="K404" i="4"/>
  <c r="M403" i="4"/>
  <c r="L403" i="4"/>
  <c r="K403" i="4"/>
  <c r="M402" i="4"/>
  <c r="L402" i="4"/>
  <c r="K402" i="4"/>
  <c r="N401" i="4" s="1"/>
  <c r="Q401" i="4" s="1"/>
  <c r="M401" i="4"/>
  <c r="L401" i="4"/>
  <c r="O401" i="4" s="1"/>
  <c r="K401" i="4"/>
  <c r="M400" i="4"/>
  <c r="L400" i="4"/>
  <c r="K400" i="4"/>
  <c r="M399" i="4"/>
  <c r="L399" i="4"/>
  <c r="K399" i="4"/>
  <c r="M398" i="4"/>
  <c r="P397" i="4" s="1"/>
  <c r="L398" i="4"/>
  <c r="K398" i="4"/>
  <c r="N397" i="4"/>
  <c r="Q397" i="4" s="1"/>
  <c r="M397" i="4"/>
  <c r="L397" i="4"/>
  <c r="O397" i="4" s="1"/>
  <c r="K397" i="4"/>
  <c r="M396" i="4"/>
  <c r="L396" i="4"/>
  <c r="K396" i="4"/>
  <c r="M395" i="4"/>
  <c r="L395" i="4"/>
  <c r="O393" i="4" s="1"/>
  <c r="K395" i="4"/>
  <c r="M394" i="4"/>
  <c r="L394" i="4"/>
  <c r="K394" i="4"/>
  <c r="P393" i="4"/>
  <c r="M393" i="4"/>
  <c r="L393" i="4"/>
  <c r="K393" i="4"/>
  <c r="N393" i="4" s="1"/>
  <c r="Q393" i="4" s="1"/>
  <c r="M392" i="4"/>
  <c r="L392" i="4"/>
  <c r="K392" i="4"/>
  <c r="M391" i="4"/>
  <c r="L391" i="4"/>
  <c r="K391" i="4"/>
  <c r="M390" i="4"/>
  <c r="L390" i="4"/>
  <c r="K390" i="4"/>
  <c r="R389" i="4"/>
  <c r="M389" i="4"/>
  <c r="P389" i="4" s="1"/>
  <c r="L389" i="4"/>
  <c r="O389" i="4" s="1"/>
  <c r="S389" i="4" s="1"/>
  <c r="K389" i="4"/>
  <c r="M388" i="4"/>
  <c r="L388" i="4"/>
  <c r="K388" i="4"/>
  <c r="M387" i="4"/>
  <c r="L387" i="4"/>
  <c r="K387" i="4"/>
  <c r="M386" i="4"/>
  <c r="L386" i="4"/>
  <c r="K386" i="4"/>
  <c r="N385" i="4" s="1"/>
  <c r="Q385" i="4" s="1"/>
  <c r="M385" i="4"/>
  <c r="L385" i="4"/>
  <c r="O385" i="4" s="1"/>
  <c r="K385" i="4"/>
  <c r="M384" i="4"/>
  <c r="L384" i="4"/>
  <c r="K384" i="4"/>
  <c r="M383" i="4"/>
  <c r="L383" i="4"/>
  <c r="K383" i="4"/>
  <c r="M382" i="4"/>
  <c r="P381" i="4" s="1"/>
  <c r="L382" i="4"/>
  <c r="K382" i="4"/>
  <c r="N381" i="4"/>
  <c r="Q381" i="4" s="1"/>
  <c r="M381" i="4"/>
  <c r="L381" i="4"/>
  <c r="O381" i="4" s="1"/>
  <c r="K381" i="4"/>
  <c r="M380" i="4"/>
  <c r="L380" i="4"/>
  <c r="K380" i="4"/>
  <c r="M379" i="4"/>
  <c r="L379" i="4"/>
  <c r="O377" i="4" s="1"/>
  <c r="K379" i="4"/>
  <c r="M378" i="4"/>
  <c r="L378" i="4"/>
  <c r="K378" i="4"/>
  <c r="P377" i="4"/>
  <c r="M377" i="4"/>
  <c r="L377" i="4"/>
  <c r="K377" i="4"/>
  <c r="N377" i="4" s="1"/>
  <c r="Q377" i="4" s="1"/>
  <c r="M376" i="4"/>
  <c r="L376" i="4"/>
  <c r="K376" i="4"/>
  <c r="M375" i="4"/>
  <c r="L375" i="4"/>
  <c r="K375" i="4"/>
  <c r="M374" i="4"/>
  <c r="L374" i="4"/>
  <c r="K374" i="4"/>
  <c r="M373" i="4"/>
  <c r="P373" i="4" s="1"/>
  <c r="L373" i="4"/>
  <c r="O373" i="4" s="1"/>
  <c r="S373" i="4" s="1"/>
  <c r="K373" i="4"/>
  <c r="M372" i="4"/>
  <c r="L372" i="4"/>
  <c r="K372" i="4"/>
  <c r="M371" i="4"/>
  <c r="L371" i="4"/>
  <c r="K371" i="4"/>
  <c r="M370" i="4"/>
  <c r="L370" i="4"/>
  <c r="K370" i="4"/>
  <c r="M369" i="4"/>
  <c r="L369" i="4"/>
  <c r="K369" i="4"/>
  <c r="M368" i="4"/>
  <c r="L368" i="4"/>
  <c r="K368" i="4"/>
  <c r="M367" i="4"/>
  <c r="L367" i="4"/>
  <c r="O366" i="4" s="1"/>
  <c r="K367" i="4"/>
  <c r="M366" i="4"/>
  <c r="P366" i="4" s="1"/>
  <c r="L366" i="4"/>
  <c r="K366" i="4"/>
  <c r="N366" i="4" s="1"/>
  <c r="Q366" i="4" s="1"/>
  <c r="M365" i="4"/>
  <c r="L365" i="4"/>
  <c r="K365" i="4"/>
  <c r="M364" i="4"/>
  <c r="L364" i="4"/>
  <c r="K364" i="4"/>
  <c r="N362" i="4" s="1"/>
  <c r="Q362" i="4" s="1"/>
  <c r="M363" i="4"/>
  <c r="L363" i="4"/>
  <c r="K363" i="4"/>
  <c r="O362" i="4"/>
  <c r="M362" i="4"/>
  <c r="P362" i="4" s="1"/>
  <c r="L362" i="4"/>
  <c r="K362" i="4"/>
  <c r="M361" i="4"/>
  <c r="L361" i="4"/>
  <c r="K361" i="4"/>
  <c r="M360" i="4"/>
  <c r="P358" i="4" s="1"/>
  <c r="L360" i="4"/>
  <c r="K360" i="4"/>
  <c r="M359" i="4"/>
  <c r="L359" i="4"/>
  <c r="K359" i="4"/>
  <c r="M358" i="4"/>
  <c r="L358" i="4"/>
  <c r="O358" i="4" s="1"/>
  <c r="K358" i="4"/>
  <c r="N358" i="4" s="1"/>
  <c r="Q358" i="4" s="1"/>
  <c r="M357" i="4"/>
  <c r="L357" i="4"/>
  <c r="K357" i="4"/>
  <c r="M356" i="4"/>
  <c r="L356" i="4"/>
  <c r="K356" i="4"/>
  <c r="M355" i="4"/>
  <c r="L355" i="4"/>
  <c r="O354" i="4" s="1"/>
  <c r="R354" i="4" s="1"/>
  <c r="K355" i="4"/>
  <c r="M354" i="4"/>
  <c r="P354" i="4" s="1"/>
  <c r="L354" i="4"/>
  <c r="K354" i="4"/>
  <c r="N354" i="4" s="1"/>
  <c r="Q354" i="4" s="1"/>
  <c r="M353" i="4"/>
  <c r="L353" i="4"/>
  <c r="K353" i="4"/>
  <c r="M352" i="4"/>
  <c r="L352" i="4"/>
  <c r="K352" i="4"/>
  <c r="M351" i="4"/>
  <c r="L351" i="4"/>
  <c r="O350" i="4" s="1"/>
  <c r="K351" i="4"/>
  <c r="M350" i="4"/>
  <c r="P350" i="4" s="1"/>
  <c r="L350" i="4"/>
  <c r="K350" i="4"/>
  <c r="N350" i="4" s="1"/>
  <c r="Q350" i="4" s="1"/>
  <c r="M349" i="4"/>
  <c r="L349" i="4"/>
  <c r="K349" i="4"/>
  <c r="M348" i="4"/>
  <c r="L348" i="4"/>
  <c r="K348" i="4"/>
  <c r="N346" i="4" s="1"/>
  <c r="Q346" i="4" s="1"/>
  <c r="M347" i="4"/>
  <c r="L347" i="4"/>
  <c r="K347" i="4"/>
  <c r="O346" i="4"/>
  <c r="M346" i="4"/>
  <c r="P346" i="4" s="1"/>
  <c r="L346" i="4"/>
  <c r="K346" i="4"/>
  <c r="M345" i="4"/>
  <c r="L345" i="4"/>
  <c r="K345" i="4"/>
  <c r="M344" i="4"/>
  <c r="P342" i="4" s="1"/>
  <c r="L344" i="4"/>
  <c r="K344" i="4"/>
  <c r="M343" i="4"/>
  <c r="L343" i="4"/>
  <c r="K343" i="4"/>
  <c r="M342" i="4"/>
  <c r="L342" i="4"/>
  <c r="O342" i="4" s="1"/>
  <c r="K342" i="4"/>
  <c r="N342" i="4" s="1"/>
  <c r="Q342" i="4" s="1"/>
  <c r="M341" i="4"/>
  <c r="L341" i="4"/>
  <c r="K341" i="4"/>
  <c r="M340" i="4"/>
  <c r="L340" i="4"/>
  <c r="K340" i="4"/>
  <c r="M339" i="4"/>
  <c r="L339" i="4"/>
  <c r="O338" i="4" s="1"/>
  <c r="R338" i="4" s="1"/>
  <c r="K339" i="4"/>
  <c r="M338" i="4"/>
  <c r="P338" i="4" s="1"/>
  <c r="L338" i="4"/>
  <c r="K338" i="4"/>
  <c r="N338" i="4" s="1"/>
  <c r="Q338" i="4" s="1"/>
  <c r="M337" i="4"/>
  <c r="L337" i="4"/>
  <c r="K337" i="4"/>
  <c r="M336" i="4"/>
  <c r="L336" i="4"/>
  <c r="K336" i="4"/>
  <c r="M335" i="4"/>
  <c r="L335" i="4"/>
  <c r="K335" i="4"/>
  <c r="M334" i="4"/>
  <c r="P334" i="4" s="1"/>
  <c r="L334" i="4"/>
  <c r="O334" i="4" s="1"/>
  <c r="K334" i="4"/>
  <c r="N334" i="4" s="1"/>
  <c r="Q334" i="4" s="1"/>
  <c r="M333" i="4"/>
  <c r="L333" i="4"/>
  <c r="K333" i="4"/>
  <c r="M332" i="4"/>
  <c r="L332" i="4"/>
  <c r="K332" i="4"/>
  <c r="N330" i="4" s="1"/>
  <c r="Q330" i="4" s="1"/>
  <c r="M331" i="4"/>
  <c r="L331" i="4"/>
  <c r="K331" i="4"/>
  <c r="O330" i="4"/>
  <c r="M330" i="4"/>
  <c r="P330" i="4" s="1"/>
  <c r="L330" i="4"/>
  <c r="K330" i="4"/>
  <c r="M329" i="4"/>
  <c r="L329" i="4"/>
  <c r="K329" i="4"/>
  <c r="M328" i="4"/>
  <c r="P326" i="4" s="1"/>
  <c r="L328" i="4"/>
  <c r="K328" i="4"/>
  <c r="M327" i="4"/>
  <c r="L327" i="4"/>
  <c r="K327" i="4"/>
  <c r="Q326" i="4"/>
  <c r="M326" i="4"/>
  <c r="L326" i="4"/>
  <c r="O326" i="4" s="1"/>
  <c r="K326" i="4"/>
  <c r="N326" i="4" s="1"/>
  <c r="M325" i="4"/>
  <c r="L325" i="4"/>
  <c r="K325" i="4"/>
  <c r="M324" i="4"/>
  <c r="L324" i="4"/>
  <c r="K324" i="4"/>
  <c r="M323" i="4"/>
  <c r="L323" i="4"/>
  <c r="K323" i="4"/>
  <c r="M322" i="4"/>
  <c r="P322" i="4" s="1"/>
  <c r="L322" i="4"/>
  <c r="K322" i="4"/>
  <c r="N322" i="4" s="1"/>
  <c r="Q322" i="4" s="1"/>
  <c r="M321" i="4"/>
  <c r="L321" i="4"/>
  <c r="K321" i="4"/>
  <c r="M320" i="4"/>
  <c r="L320" i="4"/>
  <c r="K320" i="4"/>
  <c r="M319" i="4"/>
  <c r="L319" i="4"/>
  <c r="K319" i="4"/>
  <c r="M318" i="4"/>
  <c r="P318" i="4" s="1"/>
  <c r="L318" i="4"/>
  <c r="K318" i="4"/>
  <c r="N318" i="4" s="1"/>
  <c r="Q318" i="4" s="1"/>
  <c r="M317" i="4"/>
  <c r="L317" i="4"/>
  <c r="K317" i="4"/>
  <c r="M316" i="4"/>
  <c r="L316" i="4"/>
  <c r="K316" i="4"/>
  <c r="N314" i="4" s="1"/>
  <c r="Q314" i="4" s="1"/>
  <c r="M315" i="4"/>
  <c r="L315" i="4"/>
  <c r="K315" i="4"/>
  <c r="O314" i="4"/>
  <c r="M314" i="4"/>
  <c r="P314" i="4" s="1"/>
  <c r="L314" i="4"/>
  <c r="K314" i="4"/>
  <c r="M313" i="4"/>
  <c r="L313" i="4"/>
  <c r="K313" i="4"/>
  <c r="M312" i="4"/>
  <c r="P310" i="4" s="1"/>
  <c r="L312" i="4"/>
  <c r="K312" i="4"/>
  <c r="M311" i="4"/>
  <c r="L311" i="4"/>
  <c r="K311" i="4"/>
  <c r="Q310" i="4"/>
  <c r="M310" i="4"/>
  <c r="L310" i="4"/>
  <c r="O310" i="4" s="1"/>
  <c r="K310" i="4"/>
  <c r="N310" i="4" s="1"/>
  <c r="M309" i="4"/>
  <c r="L309" i="4"/>
  <c r="K309" i="4"/>
  <c r="M308" i="4"/>
  <c r="L308" i="4"/>
  <c r="K308" i="4"/>
  <c r="M307" i="4"/>
  <c r="P306" i="4" s="1"/>
  <c r="L307" i="4"/>
  <c r="K307" i="4"/>
  <c r="M306" i="4"/>
  <c r="L306" i="4"/>
  <c r="K306" i="4"/>
  <c r="N306" i="4" s="1"/>
  <c r="Q306" i="4" s="1"/>
  <c r="M305" i="4"/>
  <c r="L305" i="4"/>
  <c r="K305" i="4"/>
  <c r="M304" i="4"/>
  <c r="L304" i="4"/>
  <c r="K304" i="4"/>
  <c r="M303" i="4"/>
  <c r="L303" i="4"/>
  <c r="K303" i="4"/>
  <c r="M302" i="4"/>
  <c r="P302" i="4" s="1"/>
  <c r="L302" i="4"/>
  <c r="K302" i="4"/>
  <c r="N302" i="4" s="1"/>
  <c r="Q302" i="4" s="1"/>
  <c r="M301" i="4"/>
  <c r="L301" i="4"/>
  <c r="K301" i="4"/>
  <c r="M300" i="4"/>
  <c r="L300" i="4"/>
  <c r="K300" i="4"/>
  <c r="N298" i="4" s="1"/>
  <c r="Q298" i="4" s="1"/>
  <c r="M299" i="4"/>
  <c r="P298" i="4" s="1"/>
  <c r="L299" i="4"/>
  <c r="K299" i="4"/>
  <c r="O298" i="4"/>
  <c r="M298" i="4"/>
  <c r="L298" i="4"/>
  <c r="K298" i="4"/>
  <c r="M297" i="4"/>
  <c r="L297" i="4"/>
  <c r="K297" i="4"/>
  <c r="M296" i="4"/>
  <c r="P294" i="4" s="1"/>
  <c r="L296" i="4"/>
  <c r="K296" i="4"/>
  <c r="M295" i="4"/>
  <c r="L295" i="4"/>
  <c r="K295" i="4"/>
  <c r="N294" i="4" s="1"/>
  <c r="Q294" i="4" s="1"/>
  <c r="M294" i="4"/>
  <c r="L294" i="4"/>
  <c r="O294" i="4" s="1"/>
  <c r="K294" i="4"/>
  <c r="M293" i="4"/>
  <c r="L293" i="4"/>
  <c r="K293" i="4"/>
  <c r="M292" i="4"/>
  <c r="L292" i="4"/>
  <c r="K292" i="4"/>
  <c r="M291" i="4"/>
  <c r="P290" i="4" s="1"/>
  <c r="L291" i="4"/>
  <c r="O290" i="4" s="1"/>
  <c r="R290" i="4" s="1"/>
  <c r="K291" i="4"/>
  <c r="M290" i="4"/>
  <c r="L290" i="4"/>
  <c r="K290" i="4"/>
  <c r="N290" i="4" s="1"/>
  <c r="Q290" i="4" s="1"/>
  <c r="M289" i="4"/>
  <c r="L289" i="4"/>
  <c r="K289" i="4"/>
  <c r="M288" i="4"/>
  <c r="L288" i="4"/>
  <c r="K288" i="4"/>
  <c r="M287" i="4"/>
  <c r="L287" i="4"/>
  <c r="K287" i="4"/>
  <c r="N286" i="4" s="1"/>
  <c r="Q286" i="4" s="1"/>
  <c r="M286" i="4"/>
  <c r="P286" i="4" s="1"/>
  <c r="L286" i="4"/>
  <c r="O286" i="4" s="1"/>
  <c r="K286" i="4"/>
  <c r="M285" i="4"/>
  <c r="L285" i="4"/>
  <c r="K285" i="4"/>
  <c r="M284" i="4"/>
  <c r="L284" i="4"/>
  <c r="K284" i="4"/>
  <c r="N282" i="4" s="1"/>
  <c r="Q282" i="4" s="1"/>
  <c r="M283" i="4"/>
  <c r="P282" i="4" s="1"/>
  <c r="L283" i="4"/>
  <c r="K283" i="4"/>
  <c r="O282" i="4"/>
  <c r="M282" i="4"/>
  <c r="L282" i="4"/>
  <c r="K282" i="4"/>
  <c r="M281" i="4"/>
  <c r="L281" i="4"/>
  <c r="K281" i="4"/>
  <c r="M280" i="4"/>
  <c r="P278" i="4" s="1"/>
  <c r="L280" i="4"/>
  <c r="K280" i="4"/>
  <c r="M279" i="4"/>
  <c r="L279" i="4"/>
  <c r="K279" i="4"/>
  <c r="N278" i="4" s="1"/>
  <c r="Q278" i="4" s="1"/>
  <c r="M278" i="4"/>
  <c r="L278" i="4"/>
  <c r="O278" i="4" s="1"/>
  <c r="K278" i="4"/>
  <c r="M277" i="4"/>
  <c r="L277" i="4"/>
  <c r="K277" i="4"/>
  <c r="M276" i="4"/>
  <c r="L276" i="4"/>
  <c r="K276" i="4"/>
  <c r="M275" i="4"/>
  <c r="P274" i="4" s="1"/>
  <c r="L275" i="4"/>
  <c r="O274" i="4" s="1"/>
  <c r="K275" i="4"/>
  <c r="M274" i="4"/>
  <c r="L274" i="4"/>
  <c r="K274" i="4"/>
  <c r="N274" i="4" s="1"/>
  <c r="Q274" i="4" s="1"/>
  <c r="M273" i="4"/>
  <c r="L273" i="4"/>
  <c r="K273" i="4"/>
  <c r="M272" i="4"/>
  <c r="L272" i="4"/>
  <c r="K272" i="4"/>
  <c r="M271" i="4"/>
  <c r="L271" i="4"/>
  <c r="K271" i="4"/>
  <c r="N270" i="4" s="1"/>
  <c r="Q270" i="4" s="1"/>
  <c r="M270" i="4"/>
  <c r="P270" i="4" s="1"/>
  <c r="L270" i="4"/>
  <c r="O270" i="4" s="1"/>
  <c r="K270" i="4"/>
  <c r="M269" i="4"/>
  <c r="L269" i="4"/>
  <c r="K269" i="4"/>
  <c r="M268" i="4"/>
  <c r="L268" i="4"/>
  <c r="K268" i="4"/>
  <c r="N266" i="4" s="1"/>
  <c r="Q266" i="4" s="1"/>
  <c r="M267" i="4"/>
  <c r="P266" i="4" s="1"/>
  <c r="L267" i="4"/>
  <c r="K267" i="4"/>
  <c r="O266" i="4"/>
  <c r="M266" i="4"/>
  <c r="L266" i="4"/>
  <c r="K266" i="4"/>
  <c r="M265" i="4"/>
  <c r="L265" i="4"/>
  <c r="K265" i="4"/>
  <c r="M264" i="4"/>
  <c r="P262" i="4" s="1"/>
  <c r="L264" i="4"/>
  <c r="K264" i="4"/>
  <c r="M263" i="4"/>
  <c r="L263" i="4"/>
  <c r="K263" i="4"/>
  <c r="N262" i="4" s="1"/>
  <c r="Q262" i="4"/>
  <c r="M262" i="4"/>
  <c r="L262" i="4"/>
  <c r="O262" i="4" s="1"/>
  <c r="K262" i="4"/>
  <c r="M261" i="4"/>
  <c r="L261" i="4"/>
  <c r="K261" i="4"/>
  <c r="M260" i="4"/>
  <c r="L260" i="4"/>
  <c r="K260" i="4"/>
  <c r="M259" i="4"/>
  <c r="P258" i="4" s="1"/>
  <c r="L259" i="4"/>
  <c r="K259" i="4"/>
  <c r="M258" i="4"/>
  <c r="L258" i="4"/>
  <c r="K258" i="4"/>
  <c r="N258" i="4" s="1"/>
  <c r="Q258" i="4" s="1"/>
  <c r="M257" i="4"/>
  <c r="L257" i="4"/>
  <c r="K257" i="4"/>
  <c r="M256" i="4"/>
  <c r="L256" i="4"/>
  <c r="K256" i="4"/>
  <c r="M255" i="4"/>
  <c r="L255" i="4"/>
  <c r="K255" i="4"/>
  <c r="N254" i="4" s="1"/>
  <c r="Q254" i="4" s="1"/>
  <c r="M254" i="4"/>
  <c r="P254" i="4" s="1"/>
  <c r="L254" i="4"/>
  <c r="K254" i="4"/>
  <c r="M253" i="4"/>
  <c r="L253" i="4"/>
  <c r="K253" i="4"/>
  <c r="M252" i="4"/>
  <c r="L252" i="4"/>
  <c r="K252" i="4"/>
  <c r="N250" i="4" s="1"/>
  <c r="Q250" i="4" s="1"/>
  <c r="M251" i="4"/>
  <c r="P250" i="4" s="1"/>
  <c r="L251" i="4"/>
  <c r="K251" i="4"/>
  <c r="O250" i="4"/>
  <c r="M250" i="4"/>
  <c r="L250" i="4"/>
  <c r="K250" i="4"/>
  <c r="M249" i="4"/>
  <c r="L249" i="4"/>
  <c r="K249" i="4"/>
  <c r="M248" i="4"/>
  <c r="P246" i="4" s="1"/>
  <c r="L248" i="4"/>
  <c r="K248" i="4"/>
  <c r="M247" i="4"/>
  <c r="L247" i="4"/>
  <c r="K247" i="4"/>
  <c r="N246" i="4" s="1"/>
  <c r="Q246" i="4" s="1"/>
  <c r="M246" i="4"/>
  <c r="L246" i="4"/>
  <c r="O246" i="4" s="1"/>
  <c r="K246" i="4"/>
  <c r="M245" i="4"/>
  <c r="L245" i="4"/>
  <c r="K245" i="4"/>
  <c r="M244" i="4"/>
  <c r="L244" i="4"/>
  <c r="K244" i="4"/>
  <c r="M243" i="4"/>
  <c r="P242" i="4" s="1"/>
  <c r="L243" i="4"/>
  <c r="K243" i="4"/>
  <c r="M242" i="4"/>
  <c r="L242" i="4"/>
  <c r="K242" i="4"/>
  <c r="N242" i="4" s="1"/>
  <c r="Q242" i="4" s="1"/>
  <c r="M241" i="4"/>
  <c r="L241" i="4"/>
  <c r="K241" i="4"/>
  <c r="M240" i="4"/>
  <c r="L240" i="4"/>
  <c r="K240" i="4"/>
  <c r="M239" i="4"/>
  <c r="L239" i="4"/>
  <c r="K239" i="4"/>
  <c r="N238" i="4" s="1"/>
  <c r="Q238" i="4" s="1"/>
  <c r="M238" i="4"/>
  <c r="P238" i="4" s="1"/>
  <c r="L238" i="4"/>
  <c r="K238" i="4"/>
  <c r="M237" i="4"/>
  <c r="L237" i="4"/>
  <c r="K237" i="4"/>
  <c r="M236" i="4"/>
  <c r="L236" i="4"/>
  <c r="K236" i="4"/>
  <c r="N234" i="4" s="1"/>
  <c r="Q234" i="4" s="1"/>
  <c r="M235" i="4"/>
  <c r="P234" i="4" s="1"/>
  <c r="L235" i="4"/>
  <c r="K235" i="4"/>
  <c r="O234" i="4"/>
  <c r="M234" i="4"/>
  <c r="L234" i="4"/>
  <c r="K234" i="4"/>
  <c r="M233" i="4"/>
  <c r="L233" i="4"/>
  <c r="K233" i="4"/>
  <c r="M232" i="4"/>
  <c r="P230" i="4" s="1"/>
  <c r="L232" i="4"/>
  <c r="K232" i="4"/>
  <c r="M231" i="4"/>
  <c r="L231" i="4"/>
  <c r="K231" i="4"/>
  <c r="N230" i="4" s="1"/>
  <c r="Q230" i="4" s="1"/>
  <c r="M230" i="4"/>
  <c r="L230" i="4"/>
  <c r="O230" i="4" s="1"/>
  <c r="K230" i="4"/>
  <c r="M229" i="4"/>
  <c r="L229" i="4"/>
  <c r="K229" i="4"/>
  <c r="M228" i="4"/>
  <c r="L228" i="4"/>
  <c r="K228" i="4"/>
  <c r="M227" i="4"/>
  <c r="P226" i="4" s="1"/>
  <c r="L227" i="4"/>
  <c r="O226" i="4" s="1"/>
  <c r="R226" i="4" s="1"/>
  <c r="K227" i="4"/>
  <c r="M226" i="4"/>
  <c r="L226" i="4"/>
  <c r="K226" i="4"/>
  <c r="N226" i="4" s="1"/>
  <c r="Q226" i="4" s="1"/>
  <c r="M225" i="4"/>
  <c r="L225" i="4"/>
  <c r="K225" i="4"/>
  <c r="M224" i="4"/>
  <c r="L224" i="4"/>
  <c r="K224" i="4"/>
  <c r="M223" i="4"/>
  <c r="L223" i="4"/>
  <c r="K223" i="4"/>
  <c r="N222" i="4" s="1"/>
  <c r="Q222" i="4" s="1"/>
  <c r="M222" i="4"/>
  <c r="P222" i="4" s="1"/>
  <c r="L222" i="4"/>
  <c r="O222" i="4" s="1"/>
  <c r="K222" i="4"/>
  <c r="M221" i="4"/>
  <c r="L221" i="4"/>
  <c r="K221" i="4"/>
  <c r="M220" i="4"/>
  <c r="L220" i="4"/>
  <c r="K220" i="4"/>
  <c r="N218" i="4" s="1"/>
  <c r="Q218" i="4" s="1"/>
  <c r="M219" i="4"/>
  <c r="P218" i="4" s="1"/>
  <c r="L219" i="4"/>
  <c r="K219" i="4"/>
  <c r="O218" i="4"/>
  <c r="M218" i="4"/>
  <c r="L218" i="4"/>
  <c r="K218" i="4"/>
  <c r="M217" i="4"/>
  <c r="L217" i="4"/>
  <c r="K217" i="4"/>
  <c r="M216" i="4"/>
  <c r="P214" i="4" s="1"/>
  <c r="L216" i="4"/>
  <c r="K216" i="4"/>
  <c r="M215" i="4"/>
  <c r="L215" i="4"/>
  <c r="K215" i="4"/>
  <c r="N214" i="4" s="1"/>
  <c r="Q214" i="4" s="1"/>
  <c r="M214" i="4"/>
  <c r="L214" i="4"/>
  <c r="O214" i="4" s="1"/>
  <c r="K214" i="4"/>
  <c r="M213" i="4"/>
  <c r="L213" i="4"/>
  <c r="K213" i="4"/>
  <c r="M212" i="4"/>
  <c r="L212" i="4"/>
  <c r="K212" i="4"/>
  <c r="M211" i="4"/>
  <c r="P210" i="4" s="1"/>
  <c r="L211" i="4"/>
  <c r="O210" i="4" s="1"/>
  <c r="R210" i="4" s="1"/>
  <c r="K211" i="4"/>
  <c r="M210" i="4"/>
  <c r="L210" i="4"/>
  <c r="K210" i="4"/>
  <c r="N210" i="4" s="1"/>
  <c r="Q210" i="4" s="1"/>
  <c r="M209" i="4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L204" i="4"/>
  <c r="O203" i="4" s="1"/>
  <c r="K204" i="4"/>
  <c r="N203" i="4"/>
  <c r="Q203" i="4" s="1"/>
  <c r="M203" i="4"/>
  <c r="P203" i="4" s="1"/>
  <c r="L203" i="4"/>
  <c r="K203" i="4"/>
  <c r="M202" i="4"/>
  <c r="L202" i="4"/>
  <c r="K202" i="4"/>
  <c r="M201" i="4"/>
  <c r="L201" i="4"/>
  <c r="O199" i="4" s="1"/>
  <c r="K201" i="4"/>
  <c r="M200" i="4"/>
  <c r="L200" i="4"/>
  <c r="K200" i="4"/>
  <c r="P199" i="4"/>
  <c r="M199" i="4"/>
  <c r="L199" i="4"/>
  <c r="K199" i="4"/>
  <c r="N199" i="4" s="1"/>
  <c r="Q199" i="4" s="1"/>
  <c r="M198" i="4"/>
  <c r="L198" i="4"/>
  <c r="K198" i="4"/>
  <c r="M197" i="4"/>
  <c r="L197" i="4"/>
  <c r="K197" i="4"/>
  <c r="M196" i="4"/>
  <c r="L196" i="4"/>
  <c r="O195" i="4" s="1"/>
  <c r="S195" i="4" s="1"/>
  <c r="K196" i="4"/>
  <c r="N195" i="4" s="1"/>
  <c r="Q195" i="4" s="1"/>
  <c r="M195" i="4"/>
  <c r="P195" i="4" s="1"/>
  <c r="L195" i="4"/>
  <c r="K195" i="4"/>
  <c r="M194" i="4"/>
  <c r="L194" i="4"/>
  <c r="K194" i="4"/>
  <c r="M193" i="4"/>
  <c r="L193" i="4"/>
  <c r="K193" i="4"/>
  <c r="M192" i="4"/>
  <c r="P191" i="4" s="1"/>
  <c r="L192" i="4"/>
  <c r="K192" i="4"/>
  <c r="M191" i="4"/>
  <c r="L191" i="4"/>
  <c r="O191" i="4" s="1"/>
  <c r="K191" i="4"/>
  <c r="N191" i="4" s="1"/>
  <c r="Q191" i="4" s="1"/>
  <c r="M190" i="4"/>
  <c r="L190" i="4"/>
  <c r="K190" i="4"/>
  <c r="M189" i="4"/>
  <c r="L189" i="4"/>
  <c r="K189" i="4"/>
  <c r="M188" i="4"/>
  <c r="L188" i="4"/>
  <c r="O187" i="4" s="1"/>
  <c r="K188" i="4"/>
  <c r="N187" i="4"/>
  <c r="Q187" i="4" s="1"/>
  <c r="M187" i="4"/>
  <c r="P187" i="4" s="1"/>
  <c r="L187" i="4"/>
  <c r="K187" i="4"/>
  <c r="M186" i="4"/>
  <c r="L186" i="4"/>
  <c r="K186" i="4"/>
  <c r="M185" i="4"/>
  <c r="L185" i="4"/>
  <c r="O183" i="4" s="1"/>
  <c r="K185" i="4"/>
  <c r="M184" i="4"/>
  <c r="L184" i="4"/>
  <c r="K184" i="4"/>
  <c r="P183" i="4"/>
  <c r="M183" i="4"/>
  <c r="L183" i="4"/>
  <c r="K183" i="4"/>
  <c r="N183" i="4" s="1"/>
  <c r="Q183" i="4" s="1"/>
  <c r="M182" i="4"/>
  <c r="L182" i="4"/>
  <c r="K182" i="4"/>
  <c r="M181" i="4"/>
  <c r="L181" i="4"/>
  <c r="K181" i="4"/>
  <c r="M180" i="4"/>
  <c r="L180" i="4"/>
  <c r="O179" i="4" s="1"/>
  <c r="S179" i="4" s="1"/>
  <c r="K180" i="4"/>
  <c r="N179" i="4" s="1"/>
  <c r="Q179" i="4" s="1"/>
  <c r="M179" i="4"/>
  <c r="P179" i="4" s="1"/>
  <c r="L179" i="4"/>
  <c r="K179" i="4"/>
  <c r="M178" i="4"/>
  <c r="L178" i="4"/>
  <c r="K178" i="4"/>
  <c r="M177" i="4"/>
  <c r="L177" i="4"/>
  <c r="K177" i="4"/>
  <c r="M176" i="4"/>
  <c r="L176" i="4"/>
  <c r="K176" i="4"/>
  <c r="M175" i="4"/>
  <c r="L175" i="4"/>
  <c r="O175" i="4" s="1"/>
  <c r="K175" i="4"/>
  <c r="N175" i="4" s="1"/>
  <c r="Q175" i="4" s="1"/>
  <c r="M174" i="4"/>
  <c r="L174" i="4"/>
  <c r="K174" i="4"/>
  <c r="M173" i="4"/>
  <c r="L173" i="4"/>
  <c r="K173" i="4"/>
  <c r="M172" i="4"/>
  <c r="L172" i="4"/>
  <c r="O171" i="4" s="1"/>
  <c r="K172" i="4"/>
  <c r="N171" i="4"/>
  <c r="Q171" i="4" s="1"/>
  <c r="M171" i="4"/>
  <c r="L171" i="4"/>
  <c r="K171" i="4"/>
  <c r="M170" i="4"/>
  <c r="L170" i="4"/>
  <c r="K170" i="4"/>
  <c r="M169" i="4"/>
  <c r="L169" i="4"/>
  <c r="O167" i="4" s="1"/>
  <c r="K169" i="4"/>
  <c r="M168" i="4"/>
  <c r="L168" i="4"/>
  <c r="K168" i="4"/>
  <c r="P167" i="4"/>
  <c r="M167" i="4"/>
  <c r="L167" i="4"/>
  <c r="K167" i="4"/>
  <c r="N167" i="4" s="1"/>
  <c r="Q167" i="4" s="1"/>
  <c r="M166" i="4"/>
  <c r="L166" i="4"/>
  <c r="K166" i="4"/>
  <c r="M165" i="4"/>
  <c r="L165" i="4"/>
  <c r="K165" i="4"/>
  <c r="M164" i="4"/>
  <c r="L164" i="4"/>
  <c r="O163" i="4" s="1"/>
  <c r="S163" i="4" s="1"/>
  <c r="K164" i="4"/>
  <c r="R163" i="4"/>
  <c r="M163" i="4"/>
  <c r="P163" i="4" s="1"/>
  <c r="L163" i="4"/>
  <c r="K163" i="4"/>
  <c r="M162" i="4"/>
  <c r="L162" i="4"/>
  <c r="K162" i="4"/>
  <c r="M161" i="4"/>
  <c r="L161" i="4"/>
  <c r="K161" i="4"/>
  <c r="M160" i="4"/>
  <c r="L160" i="4"/>
  <c r="K160" i="4"/>
  <c r="M159" i="4"/>
  <c r="L159" i="4"/>
  <c r="O159" i="4" s="1"/>
  <c r="K159" i="4"/>
  <c r="M158" i="4"/>
  <c r="L158" i="4"/>
  <c r="K158" i="4"/>
  <c r="M157" i="4"/>
  <c r="L157" i="4"/>
  <c r="K157" i="4"/>
  <c r="M156" i="4"/>
  <c r="L156" i="4"/>
  <c r="O155" i="4" s="1"/>
  <c r="K156" i="4"/>
  <c r="N155" i="4"/>
  <c r="Q155" i="4" s="1"/>
  <c r="M155" i="4"/>
  <c r="L155" i="4"/>
  <c r="K155" i="4"/>
  <c r="M154" i="4"/>
  <c r="L154" i="4"/>
  <c r="K154" i="4"/>
  <c r="M153" i="4"/>
  <c r="L153" i="4"/>
  <c r="O151" i="4" s="1"/>
  <c r="K153" i="4"/>
  <c r="M152" i="4"/>
  <c r="L152" i="4"/>
  <c r="K152" i="4"/>
  <c r="P151" i="4"/>
  <c r="M151" i="4"/>
  <c r="L151" i="4"/>
  <c r="K151" i="4"/>
  <c r="N151" i="4" s="1"/>
  <c r="Q151" i="4" s="1"/>
  <c r="M150" i="4"/>
  <c r="L150" i="4"/>
  <c r="K150" i="4"/>
  <c r="M149" i="4"/>
  <c r="L149" i="4"/>
  <c r="K149" i="4"/>
  <c r="M148" i="4"/>
  <c r="L148" i="4"/>
  <c r="O147" i="4" s="1"/>
  <c r="S147" i="4" s="1"/>
  <c r="K148" i="4"/>
  <c r="M147" i="4"/>
  <c r="P147" i="4" s="1"/>
  <c r="L147" i="4"/>
  <c r="K147" i="4"/>
  <c r="M146" i="4"/>
  <c r="L146" i="4"/>
  <c r="K146" i="4"/>
  <c r="M145" i="4"/>
  <c r="L145" i="4"/>
  <c r="K145" i="4"/>
  <c r="M144" i="4"/>
  <c r="P143" i="4" s="1"/>
  <c r="L144" i="4"/>
  <c r="K144" i="4"/>
  <c r="M143" i="4"/>
  <c r="L143" i="4"/>
  <c r="O143" i="4" s="1"/>
  <c r="K143" i="4"/>
  <c r="M142" i="4"/>
  <c r="L142" i="4"/>
  <c r="K142" i="4"/>
  <c r="M141" i="4"/>
  <c r="L141" i="4"/>
  <c r="K141" i="4"/>
  <c r="M140" i="4"/>
  <c r="L140" i="4"/>
  <c r="O139" i="4" s="1"/>
  <c r="K140" i="4"/>
  <c r="N139" i="4"/>
  <c r="Q139" i="4" s="1"/>
  <c r="M139" i="4"/>
  <c r="L139" i="4"/>
  <c r="K139" i="4"/>
  <c r="M138" i="4"/>
  <c r="L138" i="4"/>
  <c r="K138" i="4"/>
  <c r="M137" i="4"/>
  <c r="L137" i="4"/>
  <c r="O135" i="4" s="1"/>
  <c r="K137" i="4"/>
  <c r="M136" i="4"/>
  <c r="L136" i="4"/>
  <c r="K136" i="4"/>
  <c r="P135" i="4"/>
  <c r="M135" i="4"/>
  <c r="L135" i="4"/>
  <c r="K135" i="4"/>
  <c r="N135" i="4" s="1"/>
  <c r="Q135" i="4" s="1"/>
  <c r="M134" i="4"/>
  <c r="L134" i="4"/>
  <c r="K134" i="4"/>
  <c r="M133" i="4"/>
  <c r="L133" i="4"/>
  <c r="K133" i="4"/>
  <c r="M132" i="4"/>
  <c r="L132" i="4"/>
  <c r="O131" i="4" s="1"/>
  <c r="K132" i="4"/>
  <c r="N131" i="4" s="1"/>
  <c r="Q131" i="4" s="1"/>
  <c r="M131" i="4"/>
  <c r="P131" i="4" s="1"/>
  <c r="L131" i="4"/>
  <c r="K131" i="4"/>
  <c r="M130" i="4"/>
  <c r="L130" i="4"/>
  <c r="K130" i="4"/>
  <c r="M129" i="4"/>
  <c r="L129" i="4"/>
  <c r="K129" i="4"/>
  <c r="M128" i="4"/>
  <c r="P127" i="4" s="1"/>
  <c r="L128" i="4"/>
  <c r="K128" i="4"/>
  <c r="M127" i="4"/>
  <c r="L127" i="4"/>
  <c r="O127" i="4" s="1"/>
  <c r="K127" i="4"/>
  <c r="N127" i="4" s="1"/>
  <c r="Q127" i="4" s="1"/>
  <c r="M126" i="4"/>
  <c r="L126" i="4"/>
  <c r="K126" i="4"/>
  <c r="M125" i="4"/>
  <c r="L125" i="4"/>
  <c r="K125" i="4"/>
  <c r="M124" i="4"/>
  <c r="L124" i="4"/>
  <c r="O123" i="4" s="1"/>
  <c r="K124" i="4"/>
  <c r="N123" i="4"/>
  <c r="Q123" i="4" s="1"/>
  <c r="M123" i="4"/>
  <c r="L123" i="4"/>
  <c r="K123" i="4"/>
  <c r="M122" i="4"/>
  <c r="L122" i="4"/>
  <c r="K122" i="4"/>
  <c r="M121" i="4"/>
  <c r="L121" i="4"/>
  <c r="O119" i="4" s="1"/>
  <c r="K121" i="4"/>
  <c r="M120" i="4"/>
  <c r="L120" i="4"/>
  <c r="K120" i="4"/>
  <c r="P119" i="4"/>
  <c r="M119" i="4"/>
  <c r="L119" i="4"/>
  <c r="K119" i="4"/>
  <c r="N119" i="4" s="1"/>
  <c r="Q119" i="4" s="1"/>
  <c r="M118" i="4"/>
  <c r="L118" i="4"/>
  <c r="K118" i="4"/>
  <c r="M117" i="4"/>
  <c r="L117" i="4"/>
  <c r="K117" i="4"/>
  <c r="M116" i="4"/>
  <c r="L116" i="4"/>
  <c r="K116" i="4"/>
  <c r="N115" i="4" s="1"/>
  <c r="Q115" i="4" s="1"/>
  <c r="R115" i="4"/>
  <c r="M115" i="4"/>
  <c r="P115" i="4" s="1"/>
  <c r="L115" i="4"/>
  <c r="O115" i="4" s="1"/>
  <c r="S115" i="4" s="1"/>
  <c r="K115" i="4"/>
  <c r="M114" i="4"/>
  <c r="L114" i="4"/>
  <c r="K114" i="4"/>
  <c r="M113" i="4"/>
  <c r="L113" i="4"/>
  <c r="K113" i="4"/>
  <c r="M112" i="4"/>
  <c r="P111" i="4" s="1"/>
  <c r="L112" i="4"/>
  <c r="K112" i="4"/>
  <c r="M111" i="4"/>
  <c r="L111" i="4"/>
  <c r="O111" i="4" s="1"/>
  <c r="K111" i="4"/>
  <c r="N111" i="4" s="1"/>
  <c r="Q111" i="4" s="1"/>
  <c r="M110" i="4"/>
  <c r="L110" i="4"/>
  <c r="K110" i="4"/>
  <c r="M109" i="4"/>
  <c r="L109" i="4"/>
  <c r="K109" i="4"/>
  <c r="M108" i="4"/>
  <c r="L108" i="4"/>
  <c r="O107" i="4" s="1"/>
  <c r="K108" i="4"/>
  <c r="N107" i="4"/>
  <c r="Q107" i="4" s="1"/>
  <c r="M107" i="4"/>
  <c r="P107" i="4" s="1"/>
  <c r="L107" i="4"/>
  <c r="K107" i="4"/>
  <c r="M106" i="4"/>
  <c r="L106" i="4"/>
  <c r="K106" i="4"/>
  <c r="M105" i="4"/>
  <c r="L105" i="4"/>
  <c r="O103" i="4" s="1"/>
  <c r="K105" i="4"/>
  <c r="M104" i="4"/>
  <c r="L104" i="4"/>
  <c r="K104" i="4"/>
  <c r="P103" i="4"/>
  <c r="M103" i="4"/>
  <c r="L103" i="4"/>
  <c r="K103" i="4"/>
  <c r="N103" i="4" s="1"/>
  <c r="Q103" i="4" s="1"/>
  <c r="M102" i="4"/>
  <c r="L102" i="4"/>
  <c r="K102" i="4"/>
  <c r="M101" i="4"/>
  <c r="L101" i="4"/>
  <c r="K101" i="4"/>
  <c r="M100" i="4"/>
  <c r="L100" i="4"/>
  <c r="K100" i="4"/>
  <c r="N99" i="4" s="1"/>
  <c r="Q99" i="4" s="1"/>
  <c r="R99" i="4"/>
  <c r="M99" i="4"/>
  <c r="P99" i="4" s="1"/>
  <c r="L99" i="4"/>
  <c r="O99" i="4" s="1"/>
  <c r="S99" i="4" s="1"/>
  <c r="K99" i="4"/>
  <c r="M98" i="4"/>
  <c r="L98" i="4"/>
  <c r="K98" i="4"/>
  <c r="M97" i="4"/>
  <c r="L97" i="4"/>
  <c r="K97" i="4"/>
  <c r="M96" i="4"/>
  <c r="L96" i="4"/>
  <c r="K96" i="4"/>
  <c r="M95" i="4"/>
  <c r="L95" i="4"/>
  <c r="O95" i="4" s="1"/>
  <c r="K95" i="4"/>
  <c r="M94" i="4"/>
  <c r="L94" i="4"/>
  <c r="K94" i="4"/>
  <c r="M93" i="4"/>
  <c r="L93" i="4"/>
  <c r="K93" i="4"/>
  <c r="M92" i="4"/>
  <c r="P91" i="4" s="1"/>
  <c r="L92" i="4"/>
  <c r="O91" i="4" s="1"/>
  <c r="K92" i="4"/>
  <c r="N91" i="4"/>
  <c r="Q91" i="4" s="1"/>
  <c r="M91" i="4"/>
  <c r="L91" i="4"/>
  <c r="K91" i="4"/>
  <c r="M90" i="4"/>
  <c r="L90" i="4"/>
  <c r="K90" i="4"/>
  <c r="M89" i="4"/>
  <c r="L89" i="4"/>
  <c r="O87" i="4" s="1"/>
  <c r="K89" i="4"/>
  <c r="M88" i="4"/>
  <c r="L88" i="4"/>
  <c r="K88" i="4"/>
  <c r="P87" i="4"/>
  <c r="M87" i="4"/>
  <c r="L87" i="4"/>
  <c r="K87" i="4"/>
  <c r="N87" i="4" s="1"/>
  <c r="Q87" i="4" s="1"/>
  <c r="M86" i="4"/>
  <c r="L86" i="4"/>
  <c r="K86" i="4"/>
  <c r="M85" i="4"/>
  <c r="L85" i="4"/>
  <c r="K85" i="4"/>
  <c r="M84" i="4"/>
  <c r="L84" i="4"/>
  <c r="K84" i="4"/>
  <c r="M83" i="4"/>
  <c r="P83" i="4" s="1"/>
  <c r="L83" i="4"/>
  <c r="O83" i="4" s="1"/>
  <c r="S83" i="4" s="1"/>
  <c r="K83" i="4"/>
  <c r="M82" i="4"/>
  <c r="L82" i="4"/>
  <c r="K82" i="4"/>
  <c r="M81" i="4"/>
  <c r="L81" i="4"/>
  <c r="K81" i="4"/>
  <c r="M80" i="4"/>
  <c r="P79" i="4" s="1"/>
  <c r="L80" i="4"/>
  <c r="K80" i="4"/>
  <c r="N79" i="4" s="1"/>
  <c r="Q79" i="4" s="1"/>
  <c r="M79" i="4"/>
  <c r="L79" i="4"/>
  <c r="O79" i="4" s="1"/>
  <c r="K79" i="4"/>
  <c r="M78" i="4"/>
  <c r="L78" i="4"/>
  <c r="K78" i="4"/>
  <c r="M77" i="4"/>
  <c r="L77" i="4"/>
  <c r="K77" i="4"/>
  <c r="M76" i="4"/>
  <c r="P75" i="4" s="1"/>
  <c r="L76" i="4"/>
  <c r="O75" i="4" s="1"/>
  <c r="K76" i="4"/>
  <c r="N75" i="4"/>
  <c r="Q75" i="4" s="1"/>
  <c r="M75" i="4"/>
  <c r="L75" i="4"/>
  <c r="K75" i="4"/>
  <c r="M74" i="4"/>
  <c r="L74" i="4"/>
  <c r="K74" i="4"/>
  <c r="M73" i="4"/>
  <c r="L73" i="4"/>
  <c r="O71" i="4" s="1"/>
  <c r="K73" i="4"/>
  <c r="M72" i="4"/>
  <c r="L72" i="4"/>
  <c r="K72" i="4"/>
  <c r="P71" i="4"/>
  <c r="M71" i="4"/>
  <c r="L71" i="4"/>
  <c r="K71" i="4"/>
  <c r="N71" i="4" s="1"/>
  <c r="Q71" i="4" s="1"/>
  <c r="M70" i="4"/>
  <c r="L70" i="4"/>
  <c r="K70" i="4"/>
  <c r="M69" i="4"/>
  <c r="L69" i="4"/>
  <c r="K69" i="4"/>
  <c r="M68" i="4"/>
  <c r="L68" i="4"/>
  <c r="K68" i="4"/>
  <c r="N67" i="4" s="1"/>
  <c r="Q67" i="4" s="1"/>
  <c r="M67" i="4"/>
  <c r="P67" i="4" s="1"/>
  <c r="L67" i="4"/>
  <c r="O67" i="4" s="1"/>
  <c r="K67" i="4"/>
  <c r="M66" i="4"/>
  <c r="L66" i="4"/>
  <c r="K66" i="4"/>
  <c r="M65" i="4"/>
  <c r="L65" i="4"/>
  <c r="K65" i="4"/>
  <c r="M64" i="4"/>
  <c r="P63" i="4" s="1"/>
  <c r="L64" i="4"/>
  <c r="K64" i="4"/>
  <c r="N63" i="4" s="1"/>
  <c r="Q63" i="4" s="1"/>
  <c r="M63" i="4"/>
  <c r="L63" i="4"/>
  <c r="O63" i="4" s="1"/>
  <c r="K63" i="4"/>
  <c r="M62" i="4"/>
  <c r="L62" i="4"/>
  <c r="K62" i="4"/>
  <c r="M61" i="4"/>
  <c r="L61" i="4"/>
  <c r="K61" i="4"/>
  <c r="M60" i="4"/>
  <c r="P59" i="4" s="1"/>
  <c r="L60" i="4"/>
  <c r="O59" i="4" s="1"/>
  <c r="K60" i="4"/>
  <c r="N59" i="4"/>
  <c r="Q59" i="4" s="1"/>
  <c r="M59" i="4"/>
  <c r="L59" i="4"/>
  <c r="K59" i="4"/>
  <c r="M58" i="4"/>
  <c r="L58" i="4"/>
  <c r="K58" i="4"/>
  <c r="M57" i="4"/>
  <c r="L57" i="4"/>
  <c r="O55" i="4" s="1"/>
  <c r="K57" i="4"/>
  <c r="M56" i="4"/>
  <c r="L56" i="4"/>
  <c r="K56" i="4"/>
  <c r="P55" i="4"/>
  <c r="M55" i="4"/>
  <c r="L55" i="4"/>
  <c r="K55" i="4"/>
  <c r="N55" i="4" s="1"/>
  <c r="Q55" i="4" s="1"/>
  <c r="M54" i="4"/>
  <c r="L54" i="4"/>
  <c r="K54" i="4"/>
  <c r="M53" i="4"/>
  <c r="L53" i="4"/>
  <c r="K53" i="4"/>
  <c r="M52" i="4"/>
  <c r="L52" i="4"/>
  <c r="K52" i="4"/>
  <c r="N51" i="4" s="1"/>
  <c r="Q51" i="4" s="1"/>
  <c r="R51" i="4"/>
  <c r="M51" i="4"/>
  <c r="P51" i="4" s="1"/>
  <c r="L51" i="4"/>
  <c r="O51" i="4" s="1"/>
  <c r="S51" i="4" s="1"/>
  <c r="K51" i="4"/>
  <c r="M50" i="4"/>
  <c r="L50" i="4"/>
  <c r="K50" i="4"/>
  <c r="M49" i="4"/>
  <c r="L49" i="4"/>
  <c r="K49" i="4"/>
  <c r="M48" i="4"/>
  <c r="L48" i="4"/>
  <c r="K48" i="4"/>
  <c r="N47" i="4" s="1"/>
  <c r="Q47" i="4" s="1"/>
  <c r="M47" i="4"/>
  <c r="L47" i="4"/>
  <c r="O47" i="4" s="1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P39" i="4" s="1"/>
  <c r="L39" i="4"/>
  <c r="O39" i="4" s="1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O31" i="4" s="1"/>
  <c r="K33" i="4"/>
  <c r="M32" i="4"/>
  <c r="L32" i="4"/>
  <c r="K32" i="4"/>
  <c r="P31" i="4"/>
  <c r="M31" i="4"/>
  <c r="L31" i="4"/>
  <c r="K31" i="4"/>
  <c r="N31" i="4" s="1"/>
  <c r="Q31" i="4" s="1"/>
  <c r="M30" i="4"/>
  <c r="L30" i="4"/>
  <c r="K30" i="4"/>
  <c r="M29" i="4"/>
  <c r="L29" i="4"/>
  <c r="K29" i="4"/>
  <c r="M28" i="4"/>
  <c r="L28" i="4"/>
  <c r="K28" i="4"/>
  <c r="R27" i="4"/>
  <c r="M27" i="4"/>
  <c r="P27" i="4" s="1"/>
  <c r="L27" i="4"/>
  <c r="O27" i="4" s="1"/>
  <c r="S27" i="4" s="1"/>
  <c r="K27" i="4"/>
  <c r="M26" i="4"/>
  <c r="L26" i="4"/>
  <c r="K26" i="4"/>
  <c r="M25" i="4"/>
  <c r="L25" i="4"/>
  <c r="K25" i="4"/>
  <c r="M24" i="4"/>
  <c r="L24" i="4"/>
  <c r="K24" i="4"/>
  <c r="N23" i="4" s="1"/>
  <c r="Q23" i="4" s="1"/>
  <c r="M23" i="4"/>
  <c r="L23" i="4"/>
  <c r="O23" i="4" s="1"/>
  <c r="K23" i="4"/>
  <c r="M22" i="4"/>
  <c r="L22" i="4"/>
  <c r="K22" i="4"/>
  <c r="M21" i="4"/>
  <c r="L21" i="4"/>
  <c r="K21" i="4"/>
  <c r="M20" i="4"/>
  <c r="P19" i="4" s="1"/>
  <c r="L20" i="4"/>
  <c r="O19" i="4" s="1"/>
  <c r="K20" i="4"/>
  <c r="N19" i="4"/>
  <c r="Q19" i="4" s="1"/>
  <c r="M19" i="4"/>
  <c r="L19" i="4"/>
  <c r="K19" i="4"/>
  <c r="M18" i="4"/>
  <c r="L18" i="4"/>
  <c r="K18" i="4"/>
  <c r="M17" i="4"/>
  <c r="L17" i="4"/>
  <c r="K17" i="4"/>
  <c r="M16" i="4"/>
  <c r="L16" i="4"/>
  <c r="K16" i="4"/>
  <c r="P15" i="4"/>
  <c r="M15" i="4"/>
  <c r="L15" i="4"/>
  <c r="K15" i="4"/>
  <c r="N15" i="4" s="1"/>
  <c r="Q15" i="4" s="1"/>
  <c r="M14" i="4"/>
  <c r="L14" i="4"/>
  <c r="K14" i="4"/>
  <c r="M13" i="4"/>
  <c r="L13" i="4"/>
  <c r="K13" i="4"/>
  <c r="M12" i="4"/>
  <c r="L12" i="4"/>
  <c r="K12" i="4"/>
  <c r="R11" i="4"/>
  <c r="M11" i="4"/>
  <c r="P11" i="4" s="1"/>
  <c r="L11" i="4"/>
  <c r="O11" i="4" s="1"/>
  <c r="S11" i="4" s="1"/>
  <c r="K11" i="4"/>
  <c r="M10" i="4"/>
  <c r="L10" i="4"/>
  <c r="K10" i="4"/>
  <c r="M9" i="4"/>
  <c r="L9" i="4"/>
  <c r="K9" i="4"/>
  <c r="M8" i="4"/>
  <c r="P7" i="4" s="1"/>
  <c r="S7" i="4" s="1"/>
  <c r="L8" i="4"/>
  <c r="K8" i="4"/>
  <c r="N7" i="4" s="1"/>
  <c r="Q7" i="4" s="1"/>
  <c r="M7" i="4"/>
  <c r="L7" i="4"/>
  <c r="O7" i="4" s="1"/>
  <c r="R7" i="4" s="1"/>
  <c r="K7" i="4"/>
  <c r="M6" i="4"/>
  <c r="L6" i="4"/>
  <c r="K6" i="4"/>
  <c r="M5" i="4"/>
  <c r="L5" i="4"/>
  <c r="K5" i="4"/>
  <c r="M4" i="4"/>
  <c r="P3" i="4" s="1"/>
  <c r="S3" i="4" s="1"/>
  <c r="L4" i="4"/>
  <c r="O3" i="4" s="1"/>
  <c r="R3" i="4" s="1"/>
  <c r="K4" i="4"/>
  <c r="N3" i="4"/>
  <c r="Q3" i="4" s="1"/>
  <c r="M3" i="4"/>
  <c r="L3" i="4"/>
  <c r="K3" i="4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O335" i="3" s="1"/>
  <c r="R335" i="3" s="1"/>
  <c r="K335" i="3"/>
  <c r="N335" i="3" s="1"/>
  <c r="Q335" i="3" s="1"/>
  <c r="M334" i="3"/>
  <c r="L334" i="3"/>
  <c r="K334" i="3"/>
  <c r="M333" i="3"/>
  <c r="L333" i="3"/>
  <c r="K333" i="3"/>
  <c r="M332" i="3"/>
  <c r="L332" i="3"/>
  <c r="O331" i="3" s="1"/>
  <c r="R331" i="3" s="1"/>
  <c r="K332" i="3"/>
  <c r="M331" i="3"/>
  <c r="P331" i="3" s="1"/>
  <c r="S331" i="3" s="1"/>
  <c r="L331" i="3"/>
  <c r="K331" i="3"/>
  <c r="N331" i="3" s="1"/>
  <c r="Q331" i="3" s="1"/>
  <c r="M330" i="3"/>
  <c r="L330" i="3"/>
  <c r="K330" i="3"/>
  <c r="M329" i="3"/>
  <c r="L329" i="3"/>
  <c r="K329" i="3"/>
  <c r="M328" i="3"/>
  <c r="L328" i="3"/>
  <c r="O327" i="3" s="1"/>
  <c r="R327" i="3" s="1"/>
  <c r="K328" i="3"/>
  <c r="N327" i="3" s="1"/>
  <c r="Q327" i="3" s="1"/>
  <c r="M327" i="3"/>
  <c r="P327" i="3" s="1"/>
  <c r="S327" i="3" s="1"/>
  <c r="L327" i="3"/>
  <c r="K327" i="3"/>
  <c r="M326" i="3"/>
  <c r="L326" i="3"/>
  <c r="K326" i="3"/>
  <c r="M325" i="3"/>
  <c r="L325" i="3"/>
  <c r="K325" i="3"/>
  <c r="M324" i="3"/>
  <c r="P323" i="3" s="1"/>
  <c r="S323" i="3" s="1"/>
  <c r="L324" i="3"/>
  <c r="K324" i="3"/>
  <c r="O323" i="3"/>
  <c r="R323" i="3" s="1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P319" i="3" s="1"/>
  <c r="S319" i="3" s="1"/>
  <c r="L319" i="3"/>
  <c r="O319" i="3" s="1"/>
  <c r="R319" i="3" s="1"/>
  <c r="K319" i="3"/>
  <c r="N319" i="3" s="1"/>
  <c r="Q319" i="3" s="1"/>
  <c r="M318" i="3"/>
  <c r="L318" i="3"/>
  <c r="O315" i="3" s="1"/>
  <c r="R315" i="3" s="1"/>
  <c r="K318" i="3"/>
  <c r="M317" i="3"/>
  <c r="L317" i="3"/>
  <c r="K317" i="3"/>
  <c r="M316" i="3"/>
  <c r="L316" i="3"/>
  <c r="K316" i="3"/>
  <c r="M315" i="3"/>
  <c r="P315" i="3" s="1"/>
  <c r="S315" i="3" s="1"/>
  <c r="L315" i="3"/>
  <c r="K315" i="3"/>
  <c r="N315" i="3" s="1"/>
  <c r="Q315" i="3" s="1"/>
  <c r="M314" i="3"/>
  <c r="L314" i="3"/>
  <c r="K314" i="3"/>
  <c r="M313" i="3"/>
  <c r="L313" i="3"/>
  <c r="K313" i="3"/>
  <c r="M312" i="3"/>
  <c r="L312" i="3"/>
  <c r="O311" i="3" s="1"/>
  <c r="R311" i="3" s="1"/>
  <c r="K312" i="3"/>
  <c r="N311" i="3" s="1"/>
  <c r="Q311" i="3" s="1"/>
  <c r="M311" i="3"/>
  <c r="P311" i="3" s="1"/>
  <c r="S311" i="3" s="1"/>
  <c r="L311" i="3"/>
  <c r="K311" i="3"/>
  <c r="M310" i="3"/>
  <c r="L310" i="3"/>
  <c r="K310" i="3"/>
  <c r="M309" i="3"/>
  <c r="L309" i="3"/>
  <c r="K309" i="3"/>
  <c r="M308" i="3"/>
  <c r="P307" i="3" s="1"/>
  <c r="S307" i="3" s="1"/>
  <c r="L308" i="3"/>
  <c r="K308" i="3"/>
  <c r="O307" i="3"/>
  <c r="R307" i="3" s="1"/>
  <c r="M307" i="3"/>
  <c r="L307" i="3"/>
  <c r="K307" i="3"/>
  <c r="N307" i="3" s="1"/>
  <c r="Q307" i="3" s="1"/>
  <c r="M306" i="3"/>
  <c r="L306" i="3"/>
  <c r="K306" i="3"/>
  <c r="M305" i="3"/>
  <c r="L305" i="3"/>
  <c r="K305" i="3"/>
  <c r="M304" i="3"/>
  <c r="L304" i="3"/>
  <c r="K304" i="3"/>
  <c r="M303" i="3"/>
  <c r="L303" i="3"/>
  <c r="K303" i="3"/>
  <c r="N300" i="3" s="1"/>
  <c r="Q300" i="3" s="1"/>
  <c r="M302" i="3"/>
  <c r="L302" i="3"/>
  <c r="K302" i="3"/>
  <c r="M301" i="3"/>
  <c r="L301" i="3"/>
  <c r="K301" i="3"/>
  <c r="M300" i="3"/>
  <c r="P300" i="3" s="1"/>
  <c r="S300" i="3" s="1"/>
  <c r="L300" i="3"/>
  <c r="O300" i="3" s="1"/>
  <c r="R300" i="3" s="1"/>
  <c r="K300" i="3"/>
  <c r="M299" i="3"/>
  <c r="P296" i="3" s="1"/>
  <c r="S296" i="3" s="1"/>
  <c r="L299" i="3"/>
  <c r="K299" i="3"/>
  <c r="M298" i="3"/>
  <c r="L298" i="3"/>
  <c r="K298" i="3"/>
  <c r="M297" i="3"/>
  <c r="L297" i="3"/>
  <c r="K297" i="3"/>
  <c r="N296" i="3" s="1"/>
  <c r="Q296" i="3" s="1"/>
  <c r="M296" i="3"/>
  <c r="L296" i="3"/>
  <c r="O296" i="3" s="1"/>
  <c r="R296" i="3" s="1"/>
  <c r="K296" i="3"/>
  <c r="M295" i="3"/>
  <c r="L295" i="3"/>
  <c r="K295" i="3"/>
  <c r="M294" i="3"/>
  <c r="L294" i="3"/>
  <c r="K294" i="3"/>
  <c r="M293" i="3"/>
  <c r="P292" i="3" s="1"/>
  <c r="S292" i="3" s="1"/>
  <c r="L293" i="3"/>
  <c r="O292" i="3" s="1"/>
  <c r="R292" i="3" s="1"/>
  <c r="K293" i="3"/>
  <c r="N292" i="3"/>
  <c r="Q292" i="3" s="1"/>
  <c r="M292" i="3"/>
  <c r="L292" i="3"/>
  <c r="K292" i="3"/>
  <c r="M291" i="3"/>
  <c r="L291" i="3"/>
  <c r="K291" i="3"/>
  <c r="M290" i="3"/>
  <c r="L290" i="3"/>
  <c r="K290" i="3"/>
  <c r="M289" i="3"/>
  <c r="L289" i="3"/>
  <c r="K289" i="3"/>
  <c r="P288" i="3"/>
  <c r="S288" i="3" s="1"/>
  <c r="M288" i="3"/>
  <c r="L288" i="3"/>
  <c r="O288" i="3" s="1"/>
  <c r="R288" i="3" s="1"/>
  <c r="K288" i="3"/>
  <c r="N288" i="3" s="1"/>
  <c r="Q288" i="3" s="1"/>
  <c r="M287" i="3"/>
  <c r="L287" i="3"/>
  <c r="K287" i="3"/>
  <c r="M286" i="3"/>
  <c r="L286" i="3"/>
  <c r="K286" i="3"/>
  <c r="M285" i="3"/>
  <c r="L285" i="3"/>
  <c r="K285" i="3"/>
  <c r="R284" i="3"/>
  <c r="N284" i="3"/>
  <c r="Q284" i="3" s="1"/>
  <c r="M284" i="3"/>
  <c r="P284" i="3" s="1"/>
  <c r="S284" i="3" s="1"/>
  <c r="L284" i="3"/>
  <c r="O284" i="3" s="1"/>
  <c r="K284" i="3"/>
  <c r="M283" i="3"/>
  <c r="L283" i="3"/>
  <c r="K283" i="3"/>
  <c r="M282" i="3"/>
  <c r="L282" i="3"/>
  <c r="K282" i="3"/>
  <c r="M281" i="3"/>
  <c r="P280" i="3" s="1"/>
  <c r="S280" i="3" s="1"/>
  <c r="L281" i="3"/>
  <c r="K281" i="3"/>
  <c r="N280" i="3" s="1"/>
  <c r="Q280" i="3" s="1"/>
  <c r="M280" i="3"/>
  <c r="L280" i="3"/>
  <c r="O280" i="3" s="1"/>
  <c r="R280" i="3" s="1"/>
  <c r="K280" i="3"/>
  <c r="M279" i="3"/>
  <c r="L279" i="3"/>
  <c r="K279" i="3"/>
  <c r="N276" i="3" s="1"/>
  <c r="Q276" i="3" s="1"/>
  <c r="M278" i="3"/>
  <c r="L278" i="3"/>
  <c r="K278" i="3"/>
  <c r="M277" i="3"/>
  <c r="L277" i="3"/>
  <c r="K277" i="3"/>
  <c r="P276" i="3"/>
  <c r="S276" i="3" s="1"/>
  <c r="M276" i="3"/>
  <c r="L276" i="3"/>
  <c r="K276" i="3"/>
  <c r="M275" i="3"/>
  <c r="L275" i="3"/>
  <c r="K275" i="3"/>
  <c r="M274" i="3"/>
  <c r="L274" i="3"/>
  <c r="K274" i="3"/>
  <c r="M273" i="3"/>
  <c r="L273" i="3"/>
  <c r="K273" i="3"/>
  <c r="P272" i="3"/>
  <c r="S272" i="3" s="1"/>
  <c r="O272" i="3"/>
  <c r="R272" i="3" s="1"/>
  <c r="M272" i="3"/>
  <c r="L272" i="3"/>
  <c r="K272" i="3"/>
  <c r="N272" i="3" s="1"/>
  <c r="Q272" i="3" s="1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S265" i="3"/>
  <c r="O265" i="3"/>
  <c r="R265" i="3" s="1"/>
  <c r="M265" i="3"/>
  <c r="P265" i="3" s="1"/>
  <c r="L265" i="3"/>
  <c r="K265" i="3"/>
  <c r="N265" i="3" s="1"/>
  <c r="Q265" i="3" s="1"/>
  <c r="M264" i="3"/>
  <c r="L264" i="3"/>
  <c r="K264" i="3"/>
  <c r="M263" i="3"/>
  <c r="L263" i="3"/>
  <c r="K263" i="3"/>
  <c r="M262" i="3"/>
  <c r="L262" i="3"/>
  <c r="O261" i="3" s="1"/>
  <c r="R261" i="3" s="1"/>
  <c r="K262" i="3"/>
  <c r="N261" i="3" s="1"/>
  <c r="Q261" i="3" s="1"/>
  <c r="P261" i="3"/>
  <c r="S261" i="3" s="1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O257" i="3" s="1"/>
  <c r="R257" i="3" s="1"/>
  <c r="K257" i="3"/>
  <c r="N257" i="3" s="1"/>
  <c r="Q257" i="3" s="1"/>
  <c r="M256" i="3"/>
  <c r="L256" i="3"/>
  <c r="K256" i="3"/>
  <c r="M255" i="3"/>
  <c r="L255" i="3"/>
  <c r="K255" i="3"/>
  <c r="M254" i="3"/>
  <c r="P253" i="3" s="1"/>
  <c r="S253" i="3" s="1"/>
  <c r="L254" i="3"/>
  <c r="K254" i="3"/>
  <c r="M253" i="3"/>
  <c r="L253" i="3"/>
  <c r="O253" i="3" s="1"/>
  <c r="R253" i="3" s="1"/>
  <c r="K253" i="3"/>
  <c r="N253" i="3" s="1"/>
  <c r="Q253" i="3" s="1"/>
  <c r="M252" i="3"/>
  <c r="L252" i="3"/>
  <c r="K252" i="3"/>
  <c r="N249" i="3" s="1"/>
  <c r="Q249" i="3" s="1"/>
  <c r="M251" i="3"/>
  <c r="L251" i="3"/>
  <c r="K251" i="3"/>
  <c r="M250" i="3"/>
  <c r="L250" i="3"/>
  <c r="O249" i="3" s="1"/>
  <c r="R249" i="3" s="1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O245" i="3"/>
  <c r="R245" i="3" s="1"/>
  <c r="M245" i="3"/>
  <c r="P245" i="3" s="1"/>
  <c r="S245" i="3" s="1"/>
  <c r="L245" i="3"/>
  <c r="K245" i="3"/>
  <c r="M244" i="3"/>
  <c r="L244" i="3"/>
  <c r="K244" i="3"/>
  <c r="M243" i="3"/>
  <c r="L243" i="3"/>
  <c r="K243" i="3"/>
  <c r="N241" i="3" s="1"/>
  <c r="Q241" i="3" s="1"/>
  <c r="M242" i="3"/>
  <c r="P241" i="3" s="1"/>
  <c r="S241" i="3" s="1"/>
  <c r="L242" i="3"/>
  <c r="K242" i="3"/>
  <c r="R241" i="3"/>
  <c r="O241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S237" i="3"/>
  <c r="P237" i="3"/>
  <c r="N237" i="3"/>
  <c r="Q237" i="3" s="1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P231" i="3" s="1"/>
  <c r="S231" i="3" s="1"/>
  <c r="L232" i="3"/>
  <c r="K232" i="3"/>
  <c r="M231" i="3"/>
  <c r="L231" i="3"/>
  <c r="O231" i="3" s="1"/>
  <c r="R231" i="3" s="1"/>
  <c r="K231" i="3"/>
  <c r="N231" i="3" s="1"/>
  <c r="Q231" i="3" s="1"/>
  <c r="M230" i="3"/>
  <c r="L230" i="3"/>
  <c r="K230" i="3"/>
  <c r="M229" i="3"/>
  <c r="L229" i="3"/>
  <c r="K229" i="3"/>
  <c r="M228" i="3"/>
  <c r="L228" i="3"/>
  <c r="O227" i="3" s="1"/>
  <c r="R227" i="3" s="1"/>
  <c r="K228" i="3"/>
  <c r="N227" i="3"/>
  <c r="Q227" i="3" s="1"/>
  <c r="M227" i="3"/>
  <c r="P227" i="3" s="1"/>
  <c r="S227" i="3" s="1"/>
  <c r="L227" i="3"/>
  <c r="K227" i="3"/>
  <c r="M226" i="3"/>
  <c r="L226" i="3"/>
  <c r="K226" i="3"/>
  <c r="M225" i="3"/>
  <c r="L225" i="3"/>
  <c r="K225" i="3"/>
  <c r="M224" i="3"/>
  <c r="L224" i="3"/>
  <c r="K224" i="3"/>
  <c r="O223" i="3"/>
  <c r="R223" i="3" s="1"/>
  <c r="M223" i="3"/>
  <c r="P223" i="3" s="1"/>
  <c r="S223" i="3" s="1"/>
  <c r="L223" i="3"/>
  <c r="K223" i="3"/>
  <c r="M222" i="3"/>
  <c r="L222" i="3"/>
  <c r="K222" i="3"/>
  <c r="M221" i="3"/>
  <c r="L221" i="3"/>
  <c r="K221" i="3"/>
  <c r="M220" i="3"/>
  <c r="P219" i="3" s="1"/>
  <c r="S219" i="3" s="1"/>
  <c r="L220" i="3"/>
  <c r="K220" i="3"/>
  <c r="R219" i="3"/>
  <c r="O219" i="3"/>
  <c r="N219" i="3"/>
  <c r="Q219" i="3" s="1"/>
  <c r="M219" i="3"/>
  <c r="L219" i="3"/>
  <c r="K219" i="3"/>
  <c r="M218" i="3"/>
  <c r="L218" i="3"/>
  <c r="K218" i="3"/>
  <c r="M217" i="3"/>
  <c r="L217" i="3"/>
  <c r="K217" i="3"/>
  <c r="M216" i="3"/>
  <c r="L216" i="3"/>
  <c r="K216" i="3"/>
  <c r="S215" i="3"/>
  <c r="P215" i="3"/>
  <c r="N215" i="3"/>
  <c r="Q215" i="3" s="1"/>
  <c r="M215" i="3"/>
  <c r="L215" i="3"/>
  <c r="K215" i="3"/>
  <c r="M214" i="3"/>
  <c r="L214" i="3"/>
  <c r="K214" i="3"/>
  <c r="M213" i="3"/>
  <c r="L213" i="3"/>
  <c r="O211" i="3" s="1"/>
  <c r="R211" i="3" s="1"/>
  <c r="K213" i="3"/>
  <c r="M212" i="3"/>
  <c r="L212" i="3"/>
  <c r="K212" i="3"/>
  <c r="S211" i="3"/>
  <c r="P211" i="3"/>
  <c r="N211" i="3"/>
  <c r="Q211" i="3" s="1"/>
  <c r="M211" i="3"/>
  <c r="L211" i="3"/>
  <c r="K211" i="3"/>
  <c r="M210" i="3"/>
  <c r="L210" i="3"/>
  <c r="K210" i="3"/>
  <c r="M209" i="3"/>
  <c r="P207" i="3" s="1"/>
  <c r="S207" i="3" s="1"/>
  <c r="L209" i="3"/>
  <c r="K209" i="3"/>
  <c r="M208" i="3"/>
  <c r="L208" i="3"/>
  <c r="K208" i="3"/>
  <c r="N207" i="3" s="1"/>
  <c r="Q207" i="3" s="1"/>
  <c r="O207" i="3"/>
  <c r="R207" i="3" s="1"/>
  <c r="M207" i="3"/>
  <c r="L207" i="3"/>
  <c r="K207" i="3"/>
  <c r="M206" i="3"/>
  <c r="L206" i="3"/>
  <c r="K206" i="3"/>
  <c r="M205" i="3"/>
  <c r="L205" i="3"/>
  <c r="K205" i="3"/>
  <c r="M204" i="3"/>
  <c r="L204" i="3"/>
  <c r="K204" i="3"/>
  <c r="R203" i="3"/>
  <c r="O203" i="3"/>
  <c r="M203" i="3"/>
  <c r="L203" i="3"/>
  <c r="K203" i="3"/>
  <c r="N203" i="3" s="1"/>
  <c r="Q203" i="3" s="1"/>
  <c r="M202" i="3"/>
  <c r="L202" i="3"/>
  <c r="K202" i="3"/>
  <c r="M201" i="3"/>
  <c r="L201" i="3"/>
  <c r="K201" i="3"/>
  <c r="M200" i="3"/>
  <c r="L200" i="3"/>
  <c r="K200" i="3"/>
  <c r="M199" i="3"/>
  <c r="P198" i="3" s="1"/>
  <c r="S198" i="3" s="1"/>
  <c r="L199" i="3"/>
  <c r="K199" i="3"/>
  <c r="M198" i="3"/>
  <c r="L198" i="3"/>
  <c r="O198" i="3" s="1"/>
  <c r="R198" i="3" s="1"/>
  <c r="K198" i="3"/>
  <c r="N198" i="3" s="1"/>
  <c r="Q198" i="3" s="1"/>
  <c r="M197" i="3"/>
  <c r="L197" i="3"/>
  <c r="K197" i="3"/>
  <c r="M196" i="3"/>
  <c r="L196" i="3"/>
  <c r="K196" i="3"/>
  <c r="M195" i="3"/>
  <c r="L195" i="3"/>
  <c r="O194" i="3" s="1"/>
  <c r="R194" i="3" s="1"/>
  <c r="K195" i="3"/>
  <c r="Q194" i="3"/>
  <c r="N194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R190" i="3"/>
  <c r="O190" i="3"/>
  <c r="M190" i="3"/>
  <c r="P190" i="3" s="1"/>
  <c r="S190" i="3" s="1"/>
  <c r="L190" i="3"/>
  <c r="K190" i="3"/>
  <c r="M189" i="3"/>
  <c r="L189" i="3"/>
  <c r="K189" i="3"/>
  <c r="M188" i="3"/>
  <c r="L188" i="3"/>
  <c r="K188" i="3"/>
  <c r="N186" i="3" s="1"/>
  <c r="Q186" i="3" s="1"/>
  <c r="M187" i="3"/>
  <c r="L187" i="3"/>
  <c r="K187" i="3"/>
  <c r="M186" i="3"/>
  <c r="P186" i="3" s="1"/>
  <c r="S186" i="3" s="1"/>
  <c r="L186" i="3"/>
  <c r="O186" i="3" s="1"/>
  <c r="R186" i="3" s="1"/>
  <c r="K186" i="3"/>
  <c r="M185" i="3"/>
  <c r="L185" i="3"/>
  <c r="K185" i="3"/>
  <c r="M184" i="3"/>
  <c r="L184" i="3"/>
  <c r="K184" i="3"/>
  <c r="N182" i="3" s="1"/>
  <c r="Q182" i="3" s="1"/>
  <c r="M183" i="3"/>
  <c r="P182" i="3" s="1"/>
  <c r="S182" i="3" s="1"/>
  <c r="L183" i="3"/>
  <c r="K183" i="3"/>
  <c r="O182" i="3"/>
  <c r="R182" i="3" s="1"/>
  <c r="M182" i="3"/>
  <c r="L182" i="3"/>
  <c r="K182" i="3"/>
  <c r="M181" i="3"/>
  <c r="L181" i="3"/>
  <c r="K181" i="3"/>
  <c r="M180" i="3"/>
  <c r="L180" i="3"/>
  <c r="K180" i="3"/>
  <c r="M179" i="3"/>
  <c r="L179" i="3"/>
  <c r="K179" i="3"/>
  <c r="Q178" i="3"/>
  <c r="P178" i="3"/>
  <c r="S178" i="3" s="1"/>
  <c r="N178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R174" i="3"/>
  <c r="P174" i="3"/>
  <c r="S174" i="3" s="1"/>
  <c r="O174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R170" i="3"/>
  <c r="M170" i="3"/>
  <c r="L170" i="3"/>
  <c r="K170" i="3"/>
  <c r="M169" i="3"/>
  <c r="L169" i="3"/>
  <c r="K169" i="3"/>
  <c r="P168" i="3"/>
  <c r="S168" i="3" s="1"/>
  <c r="N168" i="3"/>
  <c r="Q168" i="3" s="1"/>
  <c r="M168" i="3"/>
  <c r="L168" i="3"/>
  <c r="K168" i="3"/>
  <c r="M167" i="3"/>
  <c r="L167" i="3"/>
  <c r="K167" i="3"/>
  <c r="M166" i="3"/>
  <c r="L166" i="3"/>
  <c r="O164" i="3" s="1"/>
  <c r="R164" i="3" s="1"/>
  <c r="K166" i="3"/>
  <c r="M165" i="3"/>
  <c r="L165" i="3"/>
  <c r="K165" i="3"/>
  <c r="P164" i="3"/>
  <c r="S164" i="3" s="1"/>
  <c r="N164" i="3"/>
  <c r="Q164" i="3" s="1"/>
  <c r="M164" i="3"/>
  <c r="L164" i="3"/>
  <c r="K164" i="3"/>
  <c r="M163" i="3"/>
  <c r="L163" i="3"/>
  <c r="K163" i="3"/>
  <c r="M162" i="3"/>
  <c r="L162" i="3"/>
  <c r="K162" i="3"/>
  <c r="M161" i="3"/>
  <c r="L161" i="3"/>
  <c r="K161" i="3"/>
  <c r="P160" i="3"/>
  <c r="S160" i="3" s="1"/>
  <c r="O160" i="3"/>
  <c r="R160" i="3" s="1"/>
  <c r="M160" i="3"/>
  <c r="L160" i="3"/>
  <c r="K160" i="3"/>
  <c r="M159" i="3"/>
  <c r="L159" i="3"/>
  <c r="K159" i="3"/>
  <c r="M158" i="3"/>
  <c r="L158" i="3"/>
  <c r="K158" i="3"/>
  <c r="M157" i="3"/>
  <c r="L157" i="3"/>
  <c r="K157" i="3"/>
  <c r="R156" i="3"/>
  <c r="Q156" i="3"/>
  <c r="O156" i="3"/>
  <c r="M156" i="3"/>
  <c r="L156" i="3"/>
  <c r="K156" i="3"/>
  <c r="N156" i="3" s="1"/>
  <c r="M155" i="3"/>
  <c r="L155" i="3"/>
  <c r="K155" i="3"/>
  <c r="M154" i="3"/>
  <c r="L154" i="3"/>
  <c r="K154" i="3"/>
  <c r="M153" i="3"/>
  <c r="L153" i="3"/>
  <c r="K153" i="3"/>
  <c r="M152" i="3"/>
  <c r="P152" i="3" s="1"/>
  <c r="S152" i="3" s="1"/>
  <c r="L152" i="3"/>
  <c r="K152" i="3"/>
  <c r="N152" i="3" s="1"/>
  <c r="Q152" i="3" s="1"/>
  <c r="M151" i="3"/>
  <c r="L151" i="3"/>
  <c r="K151" i="3"/>
  <c r="M150" i="3"/>
  <c r="L150" i="3"/>
  <c r="K150" i="3"/>
  <c r="M149" i="3"/>
  <c r="L149" i="3"/>
  <c r="K149" i="3"/>
  <c r="S148" i="3"/>
  <c r="M148" i="3"/>
  <c r="P148" i="3" s="1"/>
  <c r="L148" i="3"/>
  <c r="O148" i="3" s="1"/>
  <c r="R148" i="3" s="1"/>
  <c r="K148" i="3"/>
  <c r="N148" i="3" s="1"/>
  <c r="Q148" i="3" s="1"/>
  <c r="M147" i="3"/>
  <c r="L147" i="3"/>
  <c r="K147" i="3"/>
  <c r="M146" i="3"/>
  <c r="L146" i="3"/>
  <c r="K146" i="3"/>
  <c r="M145" i="3"/>
  <c r="L145" i="3"/>
  <c r="K145" i="3"/>
  <c r="N144" i="3"/>
  <c r="Q144" i="3" s="1"/>
  <c r="M144" i="3"/>
  <c r="P144" i="3" s="1"/>
  <c r="S144" i="3" s="1"/>
  <c r="L144" i="3"/>
  <c r="K144" i="3"/>
  <c r="M143" i="3"/>
  <c r="L143" i="3"/>
  <c r="K143" i="3"/>
  <c r="M142" i="3"/>
  <c r="L142" i="3"/>
  <c r="K142" i="3"/>
  <c r="N140" i="3" s="1"/>
  <c r="Q140" i="3" s="1"/>
  <c r="M141" i="3"/>
  <c r="L141" i="3"/>
  <c r="K141" i="3"/>
  <c r="P140" i="3"/>
  <c r="S140" i="3" s="1"/>
  <c r="O140" i="3"/>
  <c r="R140" i="3" s="1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N134" i="3" s="1"/>
  <c r="Q134" i="3" s="1"/>
  <c r="M135" i="3"/>
  <c r="L135" i="3"/>
  <c r="K135" i="3"/>
  <c r="P134" i="3"/>
  <c r="S134" i="3" s="1"/>
  <c r="O134" i="3"/>
  <c r="R134" i="3" s="1"/>
  <c r="M134" i="3"/>
  <c r="L134" i="3"/>
  <c r="K134" i="3"/>
  <c r="M133" i="3"/>
  <c r="L133" i="3"/>
  <c r="K133" i="3"/>
  <c r="M132" i="3"/>
  <c r="P130" i="3" s="1"/>
  <c r="S130" i="3" s="1"/>
  <c r="L132" i="3"/>
  <c r="K132" i="3"/>
  <c r="M131" i="3"/>
  <c r="L131" i="3"/>
  <c r="K131" i="3"/>
  <c r="Q130" i="3"/>
  <c r="M130" i="3"/>
  <c r="L130" i="3"/>
  <c r="O130" i="3" s="1"/>
  <c r="R130" i="3" s="1"/>
  <c r="K130" i="3"/>
  <c r="N130" i="3" s="1"/>
  <c r="M129" i="3"/>
  <c r="L129" i="3"/>
  <c r="K129" i="3"/>
  <c r="M128" i="3"/>
  <c r="L128" i="3"/>
  <c r="K128" i="3"/>
  <c r="M127" i="3"/>
  <c r="L127" i="3"/>
  <c r="K127" i="3"/>
  <c r="M126" i="3"/>
  <c r="P126" i="3" s="1"/>
  <c r="S126" i="3" s="1"/>
  <c r="L126" i="3"/>
  <c r="O126" i="3" s="1"/>
  <c r="R126" i="3" s="1"/>
  <c r="K126" i="3"/>
  <c r="N126" i="3" s="1"/>
  <c r="Q126" i="3" s="1"/>
  <c r="M125" i="3"/>
  <c r="L125" i="3"/>
  <c r="K125" i="3"/>
  <c r="M124" i="3"/>
  <c r="L124" i="3"/>
  <c r="K124" i="3"/>
  <c r="M123" i="3"/>
  <c r="L123" i="3"/>
  <c r="K123" i="3"/>
  <c r="N122" i="3"/>
  <c r="Q122" i="3" s="1"/>
  <c r="M122" i="3"/>
  <c r="P122" i="3" s="1"/>
  <c r="S122" i="3" s="1"/>
  <c r="L122" i="3"/>
  <c r="K122" i="3"/>
  <c r="M121" i="3"/>
  <c r="L121" i="3"/>
  <c r="K121" i="3"/>
  <c r="M120" i="3"/>
  <c r="L120" i="3"/>
  <c r="K120" i="3"/>
  <c r="N118" i="3" s="1"/>
  <c r="Q118" i="3" s="1"/>
  <c r="M119" i="3"/>
  <c r="L119" i="3"/>
  <c r="K119" i="3"/>
  <c r="P118" i="3"/>
  <c r="S118" i="3" s="1"/>
  <c r="O118" i="3"/>
  <c r="R118" i="3" s="1"/>
  <c r="M118" i="3"/>
  <c r="L118" i="3"/>
  <c r="K118" i="3"/>
  <c r="M117" i="3"/>
  <c r="L117" i="3"/>
  <c r="K117" i="3"/>
  <c r="M116" i="3"/>
  <c r="P114" i="3" s="1"/>
  <c r="S114" i="3" s="1"/>
  <c r="L116" i="3"/>
  <c r="K116" i="3"/>
  <c r="M115" i="3"/>
  <c r="L115" i="3"/>
  <c r="K115" i="3"/>
  <c r="M114" i="3"/>
  <c r="L114" i="3"/>
  <c r="O114" i="3" s="1"/>
  <c r="R114" i="3" s="1"/>
  <c r="K114" i="3"/>
  <c r="N114" i="3" s="1"/>
  <c r="Q114" i="3" s="1"/>
  <c r="M113" i="3"/>
  <c r="L113" i="3"/>
  <c r="K113" i="3"/>
  <c r="M112" i="3"/>
  <c r="L112" i="3"/>
  <c r="K112" i="3"/>
  <c r="M111" i="3"/>
  <c r="L111" i="3"/>
  <c r="K111" i="3"/>
  <c r="S110" i="3"/>
  <c r="M110" i="3"/>
  <c r="P110" i="3" s="1"/>
  <c r="L110" i="3"/>
  <c r="K110" i="3"/>
  <c r="N110" i="3" s="1"/>
  <c r="Q110" i="3" s="1"/>
  <c r="M109" i="3"/>
  <c r="L109" i="3"/>
  <c r="K109" i="3"/>
  <c r="M108" i="3"/>
  <c r="L108" i="3"/>
  <c r="K108" i="3"/>
  <c r="M107" i="3"/>
  <c r="L107" i="3"/>
  <c r="K107" i="3"/>
  <c r="N106" i="3"/>
  <c r="Q106" i="3" s="1"/>
  <c r="M106" i="3"/>
  <c r="P106" i="3" s="1"/>
  <c r="S106" i="3" s="1"/>
  <c r="L106" i="3"/>
  <c r="O106" i="3" s="1"/>
  <c r="R106" i="3" s="1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N100" i="3"/>
  <c r="Q100" i="3" s="1"/>
  <c r="M100" i="3"/>
  <c r="P100" i="3" s="1"/>
  <c r="S100" i="3" s="1"/>
  <c r="L100" i="3"/>
  <c r="K100" i="3"/>
  <c r="M99" i="3"/>
  <c r="L99" i="3"/>
  <c r="K99" i="3"/>
  <c r="M98" i="3"/>
  <c r="L98" i="3"/>
  <c r="K98" i="3"/>
  <c r="N96" i="3" s="1"/>
  <c r="Q96" i="3" s="1"/>
  <c r="M97" i="3"/>
  <c r="L97" i="3"/>
  <c r="K97" i="3"/>
  <c r="P96" i="3"/>
  <c r="S96" i="3" s="1"/>
  <c r="O96" i="3"/>
  <c r="R96" i="3" s="1"/>
  <c r="M96" i="3"/>
  <c r="L96" i="3"/>
  <c r="K96" i="3"/>
  <c r="M95" i="3"/>
  <c r="L95" i="3"/>
  <c r="K95" i="3"/>
  <c r="M94" i="3"/>
  <c r="P92" i="3" s="1"/>
  <c r="S92" i="3" s="1"/>
  <c r="L94" i="3"/>
  <c r="K94" i="3"/>
  <c r="M93" i="3"/>
  <c r="L93" i="3"/>
  <c r="K93" i="3"/>
  <c r="M92" i="3"/>
  <c r="L92" i="3"/>
  <c r="O92" i="3" s="1"/>
  <c r="R92" i="3" s="1"/>
  <c r="K92" i="3"/>
  <c r="N92" i="3" s="1"/>
  <c r="Q92" i="3" s="1"/>
  <c r="M91" i="3"/>
  <c r="L91" i="3"/>
  <c r="K91" i="3"/>
  <c r="M90" i="3"/>
  <c r="L90" i="3"/>
  <c r="K90" i="3"/>
  <c r="M89" i="3"/>
  <c r="L89" i="3"/>
  <c r="K89" i="3"/>
  <c r="S88" i="3"/>
  <c r="M88" i="3"/>
  <c r="P88" i="3" s="1"/>
  <c r="L88" i="3"/>
  <c r="K88" i="3"/>
  <c r="N88" i="3" s="1"/>
  <c r="Q88" i="3" s="1"/>
  <c r="M87" i="3"/>
  <c r="L87" i="3"/>
  <c r="K87" i="3"/>
  <c r="M86" i="3"/>
  <c r="L86" i="3"/>
  <c r="K86" i="3"/>
  <c r="M85" i="3"/>
  <c r="L85" i="3"/>
  <c r="K85" i="3"/>
  <c r="N84" i="3"/>
  <c r="Q84" i="3" s="1"/>
  <c r="M84" i="3"/>
  <c r="P84" i="3" s="1"/>
  <c r="S84" i="3" s="1"/>
  <c r="L84" i="3"/>
  <c r="O84" i="3" s="1"/>
  <c r="R84" i="3" s="1"/>
  <c r="K84" i="3"/>
  <c r="M83" i="3"/>
  <c r="L83" i="3"/>
  <c r="K83" i="3"/>
  <c r="M82" i="3"/>
  <c r="L82" i="3"/>
  <c r="K82" i="3"/>
  <c r="N80" i="3" s="1"/>
  <c r="Q80" i="3" s="1"/>
  <c r="M81" i="3"/>
  <c r="L81" i="3"/>
  <c r="K81" i="3"/>
  <c r="P80" i="3"/>
  <c r="S80" i="3" s="1"/>
  <c r="O80" i="3"/>
  <c r="R80" i="3" s="1"/>
  <c r="M80" i="3"/>
  <c r="L80" i="3"/>
  <c r="K80" i="3"/>
  <c r="M79" i="3"/>
  <c r="L79" i="3"/>
  <c r="K79" i="3"/>
  <c r="M78" i="3"/>
  <c r="P76" i="3" s="1"/>
  <c r="S76" i="3" s="1"/>
  <c r="L78" i="3"/>
  <c r="K78" i="3"/>
  <c r="M77" i="3"/>
  <c r="L77" i="3"/>
  <c r="K77" i="3"/>
  <c r="Q76" i="3"/>
  <c r="M76" i="3"/>
  <c r="L76" i="3"/>
  <c r="O76" i="3" s="1"/>
  <c r="R76" i="3" s="1"/>
  <c r="K76" i="3"/>
  <c r="N76" i="3" s="1"/>
  <c r="M75" i="3"/>
  <c r="L75" i="3"/>
  <c r="K75" i="3"/>
  <c r="M74" i="3"/>
  <c r="L74" i="3"/>
  <c r="K74" i="3"/>
  <c r="M73" i="3"/>
  <c r="L73" i="3"/>
  <c r="K73" i="3"/>
  <c r="M72" i="3"/>
  <c r="P72" i="3" s="1"/>
  <c r="S72" i="3" s="1"/>
  <c r="L72" i="3"/>
  <c r="O72" i="3" s="1"/>
  <c r="R72" i="3" s="1"/>
  <c r="K72" i="3"/>
  <c r="N72" i="3" s="1"/>
  <c r="Q72" i="3" s="1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S66" i="3"/>
  <c r="M66" i="3"/>
  <c r="P66" i="3" s="1"/>
  <c r="L66" i="3"/>
  <c r="K66" i="3"/>
  <c r="N66" i="3" s="1"/>
  <c r="Q66" i="3" s="1"/>
  <c r="M65" i="3"/>
  <c r="L65" i="3"/>
  <c r="K65" i="3"/>
  <c r="M64" i="3"/>
  <c r="L64" i="3"/>
  <c r="K64" i="3"/>
  <c r="M63" i="3"/>
  <c r="L63" i="3"/>
  <c r="K63" i="3"/>
  <c r="N62" i="3"/>
  <c r="Q62" i="3" s="1"/>
  <c r="M62" i="3"/>
  <c r="P62" i="3" s="1"/>
  <c r="S62" i="3" s="1"/>
  <c r="L62" i="3"/>
  <c r="O62" i="3" s="1"/>
  <c r="R62" i="3" s="1"/>
  <c r="K62" i="3"/>
  <c r="M61" i="3"/>
  <c r="L61" i="3"/>
  <c r="K61" i="3"/>
  <c r="M60" i="3"/>
  <c r="L60" i="3"/>
  <c r="K60" i="3"/>
  <c r="N58" i="3" s="1"/>
  <c r="Q58" i="3" s="1"/>
  <c r="M59" i="3"/>
  <c r="L59" i="3"/>
  <c r="K59" i="3"/>
  <c r="P58" i="3"/>
  <c r="S58" i="3" s="1"/>
  <c r="O58" i="3"/>
  <c r="R58" i="3" s="1"/>
  <c r="M58" i="3"/>
  <c r="L58" i="3"/>
  <c r="K58" i="3"/>
  <c r="M57" i="3"/>
  <c r="L57" i="3"/>
  <c r="K57" i="3"/>
  <c r="M56" i="3"/>
  <c r="P54" i="3" s="1"/>
  <c r="S54" i="3" s="1"/>
  <c r="L56" i="3"/>
  <c r="K56" i="3"/>
  <c r="M55" i="3"/>
  <c r="L55" i="3"/>
  <c r="K55" i="3"/>
  <c r="Q54" i="3"/>
  <c r="M54" i="3"/>
  <c r="L54" i="3"/>
  <c r="O54" i="3" s="1"/>
  <c r="R54" i="3" s="1"/>
  <c r="K54" i="3"/>
  <c r="N54" i="3" s="1"/>
  <c r="M53" i="3"/>
  <c r="L53" i="3"/>
  <c r="K53" i="3"/>
  <c r="M52" i="3"/>
  <c r="L52" i="3"/>
  <c r="K52" i="3"/>
  <c r="M51" i="3"/>
  <c r="L51" i="3"/>
  <c r="K51" i="3"/>
  <c r="M50" i="3"/>
  <c r="P50" i="3" s="1"/>
  <c r="S50" i="3" s="1"/>
  <c r="L50" i="3"/>
  <c r="O50" i="3" s="1"/>
  <c r="R50" i="3" s="1"/>
  <c r="K50" i="3"/>
  <c r="N50" i="3" s="1"/>
  <c r="Q50" i="3" s="1"/>
  <c r="M49" i="3"/>
  <c r="L49" i="3"/>
  <c r="K49" i="3"/>
  <c r="M48" i="3"/>
  <c r="L48" i="3"/>
  <c r="K48" i="3"/>
  <c r="M47" i="3"/>
  <c r="L47" i="3"/>
  <c r="K47" i="3"/>
  <c r="N46" i="3"/>
  <c r="Q46" i="3" s="1"/>
  <c r="M46" i="3"/>
  <c r="P46" i="3" s="1"/>
  <c r="S46" i="3" s="1"/>
  <c r="L46" i="3"/>
  <c r="K46" i="3"/>
  <c r="M45" i="3"/>
  <c r="L45" i="3"/>
  <c r="K45" i="3"/>
  <c r="M44" i="3"/>
  <c r="L44" i="3"/>
  <c r="K44" i="3"/>
  <c r="N42" i="3" s="1"/>
  <c r="Q42" i="3" s="1"/>
  <c r="M43" i="3"/>
  <c r="L43" i="3"/>
  <c r="K43" i="3"/>
  <c r="P42" i="3"/>
  <c r="S42" i="3" s="1"/>
  <c r="O42" i="3"/>
  <c r="R42" i="3" s="1"/>
  <c r="M42" i="3"/>
  <c r="L42" i="3"/>
  <c r="K42" i="3"/>
  <c r="M41" i="3"/>
  <c r="L41" i="3"/>
  <c r="K41" i="3"/>
  <c r="M40" i="3"/>
  <c r="P38" i="3" s="1"/>
  <c r="S38" i="3" s="1"/>
  <c r="L40" i="3"/>
  <c r="K40" i="3"/>
  <c r="M39" i="3"/>
  <c r="L39" i="3"/>
  <c r="K39" i="3"/>
  <c r="M38" i="3"/>
  <c r="L38" i="3"/>
  <c r="O38" i="3" s="1"/>
  <c r="R38" i="3" s="1"/>
  <c r="K38" i="3"/>
  <c r="N38" i="3" s="1"/>
  <c r="Q38" i="3" s="1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P31" i="3" s="1"/>
  <c r="S31" i="3" s="1"/>
  <c r="L31" i="3"/>
  <c r="O31" i="3" s="1"/>
  <c r="R31" i="3" s="1"/>
  <c r="K31" i="3"/>
  <c r="N31" i="3" s="1"/>
  <c r="Q31" i="3" s="1"/>
  <c r="M30" i="3"/>
  <c r="L30" i="3"/>
  <c r="K30" i="3"/>
  <c r="M29" i="3"/>
  <c r="L29" i="3"/>
  <c r="K29" i="3"/>
  <c r="M28" i="3"/>
  <c r="L28" i="3"/>
  <c r="K28" i="3"/>
  <c r="O27" i="3"/>
  <c r="R27" i="3" s="1"/>
  <c r="N27" i="3"/>
  <c r="Q27" i="3" s="1"/>
  <c r="M27" i="3"/>
  <c r="P27" i="3" s="1"/>
  <c r="S27" i="3" s="1"/>
  <c r="L27" i="3"/>
  <c r="K27" i="3"/>
  <c r="M26" i="3"/>
  <c r="L26" i="3"/>
  <c r="K26" i="3"/>
  <c r="M25" i="3"/>
  <c r="L25" i="3"/>
  <c r="O23" i="3" s="1"/>
  <c r="R23" i="3" s="1"/>
  <c r="K25" i="3"/>
  <c r="M24" i="3"/>
  <c r="L24" i="3"/>
  <c r="K24" i="3"/>
  <c r="P23" i="3"/>
  <c r="S23" i="3" s="1"/>
  <c r="M23" i="3"/>
  <c r="L23" i="3"/>
  <c r="K23" i="3"/>
  <c r="N23" i="3" s="1"/>
  <c r="Q23" i="3" s="1"/>
  <c r="M22" i="3"/>
  <c r="L22" i="3"/>
  <c r="K22" i="3"/>
  <c r="M21" i="3"/>
  <c r="L21" i="3"/>
  <c r="K21" i="3"/>
  <c r="M20" i="3"/>
  <c r="L20" i="3"/>
  <c r="K20" i="3"/>
  <c r="M19" i="3"/>
  <c r="P19" i="3" s="1"/>
  <c r="S19" i="3" s="1"/>
  <c r="L19" i="3"/>
  <c r="O19" i="3" s="1"/>
  <c r="R19" i="3" s="1"/>
  <c r="K19" i="3"/>
  <c r="N19" i="3" s="1"/>
  <c r="Q19" i="3" s="1"/>
  <c r="M18" i="3"/>
  <c r="L18" i="3"/>
  <c r="K18" i="3"/>
  <c r="M17" i="3"/>
  <c r="L17" i="3"/>
  <c r="K17" i="3"/>
  <c r="M16" i="3"/>
  <c r="L16" i="3"/>
  <c r="K16" i="3"/>
  <c r="M15" i="3"/>
  <c r="P15" i="3" s="1"/>
  <c r="S15" i="3" s="1"/>
  <c r="L15" i="3"/>
  <c r="O15" i="3" s="1"/>
  <c r="R15" i="3" s="1"/>
  <c r="K15" i="3"/>
  <c r="M14" i="3"/>
  <c r="L14" i="3"/>
  <c r="K14" i="3"/>
  <c r="M13" i="3"/>
  <c r="L13" i="3"/>
  <c r="K13" i="3"/>
  <c r="M12" i="3"/>
  <c r="L12" i="3"/>
  <c r="K12" i="3"/>
  <c r="O11" i="3"/>
  <c r="R11" i="3" s="1"/>
  <c r="N11" i="3"/>
  <c r="Q11" i="3" s="1"/>
  <c r="M11" i="3"/>
  <c r="L11" i="3"/>
  <c r="K11" i="3"/>
  <c r="M10" i="3"/>
  <c r="L10" i="3"/>
  <c r="K10" i="3"/>
  <c r="M9" i="3"/>
  <c r="L9" i="3"/>
  <c r="O7" i="3" s="1"/>
  <c r="R7" i="3" s="1"/>
  <c r="K9" i="3"/>
  <c r="M8" i="3"/>
  <c r="L8" i="3"/>
  <c r="K8" i="3"/>
  <c r="P7" i="3"/>
  <c r="S7" i="3" s="1"/>
  <c r="M7" i="3"/>
  <c r="L7" i="3"/>
  <c r="K7" i="3"/>
  <c r="N7" i="3" s="1"/>
  <c r="Q7" i="3" s="1"/>
  <c r="M6" i="3"/>
  <c r="L6" i="3"/>
  <c r="K6" i="3"/>
  <c r="M5" i="3"/>
  <c r="L5" i="3"/>
  <c r="K5" i="3"/>
  <c r="M4" i="3"/>
  <c r="L4" i="3"/>
  <c r="K4" i="3"/>
  <c r="M3" i="3"/>
  <c r="P3" i="3" s="1"/>
  <c r="S3" i="3" s="1"/>
  <c r="L3" i="3"/>
  <c r="O3" i="3" s="1"/>
  <c r="R3" i="3" s="1"/>
  <c r="K3" i="3"/>
  <c r="S67" i="4" l="1"/>
  <c r="R67" i="4"/>
  <c r="N3" i="3"/>
  <c r="Q3" i="3" s="1"/>
  <c r="N15" i="3"/>
  <c r="Q15" i="3" s="1"/>
  <c r="O144" i="3"/>
  <c r="R144" i="3" s="1"/>
  <c r="S230" i="4"/>
  <c r="R230" i="4"/>
  <c r="S39" i="4"/>
  <c r="R39" i="4"/>
  <c r="S421" i="4"/>
  <c r="R421" i="4"/>
  <c r="R584" i="4"/>
  <c r="S584" i="4"/>
  <c r="R632" i="4"/>
  <c r="S632" i="4"/>
  <c r="R640" i="4"/>
  <c r="S640" i="4"/>
  <c r="S660" i="4"/>
  <c r="R660" i="4"/>
  <c r="R966" i="4"/>
  <c r="S966" i="4"/>
  <c r="S1255" i="4"/>
  <c r="R1255" i="4"/>
  <c r="R1271" i="4"/>
  <c r="S1271" i="4"/>
  <c r="S282" i="4"/>
  <c r="R282" i="4"/>
  <c r="R560" i="4"/>
  <c r="S560" i="4"/>
  <c r="P11" i="3"/>
  <c r="S11" i="3" s="1"/>
  <c r="R274" i="4"/>
  <c r="S274" i="4"/>
  <c r="S358" i="4"/>
  <c r="R358" i="4"/>
  <c r="O46" i="3"/>
  <c r="R46" i="3" s="1"/>
  <c r="S171" i="4"/>
  <c r="R171" i="4"/>
  <c r="S270" i="4"/>
  <c r="R270" i="4"/>
  <c r="S501" i="4"/>
  <c r="R501" i="4"/>
  <c r="P249" i="3"/>
  <c r="S249" i="3" s="1"/>
  <c r="S131" i="4"/>
  <c r="R131" i="4"/>
  <c r="S135" i="4"/>
  <c r="R135" i="4"/>
  <c r="O66" i="3"/>
  <c r="R66" i="3" s="1"/>
  <c r="O88" i="3"/>
  <c r="R88" i="3" s="1"/>
  <c r="O100" i="3"/>
  <c r="R100" i="3" s="1"/>
  <c r="O110" i="3"/>
  <c r="R110" i="3" s="1"/>
  <c r="O122" i="3"/>
  <c r="R122" i="3" s="1"/>
  <c r="P194" i="3"/>
  <c r="S194" i="3" s="1"/>
  <c r="R127" i="4"/>
  <c r="S127" i="4"/>
  <c r="S473" i="4"/>
  <c r="R473" i="4"/>
  <c r="R79" i="4"/>
  <c r="S79" i="4"/>
  <c r="S87" i="4"/>
  <c r="R87" i="4"/>
  <c r="S123" i="4"/>
  <c r="R123" i="4"/>
  <c r="P139" i="4"/>
  <c r="R179" i="4"/>
  <c r="S222" i="4"/>
  <c r="R222" i="4"/>
  <c r="S234" i="4"/>
  <c r="R234" i="4"/>
  <c r="S310" i="4"/>
  <c r="R310" i="4"/>
  <c r="S362" i="4"/>
  <c r="R362" i="4"/>
  <c r="S413" i="4"/>
  <c r="R413" i="4"/>
  <c r="R433" i="4"/>
  <c r="S433" i="4"/>
  <c r="S441" i="4"/>
  <c r="R441" i="4"/>
  <c r="O525" i="4"/>
  <c r="R592" i="4"/>
  <c r="S592" i="4"/>
  <c r="S644" i="4"/>
  <c r="R644" i="4"/>
  <c r="S723" i="4"/>
  <c r="R723" i="4"/>
  <c r="R747" i="4"/>
  <c r="S747" i="4"/>
  <c r="S978" i="4"/>
  <c r="R978" i="4"/>
  <c r="S1010" i="4"/>
  <c r="R1010" i="4"/>
  <c r="S1024" i="4"/>
  <c r="R1024" i="4"/>
  <c r="R1283" i="4"/>
  <c r="S1283" i="4"/>
  <c r="P257" i="3"/>
  <c r="S257" i="3" s="1"/>
  <c r="N323" i="3"/>
  <c r="Q323" i="3" s="1"/>
  <c r="P335" i="3"/>
  <c r="S335" i="3" s="1"/>
  <c r="R47" i="4"/>
  <c r="S47" i="4"/>
  <c r="S55" i="4"/>
  <c r="R55" i="4"/>
  <c r="S91" i="4"/>
  <c r="R91" i="4"/>
  <c r="N95" i="4"/>
  <c r="Q95" i="4" s="1"/>
  <c r="R147" i="4"/>
  <c r="R175" i="4"/>
  <c r="S175" i="4"/>
  <c r="S183" i="4"/>
  <c r="R183" i="4"/>
  <c r="S278" i="4"/>
  <c r="R278" i="4"/>
  <c r="S290" i="4"/>
  <c r="O318" i="4"/>
  <c r="O322" i="4"/>
  <c r="S330" i="4"/>
  <c r="R330" i="4"/>
  <c r="R373" i="4"/>
  <c r="S381" i="4"/>
  <c r="R381" i="4"/>
  <c r="R401" i="4"/>
  <c r="S401" i="4"/>
  <c r="S409" i="4"/>
  <c r="R409" i="4"/>
  <c r="S465" i="4"/>
  <c r="R465" i="4"/>
  <c r="S521" i="4"/>
  <c r="R521" i="4"/>
  <c r="S548" i="4"/>
  <c r="R548" i="4"/>
  <c r="S580" i="4"/>
  <c r="R580" i="4"/>
  <c r="S612" i="4"/>
  <c r="R612" i="4"/>
  <c r="N616" i="4"/>
  <c r="Q616" i="4" s="1"/>
  <c r="S699" i="4"/>
  <c r="R699" i="4"/>
  <c r="S926" i="4"/>
  <c r="R926" i="4"/>
  <c r="N11" i="4"/>
  <c r="Q11" i="4" s="1"/>
  <c r="P23" i="4"/>
  <c r="R95" i="4"/>
  <c r="S95" i="4"/>
  <c r="S103" i="4"/>
  <c r="R103" i="4"/>
  <c r="S139" i="4"/>
  <c r="R139" i="4"/>
  <c r="N143" i="4"/>
  <c r="Q143" i="4" s="1"/>
  <c r="N147" i="4"/>
  <c r="Q147" i="4" s="1"/>
  <c r="P155" i="4"/>
  <c r="P159" i="4"/>
  <c r="R195" i="4"/>
  <c r="S210" i="4"/>
  <c r="O238" i="4"/>
  <c r="O242" i="4"/>
  <c r="S250" i="4"/>
  <c r="R250" i="4"/>
  <c r="S326" i="4"/>
  <c r="R326" i="4"/>
  <c r="S338" i="4"/>
  <c r="S350" i="4"/>
  <c r="R350" i="4"/>
  <c r="N373" i="4"/>
  <c r="Q373" i="4" s="1"/>
  <c r="P385" i="4"/>
  <c r="S429" i="4"/>
  <c r="R429" i="4"/>
  <c r="O449" i="4"/>
  <c r="S513" i="4"/>
  <c r="R513" i="4"/>
  <c r="S596" i="4"/>
  <c r="R596" i="4"/>
  <c r="S906" i="4"/>
  <c r="R906" i="4"/>
  <c r="S1219" i="4"/>
  <c r="R1219" i="4"/>
  <c r="O152" i="3"/>
  <c r="R152" i="3" s="1"/>
  <c r="N160" i="3"/>
  <c r="Q160" i="3" s="1"/>
  <c r="N39" i="4"/>
  <c r="Q39" i="4" s="1"/>
  <c r="S59" i="4"/>
  <c r="R59" i="4"/>
  <c r="R143" i="4"/>
  <c r="S143" i="4"/>
  <c r="S151" i="4"/>
  <c r="R151" i="4"/>
  <c r="S187" i="4"/>
  <c r="R187" i="4"/>
  <c r="S246" i="4"/>
  <c r="R246" i="4"/>
  <c r="S286" i="4"/>
  <c r="R286" i="4"/>
  <c r="S298" i="4"/>
  <c r="R298" i="4"/>
  <c r="S377" i="4"/>
  <c r="R377" i="4"/>
  <c r="S509" i="4"/>
  <c r="R509" i="4"/>
  <c r="S564" i="4"/>
  <c r="R564" i="4"/>
  <c r="R616" i="4"/>
  <c r="S616" i="4"/>
  <c r="R648" i="4"/>
  <c r="S648" i="4"/>
  <c r="S1207" i="4"/>
  <c r="R1207" i="4"/>
  <c r="N174" i="3"/>
  <c r="Q174" i="3" s="1"/>
  <c r="O15" i="4"/>
  <c r="R63" i="4"/>
  <c r="S63" i="4"/>
  <c r="S71" i="4"/>
  <c r="R71" i="4"/>
  <c r="S107" i="4"/>
  <c r="R107" i="4"/>
  <c r="P123" i="4"/>
  <c r="R191" i="4"/>
  <c r="S191" i="4"/>
  <c r="S199" i="4"/>
  <c r="R199" i="4"/>
  <c r="S218" i="4"/>
  <c r="R218" i="4"/>
  <c r="S294" i="4"/>
  <c r="R294" i="4"/>
  <c r="S334" i="4"/>
  <c r="R334" i="4"/>
  <c r="S346" i="4"/>
  <c r="R346" i="4"/>
  <c r="S397" i="4"/>
  <c r="R397" i="4"/>
  <c r="R417" i="4"/>
  <c r="S417" i="4"/>
  <c r="P497" i="4"/>
  <c r="R576" i="4"/>
  <c r="S576" i="4"/>
  <c r="S676" i="4"/>
  <c r="R676" i="4"/>
  <c r="S835" i="4"/>
  <c r="R835" i="4"/>
  <c r="R1096" i="4"/>
  <c r="S1096" i="4"/>
  <c r="S1108" i="4"/>
  <c r="R1108" i="4"/>
  <c r="R1176" i="4"/>
  <c r="S1176" i="4"/>
  <c r="S1191" i="4"/>
  <c r="R1191" i="4"/>
  <c r="R1327" i="4"/>
  <c r="S1327" i="4"/>
  <c r="P156" i="3"/>
  <c r="S156" i="3" s="1"/>
  <c r="O178" i="3"/>
  <c r="R178" i="3" s="1"/>
  <c r="P203" i="3"/>
  <c r="S203" i="3" s="1"/>
  <c r="N223" i="3"/>
  <c r="Q223" i="3" s="1"/>
  <c r="N245" i="3"/>
  <c r="Q245" i="3" s="1"/>
  <c r="S19" i="4"/>
  <c r="R19" i="4"/>
  <c r="N27" i="4"/>
  <c r="Q27" i="4" s="1"/>
  <c r="P47" i="4"/>
  <c r="R83" i="4"/>
  <c r="R111" i="4"/>
  <c r="S111" i="4"/>
  <c r="S119" i="4"/>
  <c r="R119" i="4"/>
  <c r="S155" i="4"/>
  <c r="R155" i="4"/>
  <c r="N159" i="4"/>
  <c r="Q159" i="4" s="1"/>
  <c r="N163" i="4"/>
  <c r="Q163" i="4" s="1"/>
  <c r="P171" i="4"/>
  <c r="P175" i="4"/>
  <c r="S214" i="4"/>
  <c r="R214" i="4"/>
  <c r="S226" i="4"/>
  <c r="O254" i="4"/>
  <c r="O258" i="4"/>
  <c r="S266" i="4"/>
  <c r="R266" i="4"/>
  <c r="S342" i="4"/>
  <c r="R342" i="4"/>
  <c r="S354" i="4"/>
  <c r="S366" i="4"/>
  <c r="R366" i="4"/>
  <c r="N389" i="4"/>
  <c r="Q389" i="4" s="1"/>
  <c r="P401" i="4"/>
  <c r="O425" i="4"/>
  <c r="R437" i="4"/>
  <c r="S445" i="4"/>
  <c r="R445" i="4"/>
  <c r="R457" i="4"/>
  <c r="S489" i="4"/>
  <c r="R489" i="4"/>
  <c r="P529" i="4"/>
  <c r="R529" i="4"/>
  <c r="S529" i="4"/>
  <c r="S540" i="4"/>
  <c r="R540" i="4"/>
  <c r="O552" i="4"/>
  <c r="S815" i="4"/>
  <c r="R815" i="4"/>
  <c r="S1084" i="4"/>
  <c r="R1084" i="4"/>
  <c r="O168" i="3"/>
  <c r="R168" i="3" s="1"/>
  <c r="N190" i="3"/>
  <c r="Q190" i="3" s="1"/>
  <c r="O215" i="3"/>
  <c r="R215" i="3" s="1"/>
  <c r="O237" i="3"/>
  <c r="R237" i="3" s="1"/>
  <c r="O276" i="3"/>
  <c r="R276" i="3" s="1"/>
  <c r="R23" i="4"/>
  <c r="S23" i="4"/>
  <c r="S31" i="4"/>
  <c r="R31" i="4"/>
  <c r="S75" i="4"/>
  <c r="R75" i="4"/>
  <c r="N83" i="4"/>
  <c r="Q83" i="4" s="1"/>
  <c r="P95" i="4"/>
  <c r="R159" i="4"/>
  <c r="S159" i="4"/>
  <c r="S167" i="4"/>
  <c r="R167" i="4"/>
  <c r="S203" i="4"/>
  <c r="R203" i="4"/>
  <c r="S262" i="4"/>
  <c r="R262" i="4"/>
  <c r="O302" i="4"/>
  <c r="O306" i="4"/>
  <c r="S314" i="4"/>
  <c r="R314" i="4"/>
  <c r="R385" i="4"/>
  <c r="S385" i="4"/>
  <c r="S393" i="4"/>
  <c r="R393" i="4"/>
  <c r="N437" i="4"/>
  <c r="Q437" i="4" s="1"/>
  <c r="N453" i="4"/>
  <c r="Q453" i="4" s="1"/>
  <c r="N457" i="4"/>
  <c r="Q457" i="4" s="1"/>
  <c r="S481" i="4"/>
  <c r="N509" i="4"/>
  <c r="Q509" i="4" s="1"/>
  <c r="R544" i="4"/>
  <c r="S544" i="4"/>
  <c r="S672" i="4"/>
  <c r="R672" i="4"/>
  <c r="S759" i="4"/>
  <c r="R759" i="4"/>
  <c r="R1064" i="4"/>
  <c r="S1064" i="4"/>
  <c r="S556" i="4"/>
  <c r="N568" i="4"/>
  <c r="Q568" i="4" s="1"/>
  <c r="P580" i="4"/>
  <c r="P640" i="4"/>
  <c r="R751" i="4"/>
  <c r="S771" i="4"/>
  <c r="R771" i="4"/>
  <c r="R795" i="4"/>
  <c r="S795" i="4"/>
  <c r="S807" i="4"/>
  <c r="R807" i="4"/>
  <c r="R886" i="4"/>
  <c r="S886" i="4"/>
  <c r="S898" i="4"/>
  <c r="R898" i="4"/>
  <c r="R970" i="4"/>
  <c r="O974" i="4"/>
  <c r="O1006" i="4"/>
  <c r="P1032" i="4"/>
  <c r="R1068" i="4"/>
  <c r="S1076" i="4"/>
  <c r="R1076" i="4"/>
  <c r="N1084" i="4"/>
  <c r="Q1084" i="4" s="1"/>
  <c r="O1104" i="4"/>
  <c r="R1144" i="4"/>
  <c r="S1144" i="4"/>
  <c r="S1156" i="4"/>
  <c r="R1156" i="4"/>
  <c r="N1164" i="4"/>
  <c r="Q1164" i="4" s="1"/>
  <c r="N1176" i="4"/>
  <c r="Q1176" i="4" s="1"/>
  <c r="S1195" i="4"/>
  <c r="O1227" i="4"/>
  <c r="N1235" i="4"/>
  <c r="Q1235" i="4" s="1"/>
  <c r="O1279" i="4"/>
  <c r="P1287" i="4"/>
  <c r="S1287" i="4"/>
  <c r="R1287" i="4"/>
  <c r="R1319" i="4"/>
  <c r="S1319" i="4"/>
  <c r="R1335" i="4"/>
  <c r="S1335" i="4"/>
  <c r="R1498" i="4"/>
  <c r="S1498" i="4"/>
  <c r="O453" i="4"/>
  <c r="O588" i="4"/>
  <c r="S604" i="4"/>
  <c r="S624" i="4"/>
  <c r="S684" i="4"/>
  <c r="N692" i="4"/>
  <c r="Q692" i="4" s="1"/>
  <c r="N703" i="4"/>
  <c r="Q703" i="4" s="1"/>
  <c r="S711" i="4"/>
  <c r="R711" i="4"/>
  <c r="P763" i="4"/>
  <c r="O787" i="4"/>
  <c r="R827" i="4"/>
  <c r="S827" i="4"/>
  <c r="N831" i="4"/>
  <c r="Q831" i="4" s="1"/>
  <c r="S839" i="4"/>
  <c r="R839" i="4"/>
  <c r="O878" i="4"/>
  <c r="R918" i="4"/>
  <c r="S918" i="4"/>
  <c r="N922" i="4"/>
  <c r="Q922" i="4" s="1"/>
  <c r="S930" i="4"/>
  <c r="R930" i="4"/>
  <c r="P966" i="4"/>
  <c r="R998" i="4"/>
  <c r="S998" i="4"/>
  <c r="S1028" i="4"/>
  <c r="R1028" i="4"/>
  <c r="N1036" i="4"/>
  <c r="Q1036" i="4" s="1"/>
  <c r="P1064" i="4"/>
  <c r="P1096" i="4"/>
  <c r="O1136" i="4"/>
  <c r="P1176" i="4"/>
  <c r="O1211" i="4"/>
  <c r="N1219" i="4"/>
  <c r="Q1219" i="4" s="1"/>
  <c r="S1307" i="4"/>
  <c r="R1307" i="4"/>
  <c r="N536" i="4"/>
  <c r="Q536" i="4" s="1"/>
  <c r="P715" i="4"/>
  <c r="S755" i="4"/>
  <c r="R755" i="4"/>
  <c r="R779" i="4"/>
  <c r="S779" i="4"/>
  <c r="N783" i="4"/>
  <c r="Q783" i="4" s="1"/>
  <c r="S791" i="4"/>
  <c r="R791" i="4"/>
  <c r="P843" i="4"/>
  <c r="R870" i="4"/>
  <c r="S870" i="4"/>
  <c r="N874" i="4"/>
  <c r="Q874" i="4" s="1"/>
  <c r="S882" i="4"/>
  <c r="R882" i="4"/>
  <c r="P934" i="4"/>
  <c r="S958" i="4"/>
  <c r="R958" i="4"/>
  <c r="S1056" i="4"/>
  <c r="R1056" i="4"/>
  <c r="S1088" i="4"/>
  <c r="R1088" i="4"/>
  <c r="R1128" i="4"/>
  <c r="S1128" i="4"/>
  <c r="S1140" i="4"/>
  <c r="R1140" i="4"/>
  <c r="S1168" i="4"/>
  <c r="R1168" i="4"/>
  <c r="S1199" i="4"/>
  <c r="R1199" i="4"/>
  <c r="S1203" i="4"/>
  <c r="R1203" i="4"/>
  <c r="S1291" i="4"/>
  <c r="R1291" i="4"/>
  <c r="O1295" i="4"/>
  <c r="S1446" i="4"/>
  <c r="R1446" i="4"/>
  <c r="R568" i="4"/>
  <c r="P592" i="4"/>
  <c r="S600" i="4"/>
  <c r="N608" i="4"/>
  <c r="Q608" i="4" s="1"/>
  <c r="N676" i="4"/>
  <c r="Q676" i="4" s="1"/>
  <c r="S707" i="4"/>
  <c r="R707" i="4"/>
  <c r="R731" i="4"/>
  <c r="S731" i="4"/>
  <c r="S743" i="4"/>
  <c r="R743" i="4"/>
  <c r="S819" i="4"/>
  <c r="R819" i="4"/>
  <c r="S910" i="4"/>
  <c r="R910" i="4"/>
  <c r="R950" i="4"/>
  <c r="S950" i="4"/>
  <c r="S962" i="4"/>
  <c r="R962" i="4"/>
  <c r="S990" i="4"/>
  <c r="R990" i="4"/>
  <c r="R1048" i="4"/>
  <c r="S1048" i="4"/>
  <c r="S1060" i="4"/>
  <c r="R1060" i="4"/>
  <c r="S1092" i="4"/>
  <c r="R1092" i="4"/>
  <c r="N1100" i="4"/>
  <c r="Q1100" i="4" s="1"/>
  <c r="P1128" i="4"/>
  <c r="S1172" i="4"/>
  <c r="R1172" i="4"/>
  <c r="N1203" i="4"/>
  <c r="Q1203" i="4" s="1"/>
  <c r="R1251" i="4"/>
  <c r="S1251" i="4"/>
  <c r="S1263" i="4"/>
  <c r="R1263" i="4"/>
  <c r="S1311" i="4"/>
  <c r="R1311" i="4"/>
  <c r="R497" i="4"/>
  <c r="O620" i="4"/>
  <c r="S692" i="4"/>
  <c r="R692" i="4"/>
  <c r="R811" i="4"/>
  <c r="S811" i="4"/>
  <c r="S823" i="4"/>
  <c r="R823" i="4"/>
  <c r="S862" i="4"/>
  <c r="R862" i="4"/>
  <c r="R902" i="4"/>
  <c r="S902" i="4"/>
  <c r="N906" i="4"/>
  <c r="Q906" i="4" s="1"/>
  <c r="S914" i="4"/>
  <c r="R914" i="4"/>
  <c r="S994" i="4"/>
  <c r="R994" i="4"/>
  <c r="R1080" i="4"/>
  <c r="S1080" i="4"/>
  <c r="S1120" i="4"/>
  <c r="R1120" i="4"/>
  <c r="R1160" i="4"/>
  <c r="S1160" i="4"/>
  <c r="P1172" i="4"/>
  <c r="S1239" i="4"/>
  <c r="R1239" i="4"/>
  <c r="R1267" i="4"/>
  <c r="S1267" i="4"/>
  <c r="S1303" i="4"/>
  <c r="R1303" i="4"/>
  <c r="S1339" i="4"/>
  <c r="R1339" i="4"/>
  <c r="S1406" i="4"/>
  <c r="R1406" i="4"/>
  <c r="S1410" i="4"/>
  <c r="R1410" i="4"/>
  <c r="O517" i="4"/>
  <c r="O572" i="4"/>
  <c r="N580" i="4"/>
  <c r="Q580" i="4" s="1"/>
  <c r="O636" i="4"/>
  <c r="N660" i="4"/>
  <c r="Q660" i="4" s="1"/>
  <c r="S664" i="4"/>
  <c r="O668" i="4"/>
  <c r="O680" i="4"/>
  <c r="P699" i="4"/>
  <c r="R719" i="4"/>
  <c r="S739" i="4"/>
  <c r="R739" i="4"/>
  <c r="R763" i="4"/>
  <c r="S763" i="4"/>
  <c r="N767" i="4"/>
  <c r="Q767" i="4" s="1"/>
  <c r="S775" i="4"/>
  <c r="R775" i="4"/>
  <c r="P827" i="4"/>
  <c r="R847" i="4"/>
  <c r="O851" i="4"/>
  <c r="S866" i="4"/>
  <c r="R866" i="4"/>
  <c r="R938" i="4"/>
  <c r="O942" i="4"/>
  <c r="R982" i="4"/>
  <c r="S982" i="4"/>
  <c r="R1014" i="4"/>
  <c r="S1014" i="4"/>
  <c r="R1036" i="4"/>
  <c r="O1040" i="4"/>
  <c r="R1112" i="4"/>
  <c r="S1112" i="4"/>
  <c r="S1124" i="4"/>
  <c r="R1124" i="4"/>
  <c r="N1132" i="4"/>
  <c r="Q1132" i="4" s="1"/>
  <c r="S1187" i="4"/>
  <c r="R1187" i="4"/>
  <c r="R1243" i="4"/>
  <c r="S1243" i="4"/>
  <c r="S1259" i="4"/>
  <c r="R1259" i="4"/>
  <c r="O469" i="4"/>
  <c r="P624" i="4"/>
  <c r="S628" i="4"/>
  <c r="R628" i="4"/>
  <c r="O652" i="4"/>
  <c r="N656" i="4"/>
  <c r="Q656" i="4" s="1"/>
  <c r="S688" i="4"/>
  <c r="R688" i="4"/>
  <c r="R715" i="4"/>
  <c r="S715" i="4"/>
  <c r="N719" i="4"/>
  <c r="Q719" i="4" s="1"/>
  <c r="S727" i="4"/>
  <c r="R727" i="4"/>
  <c r="P779" i="4"/>
  <c r="R799" i="4"/>
  <c r="O803" i="4"/>
  <c r="R843" i="4"/>
  <c r="S843" i="4"/>
  <c r="N847" i="4"/>
  <c r="Q847" i="4" s="1"/>
  <c r="S855" i="4"/>
  <c r="R855" i="4"/>
  <c r="P870" i="4"/>
  <c r="R890" i="4"/>
  <c r="O894" i="4"/>
  <c r="R934" i="4"/>
  <c r="S934" i="4"/>
  <c r="N938" i="4"/>
  <c r="Q938" i="4" s="1"/>
  <c r="S946" i="4"/>
  <c r="R946" i="4"/>
  <c r="N954" i="4"/>
  <c r="Q954" i="4" s="1"/>
  <c r="P982" i="4"/>
  <c r="P1014" i="4"/>
  <c r="R1032" i="4"/>
  <c r="S1032" i="4"/>
  <c r="S1044" i="4"/>
  <c r="R1044" i="4"/>
  <c r="N1052" i="4"/>
  <c r="Q1052" i="4" s="1"/>
  <c r="O1072" i="4"/>
  <c r="P1112" i="4"/>
  <c r="O1152" i="4"/>
  <c r="N1187" i="4"/>
  <c r="Q1187" i="4" s="1"/>
  <c r="P1215" i="4"/>
  <c r="S1223" i="4"/>
  <c r="R1223" i="4"/>
  <c r="S1235" i="4"/>
  <c r="R1235" i="4"/>
  <c r="P1243" i="4"/>
  <c r="R1315" i="4"/>
  <c r="S1315" i="4"/>
  <c r="S1323" i="4"/>
  <c r="R1323" i="4"/>
  <c r="R1370" i="4"/>
  <c r="S1370" i="4"/>
  <c r="N1291" i="4"/>
  <c r="Q1291" i="4" s="1"/>
  <c r="P1331" i="4"/>
  <c r="P1335" i="4"/>
  <c r="P1358" i="4"/>
  <c r="N1378" i="4"/>
  <c r="Q1378" i="4" s="1"/>
  <c r="O1418" i="4"/>
  <c r="S1454" i="4"/>
  <c r="R1454" i="4"/>
  <c r="S1458" i="4"/>
  <c r="R1458" i="4"/>
  <c r="P1486" i="4"/>
  <c r="S1494" i="4"/>
  <c r="R1494" i="4"/>
  <c r="N23" i="5"/>
  <c r="Q23" i="5" s="1"/>
  <c r="N55" i="5"/>
  <c r="Q55" i="5" s="1"/>
  <c r="O117" i="5"/>
  <c r="R117" i="5" s="1"/>
  <c r="R1215" i="4"/>
  <c r="R1231" i="4"/>
  <c r="S1299" i="4"/>
  <c r="S1358" i="4"/>
  <c r="R1358" i="4"/>
  <c r="S1362" i="4"/>
  <c r="R1362" i="4"/>
  <c r="S1382" i="4"/>
  <c r="R1382" i="4"/>
  <c r="S1466" i="4"/>
  <c r="S1486" i="4"/>
  <c r="R1486" i="4"/>
  <c r="S1490" i="4"/>
  <c r="R1490" i="4"/>
  <c r="P35" i="5"/>
  <c r="S35" i="5" s="1"/>
  <c r="N1275" i="4"/>
  <c r="Q1275" i="4" s="1"/>
  <c r="S1438" i="4"/>
  <c r="R1438" i="4"/>
  <c r="S1442" i="4"/>
  <c r="R1442" i="4"/>
  <c r="S1478" i="4"/>
  <c r="R1478" i="4"/>
  <c r="P1271" i="4"/>
  <c r="S1331" i="4"/>
  <c r="O1343" i="4"/>
  <c r="O1354" i="4"/>
  <c r="S1390" i="4"/>
  <c r="R1390" i="4"/>
  <c r="S1394" i="4"/>
  <c r="R1394" i="4"/>
  <c r="O1414" i="4"/>
  <c r="P1422" i="4"/>
  <c r="S1430" i="4"/>
  <c r="R1430" i="4"/>
  <c r="N1442" i="4"/>
  <c r="Q1442" i="4" s="1"/>
  <c r="O1482" i="4"/>
  <c r="P1502" i="4"/>
  <c r="N39" i="5"/>
  <c r="Q39" i="5" s="1"/>
  <c r="N101" i="5"/>
  <c r="Q101" i="5" s="1"/>
  <c r="O171" i="5"/>
  <c r="R171" i="5" s="1"/>
  <c r="N1307" i="4"/>
  <c r="Q1307" i="4" s="1"/>
  <c r="N1311" i="4"/>
  <c r="Q1311" i="4" s="1"/>
  <c r="N1339" i="4"/>
  <c r="Q1339" i="4" s="1"/>
  <c r="O1366" i="4"/>
  <c r="P1374" i="4"/>
  <c r="N1394" i="4"/>
  <c r="Q1394" i="4" s="1"/>
  <c r="O1434" i="4"/>
  <c r="S1450" i="4"/>
  <c r="S1470" i="4"/>
  <c r="R1470" i="4"/>
  <c r="S1474" i="4"/>
  <c r="R1474" i="4"/>
  <c r="N7" i="5"/>
  <c r="Q7" i="5" s="1"/>
  <c r="P109" i="5"/>
  <c r="S109" i="5" s="1"/>
  <c r="N1259" i="4"/>
  <c r="Q1259" i="4" s="1"/>
  <c r="P1303" i="4"/>
  <c r="N1323" i="4"/>
  <c r="Q1323" i="4" s="1"/>
  <c r="N1327" i="4"/>
  <c r="Q1327" i="4" s="1"/>
  <c r="N1335" i="4"/>
  <c r="Q1335" i="4" s="1"/>
  <c r="O1350" i="4"/>
  <c r="O1386" i="4"/>
  <c r="S1402" i="4"/>
  <c r="S1422" i="4"/>
  <c r="R1422" i="4"/>
  <c r="S1426" i="4"/>
  <c r="R1426" i="4"/>
  <c r="P1454" i="4"/>
  <c r="S1462" i="4"/>
  <c r="R1462" i="4"/>
  <c r="N1474" i="4"/>
  <c r="Q1474" i="4" s="1"/>
  <c r="S1506" i="4"/>
  <c r="R1506" i="4"/>
  <c r="P19" i="5"/>
  <c r="S19" i="5" s="1"/>
  <c r="P51" i="5"/>
  <c r="S51" i="5" s="1"/>
  <c r="P137" i="5"/>
  <c r="S137" i="5" s="1"/>
  <c r="P1307" i="4"/>
  <c r="P1339" i="4"/>
  <c r="S1374" i="4"/>
  <c r="R1374" i="4"/>
  <c r="S1378" i="4"/>
  <c r="R1378" i="4"/>
  <c r="S1398" i="4"/>
  <c r="R1398" i="4"/>
  <c r="S1502" i="4"/>
  <c r="R1502" i="4"/>
  <c r="O109" i="5"/>
  <c r="R109" i="5" s="1"/>
  <c r="O137" i="5"/>
  <c r="R137" i="5" s="1"/>
  <c r="N199" i="5"/>
  <c r="Q199" i="5" s="1"/>
  <c r="N210" i="5"/>
  <c r="Q210" i="5" s="1"/>
  <c r="N226" i="5"/>
  <c r="Q226" i="5" s="1"/>
  <c r="P15" i="6"/>
  <c r="S15" i="6" s="1"/>
  <c r="P151" i="6"/>
  <c r="S151" i="6" s="1"/>
  <c r="O153" i="5"/>
  <c r="R153" i="5" s="1"/>
  <c r="P354" i="5"/>
  <c r="S354" i="5" s="1"/>
  <c r="P113" i="6"/>
  <c r="S113" i="6" s="1"/>
  <c r="N73" i="5"/>
  <c r="Q73" i="5" s="1"/>
  <c r="P117" i="5"/>
  <c r="S117" i="5" s="1"/>
  <c r="P145" i="5"/>
  <c r="S145" i="5" s="1"/>
  <c r="P161" i="5"/>
  <c r="S161" i="5" s="1"/>
  <c r="P179" i="5"/>
  <c r="S179" i="5" s="1"/>
  <c r="P43" i="6"/>
  <c r="S43" i="6" s="1"/>
  <c r="O175" i="5"/>
  <c r="R175" i="5" s="1"/>
  <c r="P218" i="5"/>
  <c r="S218" i="5" s="1"/>
  <c r="N269" i="5"/>
  <c r="Q269" i="5" s="1"/>
  <c r="O350" i="5"/>
  <c r="R350" i="5" s="1"/>
  <c r="P69" i="5"/>
  <c r="S69" i="5" s="1"/>
  <c r="N89" i="5"/>
  <c r="Q89" i="5" s="1"/>
  <c r="P195" i="5"/>
  <c r="S195" i="5" s="1"/>
  <c r="O214" i="5"/>
  <c r="R214" i="5" s="1"/>
  <c r="P222" i="5"/>
  <c r="S222" i="5" s="1"/>
  <c r="O230" i="5"/>
  <c r="R230" i="5" s="1"/>
  <c r="O241" i="5"/>
  <c r="R241" i="5" s="1"/>
  <c r="N249" i="5"/>
  <c r="Q249" i="5" s="1"/>
  <c r="P315" i="5"/>
  <c r="S315" i="5" s="1"/>
  <c r="O323" i="5"/>
  <c r="R323" i="5" s="1"/>
  <c r="P31" i="6"/>
  <c r="S31" i="6" s="1"/>
  <c r="O39" i="6"/>
  <c r="R39" i="6" s="1"/>
  <c r="P97" i="6"/>
  <c r="S97" i="6" s="1"/>
  <c r="O93" i="5"/>
  <c r="R93" i="5" s="1"/>
  <c r="N161" i="5"/>
  <c r="Q161" i="5" s="1"/>
  <c r="O218" i="5"/>
  <c r="R218" i="5" s="1"/>
  <c r="O234" i="5"/>
  <c r="R234" i="5" s="1"/>
  <c r="N163" i="6"/>
  <c r="Q163" i="6" s="1"/>
  <c r="P63" i="5"/>
  <c r="S63" i="5" s="1"/>
  <c r="P85" i="5"/>
  <c r="S85" i="5" s="1"/>
  <c r="N105" i="5"/>
  <c r="Q105" i="5" s="1"/>
  <c r="N165" i="5"/>
  <c r="Q165" i="5" s="1"/>
  <c r="N183" i="5"/>
  <c r="Q183" i="5" s="1"/>
  <c r="O191" i="5"/>
  <c r="R191" i="5" s="1"/>
  <c r="N319" i="5"/>
  <c r="Q319" i="5" s="1"/>
  <c r="P370" i="5"/>
  <c r="S370" i="5" s="1"/>
  <c r="O27" i="6"/>
  <c r="R27" i="6" s="1"/>
  <c r="O93" i="6"/>
  <c r="R93" i="6" s="1"/>
  <c r="P212" i="6"/>
  <c r="S212" i="6" s="1"/>
  <c r="N220" i="6"/>
  <c r="Q220" i="6" s="1"/>
  <c r="P57" i="7"/>
  <c r="S57" i="7" s="1"/>
  <c r="O243" i="6"/>
  <c r="R243" i="6" s="1"/>
  <c r="N337" i="6"/>
  <c r="Q337" i="6" s="1"/>
  <c r="O85" i="7"/>
  <c r="R85" i="7" s="1"/>
  <c r="N252" i="7"/>
  <c r="Q252" i="7" s="1"/>
  <c r="N307" i="7"/>
  <c r="Q307" i="7" s="1"/>
  <c r="P330" i="7"/>
  <c r="S330" i="7" s="1"/>
  <c r="P255" i="6"/>
  <c r="S255" i="6" s="1"/>
  <c r="N209" i="7"/>
  <c r="Q209" i="7" s="1"/>
  <c r="N232" i="6"/>
  <c r="Q232" i="6" s="1"/>
  <c r="N294" i="6"/>
  <c r="Q294" i="6" s="1"/>
  <c r="N61" i="7"/>
  <c r="Q61" i="7" s="1"/>
  <c r="N93" i="7"/>
  <c r="Q93" i="7" s="1"/>
  <c r="N186" i="7"/>
  <c r="Q186" i="7" s="1"/>
  <c r="O299" i="7"/>
  <c r="R299" i="7" s="1"/>
  <c r="O232" i="6"/>
  <c r="R232" i="6" s="1"/>
  <c r="N247" i="6"/>
  <c r="Q247" i="6" s="1"/>
  <c r="N7" i="7"/>
  <c r="Q7" i="7" s="1"/>
  <c r="N121" i="7"/>
  <c r="Q121" i="7" s="1"/>
  <c r="N143" i="7"/>
  <c r="Q143" i="7" s="1"/>
  <c r="P198" i="7"/>
  <c r="S198" i="7" s="1"/>
  <c r="P314" i="7"/>
  <c r="S314" i="7" s="1"/>
  <c r="O185" i="6"/>
  <c r="R185" i="6" s="1"/>
  <c r="P232" i="6"/>
  <c r="S232" i="6" s="1"/>
  <c r="O247" i="6"/>
  <c r="R247" i="6" s="1"/>
  <c r="N278" i="6"/>
  <c r="Q278" i="6" s="1"/>
  <c r="N321" i="6"/>
  <c r="Q321" i="6" s="1"/>
  <c r="O69" i="7"/>
  <c r="R69" i="7" s="1"/>
  <c r="N259" i="6"/>
  <c r="Q259" i="6" s="1"/>
  <c r="O278" i="6"/>
  <c r="R278" i="6" s="1"/>
  <c r="P306" i="6"/>
  <c r="S306" i="6" s="1"/>
  <c r="O129" i="7"/>
  <c r="R129" i="7" s="1"/>
  <c r="O151" i="7"/>
  <c r="R151" i="7" s="1"/>
  <c r="N225" i="7"/>
  <c r="Q225" i="7" s="1"/>
  <c r="N268" i="7"/>
  <c r="Q268" i="7" s="1"/>
  <c r="N23" i="7"/>
  <c r="Q23" i="7" s="1"/>
  <c r="N105" i="7"/>
  <c r="Q105" i="7" s="1"/>
  <c r="N159" i="7"/>
  <c r="Q159" i="7" s="1"/>
  <c r="O233" i="7"/>
  <c r="R233" i="7" s="1"/>
  <c r="S974" i="4" l="1"/>
  <c r="R974" i="4"/>
  <c r="R1418" i="4"/>
  <c r="S1418" i="4"/>
  <c r="S851" i="4"/>
  <c r="R851" i="4"/>
  <c r="R636" i="4"/>
  <c r="S636" i="4"/>
  <c r="R1295" i="4"/>
  <c r="S1295" i="4"/>
  <c r="S1136" i="4"/>
  <c r="R1136" i="4"/>
  <c r="S1279" i="4"/>
  <c r="R1279" i="4"/>
  <c r="S1006" i="4"/>
  <c r="R1006" i="4"/>
  <c r="S552" i="4"/>
  <c r="R552" i="4"/>
  <c r="R1386" i="4"/>
  <c r="S1386" i="4"/>
  <c r="S1350" i="4"/>
  <c r="R1350" i="4"/>
  <c r="S1366" i="4"/>
  <c r="R1366" i="4"/>
  <c r="R1482" i="4"/>
  <c r="S1482" i="4"/>
  <c r="S469" i="4"/>
  <c r="R469" i="4"/>
  <c r="R572" i="4"/>
  <c r="S572" i="4"/>
  <c r="R1227" i="4"/>
  <c r="S1227" i="4"/>
  <c r="S1104" i="4"/>
  <c r="R1104" i="4"/>
  <c r="R242" i="4"/>
  <c r="S242" i="4"/>
  <c r="R322" i="4"/>
  <c r="S322" i="4"/>
  <c r="S1152" i="4"/>
  <c r="R1152" i="4"/>
  <c r="S894" i="4"/>
  <c r="R894" i="4"/>
  <c r="S803" i="4"/>
  <c r="R803" i="4"/>
  <c r="S517" i="4"/>
  <c r="R517" i="4"/>
  <c r="S238" i="4"/>
  <c r="R238" i="4"/>
  <c r="S318" i="4"/>
  <c r="R318" i="4"/>
  <c r="R1354" i="4"/>
  <c r="S1354" i="4"/>
  <c r="S942" i="4"/>
  <c r="R942" i="4"/>
  <c r="R680" i="4"/>
  <c r="S680" i="4"/>
  <c r="S787" i="4"/>
  <c r="R787" i="4"/>
  <c r="S425" i="4"/>
  <c r="R425" i="4"/>
  <c r="R1343" i="4"/>
  <c r="S1343" i="4"/>
  <c r="S1072" i="4"/>
  <c r="R1072" i="4"/>
  <c r="R668" i="4"/>
  <c r="S668" i="4"/>
  <c r="R588" i="4"/>
  <c r="S588" i="4"/>
  <c r="R306" i="4"/>
  <c r="S306" i="4"/>
  <c r="R652" i="4"/>
  <c r="S652" i="4"/>
  <c r="S1040" i="4"/>
  <c r="R1040" i="4"/>
  <c r="R620" i="4"/>
  <c r="S620" i="4"/>
  <c r="R1211" i="4"/>
  <c r="S1211" i="4"/>
  <c r="S878" i="4"/>
  <c r="R878" i="4"/>
  <c r="R453" i="4"/>
  <c r="S453" i="4"/>
  <c r="S302" i="4"/>
  <c r="R302" i="4"/>
  <c r="R258" i="4"/>
  <c r="S258" i="4"/>
  <c r="S449" i="4"/>
  <c r="R449" i="4"/>
  <c r="S525" i="4"/>
  <c r="R525" i="4"/>
  <c r="R1434" i="4"/>
  <c r="S1434" i="4"/>
  <c r="S1414" i="4"/>
  <c r="R1414" i="4"/>
  <c r="S254" i="4"/>
  <c r="R254" i="4"/>
  <c r="S15" i="4"/>
  <c r="R15" i="4"/>
</calcChain>
</file>

<file path=xl/sharedStrings.xml><?xml version="1.0" encoding="utf-8"?>
<sst xmlns="http://schemas.openxmlformats.org/spreadsheetml/2006/main" count="5714" uniqueCount="189">
  <si>
    <t xml:space="preserve">T soil </t>
  </si>
  <si>
    <t>N2O (ppm)</t>
  </si>
  <si>
    <t>CH4 (ppm)</t>
  </si>
  <si>
    <t>CO2 (ppm)</t>
  </si>
  <si>
    <t>Treatment</t>
  </si>
  <si>
    <r>
      <t>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O-N 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/L)</t>
    </r>
  </si>
  <si>
    <r>
      <t>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>-C 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/L)</t>
    </r>
  </si>
  <si>
    <r>
      <t>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-C 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/L)</t>
    </r>
  </si>
  <si>
    <r>
      <t>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O-N 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 min)</t>
    </r>
  </si>
  <si>
    <r>
      <t>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>-C 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 min)</t>
    </r>
  </si>
  <si>
    <r>
      <t>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-C(</t>
    </r>
    <r>
      <rPr>
        <b/>
        <sz val="10"/>
        <color rgb="FF000000"/>
        <rFont val="Calibri"/>
        <family val="2"/>
      </rPr>
      <t>μg</t>
    </r>
    <r>
      <rPr>
        <b/>
        <sz val="10"/>
        <color rgb="FF000000"/>
        <rFont val="Arial"/>
        <family val="2"/>
      </rPr>
      <t>/L min)</t>
    </r>
  </si>
  <si>
    <r>
      <t>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O-N (m</t>
    </r>
    <r>
      <rPr>
        <b/>
        <sz val="10"/>
        <color rgb="FF000000"/>
        <rFont val="Calibri"/>
        <family val="2"/>
      </rPr>
      <t>g m</t>
    </r>
    <r>
      <rPr>
        <b/>
        <vertAlign val="superscript"/>
        <sz val="10"/>
        <color rgb="FF000000"/>
        <rFont val="Calibri"/>
        <family val="2"/>
      </rPr>
      <t>-2</t>
    </r>
    <r>
      <rPr>
        <b/>
        <sz val="10"/>
        <color rgb="FF000000"/>
        <rFont val="Calibri"/>
        <family val="2"/>
      </rPr>
      <t xml:space="preserve"> h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</si>
  <si>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>-C (</t>
    </r>
    <r>
      <rPr>
        <b/>
        <sz val="10"/>
        <color rgb="FF000000"/>
        <rFont val="Calibri"/>
        <family val="2"/>
      </rPr>
      <t>μg m</t>
    </r>
    <r>
      <rPr>
        <b/>
        <vertAlign val="superscript"/>
        <sz val="10"/>
        <color rgb="FF000000"/>
        <rFont val="Calibri"/>
        <family val="2"/>
      </rPr>
      <t>-2</t>
    </r>
    <r>
      <rPr>
        <b/>
        <sz val="10"/>
        <color rgb="FF000000"/>
        <rFont val="Calibri"/>
        <family val="2"/>
      </rPr>
      <t xml:space="preserve"> h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</si>
  <si>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-C (m</t>
    </r>
    <r>
      <rPr>
        <b/>
        <sz val="10"/>
        <color rgb="FF000000"/>
        <rFont val="Calibri"/>
        <family val="2"/>
      </rPr>
      <t>g m</t>
    </r>
    <r>
      <rPr>
        <b/>
        <vertAlign val="superscript"/>
        <sz val="10"/>
        <color rgb="FF000000"/>
        <rFont val="Calibri"/>
        <family val="2"/>
      </rPr>
      <t>-2</t>
    </r>
    <r>
      <rPr>
        <b/>
        <sz val="10"/>
        <color rgb="FF000000"/>
        <rFont val="Calibri"/>
        <family val="2"/>
      </rPr>
      <t xml:space="preserve"> h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</si>
  <si>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 xml:space="preserve">5 May 2022 </t>
  </si>
  <si>
    <t>Without base</t>
  </si>
  <si>
    <t xml:space="preserve">Fertilized plots </t>
  </si>
  <si>
    <t xml:space="preserve">Ref, plots </t>
  </si>
  <si>
    <t>B1 - 5/5</t>
  </si>
  <si>
    <t>B2 - 5/5</t>
  </si>
  <si>
    <t>B3 - 5/5</t>
  </si>
  <si>
    <t xml:space="preserve">20 May 2022 </t>
  </si>
  <si>
    <t>B1</t>
  </si>
  <si>
    <t>B2</t>
  </si>
  <si>
    <t>29 May 2022</t>
  </si>
  <si>
    <t>10 june 2023</t>
  </si>
  <si>
    <t>19 june 2023</t>
  </si>
  <si>
    <t>4 July 2023</t>
  </si>
  <si>
    <t>13 July 2023</t>
  </si>
  <si>
    <t xml:space="preserve">With bases </t>
  </si>
  <si>
    <t>Beauregard's July 26, 2022</t>
  </si>
  <si>
    <t>BA4</t>
  </si>
  <si>
    <t>BA5</t>
  </si>
  <si>
    <t>BA6</t>
  </si>
  <si>
    <t>Beauregard's Aug 11, 2022</t>
  </si>
  <si>
    <t>BA13</t>
  </si>
  <si>
    <t>BA14</t>
  </si>
  <si>
    <t>BA15</t>
  </si>
  <si>
    <t>16 Sep 2023, Beauregard</t>
  </si>
  <si>
    <t>A16</t>
  </si>
  <si>
    <t>A17</t>
  </si>
  <si>
    <t>A18</t>
  </si>
  <si>
    <t>9 May 2022</t>
  </si>
  <si>
    <t xml:space="preserve">Without base </t>
  </si>
  <si>
    <t>Tair = 22.1</t>
  </si>
  <si>
    <t>C1 - 5/5</t>
  </si>
  <si>
    <t>C2 - 5/5</t>
  </si>
  <si>
    <t>C3 - 5/5</t>
  </si>
  <si>
    <t>20 May 2022</t>
  </si>
  <si>
    <t>Tair = 17.5</t>
  </si>
  <si>
    <t>C1</t>
  </si>
  <si>
    <t>C2</t>
  </si>
  <si>
    <t>22 May 2022</t>
  </si>
  <si>
    <t>Tair = 23</t>
  </si>
  <si>
    <t>Air 1</t>
  </si>
  <si>
    <t>Air 2</t>
  </si>
  <si>
    <t>29  May 2022</t>
  </si>
  <si>
    <t>Tair = 27.7</t>
  </si>
  <si>
    <t>A7</t>
  </si>
  <si>
    <t>A8</t>
  </si>
  <si>
    <t>Tair = 20</t>
  </si>
  <si>
    <t>Tair = 20.9</t>
  </si>
  <si>
    <t>28 june 2023</t>
  </si>
  <si>
    <t xml:space="preserve">With base </t>
  </si>
  <si>
    <t>Tair = 23.5</t>
  </si>
  <si>
    <t>A10</t>
  </si>
  <si>
    <t>A11</t>
  </si>
  <si>
    <t>A12</t>
  </si>
  <si>
    <t>14 July 2023</t>
  </si>
  <si>
    <t>Tair = 22.4</t>
  </si>
  <si>
    <t>20 July 2023</t>
  </si>
  <si>
    <t>Tair = 26.1</t>
  </si>
  <si>
    <t>Cote's Aug 11, 2022</t>
  </si>
  <si>
    <t>Tair = 23.4</t>
  </si>
  <si>
    <t>CA16</t>
  </si>
  <si>
    <t>CA17</t>
  </si>
  <si>
    <t>CA18</t>
  </si>
  <si>
    <t>16 Sep 2023, Cote</t>
  </si>
  <si>
    <t>A13</t>
  </si>
  <si>
    <t>A14</t>
  </si>
  <si>
    <t>A15</t>
  </si>
  <si>
    <t>5 May 2022</t>
  </si>
  <si>
    <t>Tair = 13</t>
  </si>
  <si>
    <t>Ref plots</t>
  </si>
  <si>
    <t>L1 - 5/5</t>
  </si>
  <si>
    <t>L2 - 5/5</t>
  </si>
  <si>
    <t>L3 - 5/5</t>
  </si>
  <si>
    <t>Tair = 25.3</t>
  </si>
  <si>
    <t>L1</t>
  </si>
  <si>
    <t>L2</t>
  </si>
  <si>
    <t>29 MAY 2023</t>
  </si>
  <si>
    <t>Tair = 26.3</t>
  </si>
  <si>
    <t>A9</t>
  </si>
  <si>
    <t>Tair = 20.2</t>
  </si>
  <si>
    <t>25 JUNE 2023</t>
  </si>
  <si>
    <t>Tair = 30.7</t>
  </si>
  <si>
    <t>Tair = 24.4</t>
  </si>
  <si>
    <t>13 july 2023</t>
  </si>
  <si>
    <t>Tair = 26.4</t>
  </si>
  <si>
    <t>Leblanc's July 26, 2022</t>
  </si>
  <si>
    <t>Tair = 22.5</t>
  </si>
  <si>
    <t>LBA1</t>
  </si>
  <si>
    <t>LBA2</t>
  </si>
  <si>
    <t>LBA3</t>
  </si>
  <si>
    <t>Leblanc's Aug 11, 2022</t>
  </si>
  <si>
    <t>Tair = 24.3</t>
  </si>
  <si>
    <t>LBA10</t>
  </si>
  <si>
    <t>LBA11</t>
  </si>
  <si>
    <t>LBA12</t>
  </si>
  <si>
    <t xml:space="preserve">16 Sep 2023, Leblanc </t>
  </si>
  <si>
    <t xml:space="preserve">4R - Prelimenary sampling </t>
  </si>
  <si>
    <t>Air 3</t>
  </si>
  <si>
    <t>4R - 18 May 2022</t>
  </si>
  <si>
    <t>28 May 2022</t>
  </si>
  <si>
    <t>A1</t>
  </si>
  <si>
    <t>A2</t>
  </si>
  <si>
    <t>A3</t>
  </si>
  <si>
    <t>4R - 8th June 2022 - 501-660</t>
  </si>
  <si>
    <t xml:space="preserve">Exetainer/595 was opened </t>
  </si>
  <si>
    <t>4R- 19 June 2022</t>
  </si>
  <si>
    <t>25 june 2023</t>
  </si>
  <si>
    <t>4R - 27th June 2022</t>
  </si>
  <si>
    <t xml:space="preserve">Exetainer # 257 was broken </t>
  </si>
  <si>
    <t xml:space="preserve">4R - 13th July 2022 </t>
  </si>
  <si>
    <t>4R August 9, 2022</t>
  </si>
  <si>
    <t>4RA1</t>
  </si>
  <si>
    <t>4RA2</t>
  </si>
  <si>
    <t>4RA3</t>
  </si>
  <si>
    <t>4R October 15, 2022</t>
  </si>
  <si>
    <t xml:space="preserve">Ref plots </t>
  </si>
  <si>
    <t>Tair = 14</t>
  </si>
  <si>
    <t>21 May 2022</t>
  </si>
  <si>
    <t>tair = 24.6</t>
  </si>
  <si>
    <t>29 May 2023</t>
  </si>
  <si>
    <t>tair = 27.1</t>
  </si>
  <si>
    <t>11 june 2023</t>
  </si>
  <si>
    <t>tair = 28.1</t>
  </si>
  <si>
    <t>tair = 23.7</t>
  </si>
  <si>
    <t>tair = 32.1</t>
  </si>
  <si>
    <t xml:space="preserve">W basis </t>
  </si>
  <si>
    <t>tair = 24.5</t>
  </si>
  <si>
    <t>tair = 24.7</t>
  </si>
  <si>
    <t>tair = 28.7</t>
  </si>
  <si>
    <t>Robert's Aug 10, 2022</t>
  </si>
  <si>
    <t>tair = 19.8</t>
  </si>
  <si>
    <t>RA1</t>
  </si>
  <si>
    <t>RA2</t>
  </si>
  <si>
    <t>RA3</t>
  </si>
  <si>
    <t>tair = 13,6</t>
  </si>
  <si>
    <t>14 May 2022</t>
  </si>
  <si>
    <t>Tair = 35.1</t>
  </si>
  <si>
    <t>Tair = 24.7</t>
  </si>
  <si>
    <t>Air 4</t>
  </si>
  <si>
    <t>Tair = 25.7</t>
  </si>
  <si>
    <t>Tair = 24</t>
  </si>
  <si>
    <t>A4</t>
  </si>
  <si>
    <t>A5</t>
  </si>
  <si>
    <t>A6</t>
  </si>
  <si>
    <t>28 JUNE 2023</t>
  </si>
  <si>
    <t>Tair = 29.6</t>
  </si>
  <si>
    <t>Levesque's Aug 10, 2022</t>
  </si>
  <si>
    <t>LA4</t>
  </si>
  <si>
    <t>LA5</t>
  </si>
  <si>
    <t>LA6</t>
  </si>
  <si>
    <t>Tair = 31</t>
  </si>
  <si>
    <t>Air 5</t>
  </si>
  <si>
    <t>Air 6</t>
  </si>
  <si>
    <t>Tair = 25.5</t>
  </si>
  <si>
    <t>Tair = 25.9</t>
  </si>
  <si>
    <t>Tair = 24.9</t>
  </si>
  <si>
    <t>Tair = 28.1</t>
  </si>
  <si>
    <t>29 JUNE 2023</t>
  </si>
  <si>
    <t>Tair = 28.9</t>
  </si>
  <si>
    <t>Sunny Hill's Aug 10, 2022</t>
  </si>
  <si>
    <t>Tair = 24.1</t>
  </si>
  <si>
    <t>SHA7</t>
  </si>
  <si>
    <t>SHA8</t>
  </si>
  <si>
    <t>SHA9</t>
  </si>
  <si>
    <t>15 Sep 2023, Janesek</t>
  </si>
  <si>
    <t>Tair = 14,8</t>
  </si>
  <si>
    <t>Sampling Date</t>
  </si>
  <si>
    <t>Sample ID</t>
  </si>
  <si>
    <t>N₂O (ppm)</t>
  </si>
  <si>
    <t>CO₂ (ppm)</t>
  </si>
  <si>
    <t xml:space="preserve">CH₄ (ppm) </t>
  </si>
  <si>
    <t>Time points (min)</t>
  </si>
  <si>
    <t>Chamber volume (L)</t>
  </si>
  <si>
    <t>Chamber area (m²)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</si>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</sst>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\-yy"/>
  </numFmts>
  <fonts count="10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vertAlign val="superscript"/>
      <sz val="10"/>
      <color rgb="FF000000"/>
      <name val="Calibri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cham.benslim/Desktop/Total%20results%20-%20Summer%202022/18%20May%202022-%20Julie%20+%20PALCCA+Solio%20-Total%20resul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euil1"/>
    </sheetNames>
    <sheetDataSet>
      <sheetData sheetId="0">
        <row r="9">
          <cell r="K9">
            <v>295.15404524524547</v>
          </cell>
          <cell r="L9">
            <v>10278.608928928927</v>
          </cell>
          <cell r="N9">
            <v>70.023547705150094</v>
          </cell>
          <cell r="O9">
            <v>74.446782043612913</v>
          </cell>
          <cell r="Q9">
            <v>3029.9755082552292</v>
          </cell>
          <cell r="R9">
            <v>100.73384548629021</v>
          </cell>
        </row>
        <row r="1201">
          <cell r="E1201">
            <v>5061</v>
          </cell>
          <cell r="F1201">
            <v>207.8</v>
          </cell>
          <cell r="G1201">
            <v>46469.5</v>
          </cell>
          <cell r="H1201">
            <v>0.46366643460297263</v>
          </cell>
          <cell r="I1201">
            <v>1.8506703515289189</v>
          </cell>
          <cell r="J1201">
            <v>431.23067805107127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4B2F-FFD7-4211-B1EF-2BACE4E62BA6}">
  <dimension ref="A2:T344"/>
  <sheetViews>
    <sheetView workbookViewId="0">
      <selection activeCell="C2" sqref="C2"/>
    </sheetView>
  </sheetViews>
  <sheetFormatPr defaultColWidth="11.5546875" defaultRowHeight="14.4" x14ac:dyDescent="0.3"/>
  <cols>
    <col min="1" max="1" width="11.5546875" style="1" customWidth="1"/>
    <col min="2" max="2" width="15.44140625" style="1" customWidth="1"/>
    <col min="3" max="3" width="21.88671875" style="13" customWidth="1"/>
    <col min="4" max="4" width="22.88671875" style="13" customWidth="1"/>
    <col min="5" max="5" width="15.5546875" style="1" customWidth="1"/>
    <col min="6" max="6" width="23" style="1" bestFit="1" customWidth="1"/>
    <col min="7" max="7" width="17.6640625" style="1" customWidth="1"/>
    <col min="8" max="10" width="11.5546875" style="1" customWidth="1"/>
    <col min="11" max="11" width="20.5546875" style="1" customWidth="1"/>
    <col min="12" max="12" width="18.44140625" style="1" customWidth="1"/>
    <col min="13" max="13" width="11.5546875" style="1" customWidth="1"/>
    <col min="14" max="14" width="19.88671875" style="1" customWidth="1"/>
    <col min="15" max="15" width="19" style="1" customWidth="1"/>
    <col min="16" max="16" width="17.44140625" style="1" customWidth="1"/>
    <col min="17" max="17" width="19.5546875" style="1" customWidth="1"/>
    <col min="18" max="18" width="23.5546875" style="1" customWidth="1"/>
    <col min="19" max="19" width="19.44140625" style="1" customWidth="1"/>
    <col min="20" max="20" width="21.88671875" style="1" customWidth="1"/>
    <col min="21" max="21" width="11.5546875" customWidth="1"/>
  </cols>
  <sheetData>
    <row r="2" spans="2:20" x14ac:dyDescent="0.3">
      <c r="B2" s="1" t="s">
        <v>180</v>
      </c>
      <c r="C2" s="13" t="s">
        <v>186</v>
      </c>
      <c r="D2" s="13" t="s">
        <v>187</v>
      </c>
      <c r="E2" s="13" t="s">
        <v>188</v>
      </c>
      <c r="F2" s="1" t="s">
        <v>181</v>
      </c>
      <c r="G2" s="13" t="s">
        <v>185</v>
      </c>
      <c r="H2" s="13" t="s">
        <v>182</v>
      </c>
      <c r="I2" s="13" t="s">
        <v>184</v>
      </c>
      <c r="J2" s="12" t="s">
        <v>183</v>
      </c>
      <c r="K2" s="2" t="s">
        <v>4</v>
      </c>
      <c r="L2" s="3"/>
      <c r="M2" s="3"/>
      <c r="N2" s="3"/>
      <c r="O2" s="13"/>
      <c r="P2" s="13"/>
      <c r="Q2" s="13"/>
      <c r="R2" s="3"/>
      <c r="S2" s="13"/>
      <c r="T2" s="3"/>
    </row>
    <row r="3" spans="2:20" x14ac:dyDescent="0.3">
      <c r="B3" s="1" t="s">
        <v>14</v>
      </c>
      <c r="C3" s="13">
        <v>41.35</v>
      </c>
      <c r="D3" s="13">
        <v>0.31</v>
      </c>
      <c r="E3" s="1">
        <v>11</v>
      </c>
      <c r="F3" s="1">
        <v>1</v>
      </c>
      <c r="G3" s="1">
        <v>0</v>
      </c>
      <c r="H3" s="1">
        <v>0.41427259118403592</v>
      </c>
      <c r="I3" s="1">
        <v>33.756683409400054</v>
      </c>
      <c r="J3" s="1">
        <v>398.08690215447461</v>
      </c>
      <c r="K3" s="1" t="s">
        <v>16</v>
      </c>
      <c r="R3" s="13"/>
      <c r="S3" s="13"/>
      <c r="T3" s="13"/>
    </row>
    <row r="4" spans="2:20" x14ac:dyDescent="0.3">
      <c r="B4" s="1">
        <v>10</v>
      </c>
      <c r="C4" s="13">
        <v>41.35</v>
      </c>
      <c r="D4" s="13">
        <v>0.31</v>
      </c>
      <c r="E4" s="1">
        <v>11</v>
      </c>
      <c r="F4" s="1">
        <v>2</v>
      </c>
      <c r="G4" s="1">
        <v>15</v>
      </c>
      <c r="H4" s="1">
        <v>0.41832956039926078</v>
      </c>
      <c r="I4" s="1">
        <v>1.7069435213520059</v>
      </c>
      <c r="J4" s="1">
        <v>455.11341565913199</v>
      </c>
      <c r="K4" s="1" t="s">
        <v>16</v>
      </c>
    </row>
    <row r="5" spans="2:20" x14ac:dyDescent="0.3">
      <c r="B5" s="1">
        <v>11</v>
      </c>
      <c r="C5" s="13">
        <v>41.35</v>
      </c>
      <c r="D5" s="13">
        <v>0.31</v>
      </c>
      <c r="E5" s="1">
        <v>11</v>
      </c>
      <c r="F5" s="1">
        <v>3</v>
      </c>
      <c r="G5" s="1">
        <v>30</v>
      </c>
      <c r="H5" s="1">
        <v>0.42020724639095958</v>
      </c>
      <c r="I5" s="1">
        <v>1.6464976581934911</v>
      </c>
      <c r="J5" s="1">
        <v>447.40299820955977</v>
      </c>
      <c r="K5" s="1" t="s">
        <v>16</v>
      </c>
    </row>
    <row r="6" spans="2:20" x14ac:dyDescent="0.3">
      <c r="C6" s="13">
        <v>41.35</v>
      </c>
      <c r="D6" s="13">
        <v>0.31</v>
      </c>
      <c r="E6" s="1">
        <v>11</v>
      </c>
      <c r="F6" s="1">
        <v>4</v>
      </c>
      <c r="G6" s="1">
        <v>45</v>
      </c>
      <c r="H6" s="1">
        <v>0.42046992785093817</v>
      </c>
      <c r="I6" s="1">
        <v>1.931264835740272</v>
      </c>
      <c r="J6" s="1">
        <v>445.49003639350138</v>
      </c>
      <c r="K6" s="1" t="s">
        <v>16</v>
      </c>
    </row>
    <row r="7" spans="2:20" x14ac:dyDescent="0.3">
      <c r="C7" s="13">
        <v>41.35</v>
      </c>
      <c r="D7" s="13">
        <v>0.31</v>
      </c>
      <c r="E7" s="1">
        <v>11</v>
      </c>
      <c r="F7" s="1">
        <v>5</v>
      </c>
      <c r="G7" s="1">
        <v>0</v>
      </c>
      <c r="H7" s="1">
        <v>0.41775555276449278</v>
      </c>
      <c r="I7" s="1">
        <v>1.9930539403023091</v>
      </c>
      <c r="J7" s="1">
        <v>398.90390660419746</v>
      </c>
      <c r="K7" s="1" t="s">
        <v>16</v>
      </c>
    </row>
    <row r="8" spans="2:20" x14ac:dyDescent="0.3">
      <c r="C8" s="13">
        <v>41.35</v>
      </c>
      <c r="D8" s="13">
        <v>0.31</v>
      </c>
      <c r="E8" s="1">
        <v>11</v>
      </c>
      <c r="F8" s="1">
        <v>6</v>
      </c>
      <c r="G8" s="1">
        <v>15</v>
      </c>
      <c r="H8" s="1">
        <v>0.41900085746365046</v>
      </c>
      <c r="I8" s="1">
        <v>1.6303787613512206</v>
      </c>
      <c r="J8" s="1">
        <v>419.01333447544562</v>
      </c>
      <c r="K8" s="1" t="s">
        <v>16</v>
      </c>
    </row>
    <row r="9" spans="2:20" x14ac:dyDescent="0.3">
      <c r="C9" s="13">
        <v>41.35</v>
      </c>
      <c r="D9" s="13">
        <v>0.31</v>
      </c>
      <c r="E9" s="1">
        <v>11</v>
      </c>
      <c r="F9" s="1">
        <v>7</v>
      </c>
      <c r="G9" s="1">
        <v>30</v>
      </c>
      <c r="H9" s="1">
        <v>0.41972079924285111</v>
      </c>
      <c r="I9" s="1">
        <v>1.6451544167899685</v>
      </c>
      <c r="J9" s="1">
        <v>418.10797839021188</v>
      </c>
      <c r="K9" s="1" t="s">
        <v>16</v>
      </c>
    </row>
    <row r="10" spans="2:20" x14ac:dyDescent="0.3">
      <c r="C10" s="13">
        <v>41.35</v>
      </c>
      <c r="D10" s="13">
        <v>0.31</v>
      </c>
      <c r="E10" s="1">
        <v>11</v>
      </c>
      <c r="F10" s="1">
        <v>8</v>
      </c>
      <c r="G10" s="1">
        <v>45</v>
      </c>
      <c r="H10" s="1">
        <v>0.42343725545439997</v>
      </c>
      <c r="I10" s="1">
        <v>1.6639597964392843</v>
      </c>
      <c r="J10" s="1">
        <v>427.96861654221402</v>
      </c>
      <c r="K10" s="1" t="s">
        <v>16</v>
      </c>
    </row>
    <row r="11" spans="2:20" x14ac:dyDescent="0.3">
      <c r="C11" s="13">
        <v>41.35</v>
      </c>
      <c r="D11" s="13">
        <v>0.31</v>
      </c>
      <c r="E11" s="1">
        <v>11</v>
      </c>
      <c r="F11" s="1">
        <v>9</v>
      </c>
      <c r="G11" s="1">
        <v>0</v>
      </c>
      <c r="H11" s="1">
        <v>0.42038236736427864</v>
      </c>
      <c r="I11" s="1">
        <v>1.7472407634576823</v>
      </c>
      <c r="J11" s="1">
        <v>390.78548328726674</v>
      </c>
      <c r="K11" s="1" t="s">
        <v>16</v>
      </c>
    </row>
    <row r="12" spans="2:20" x14ac:dyDescent="0.3">
      <c r="C12" s="13">
        <v>41.35</v>
      </c>
      <c r="D12" s="13">
        <v>0.31</v>
      </c>
      <c r="E12" s="1">
        <v>11</v>
      </c>
      <c r="F12" s="1">
        <v>10</v>
      </c>
      <c r="G12" s="1">
        <v>15</v>
      </c>
      <c r="H12" s="1">
        <v>0.4254122308757205</v>
      </c>
      <c r="I12" s="1">
        <v>1.6867949002991676</v>
      </c>
      <c r="J12" s="1">
        <v>441.24220888394569</v>
      </c>
      <c r="K12" s="1" t="s">
        <v>16</v>
      </c>
    </row>
    <row r="13" spans="2:20" x14ac:dyDescent="0.3">
      <c r="C13" s="13">
        <v>41.35</v>
      </c>
      <c r="D13" s="13">
        <v>0.31</v>
      </c>
      <c r="E13" s="1">
        <v>11</v>
      </c>
      <c r="F13" s="1">
        <v>11</v>
      </c>
      <c r="G13" s="1">
        <v>30</v>
      </c>
      <c r="H13" s="1">
        <v>0.42209466132562051</v>
      </c>
      <c r="I13" s="1">
        <v>1.6559003480181491</v>
      </c>
      <c r="J13" s="1">
        <v>435.43184795535723</v>
      </c>
      <c r="K13" s="1" t="s">
        <v>16</v>
      </c>
    </row>
    <row r="14" spans="2:20" x14ac:dyDescent="0.3">
      <c r="C14" s="13">
        <v>41.35</v>
      </c>
      <c r="D14" s="13">
        <v>0.31</v>
      </c>
      <c r="E14" s="1">
        <v>11</v>
      </c>
      <c r="F14" s="1">
        <v>12</v>
      </c>
      <c r="G14" s="1">
        <v>45</v>
      </c>
      <c r="H14" s="1">
        <v>0.42277568733297244</v>
      </c>
      <c r="I14" s="1">
        <v>1.6948543487203027</v>
      </c>
      <c r="J14" s="1">
        <v>435.6969028618895</v>
      </c>
      <c r="K14" s="1" t="s">
        <v>16</v>
      </c>
    </row>
    <row r="15" spans="2:20" x14ac:dyDescent="0.3">
      <c r="C15" s="13">
        <v>41.35</v>
      </c>
      <c r="D15" s="13">
        <v>0.31</v>
      </c>
      <c r="E15" s="1">
        <v>11</v>
      </c>
      <c r="F15" s="1">
        <v>13</v>
      </c>
      <c r="G15" s="1">
        <v>0</v>
      </c>
      <c r="H15" s="1">
        <v>0.42248381904410731</v>
      </c>
      <c r="I15" s="1">
        <v>1.8023136610021069</v>
      </c>
      <c r="J15" s="1">
        <v>390.50752308565995</v>
      </c>
      <c r="K15" s="1" t="s">
        <v>16</v>
      </c>
    </row>
    <row r="16" spans="2:20" x14ac:dyDescent="0.3">
      <c r="C16" s="13">
        <v>41.35</v>
      </c>
      <c r="D16" s="13">
        <v>0.31</v>
      </c>
      <c r="E16" s="1">
        <v>11</v>
      </c>
      <c r="F16" s="1">
        <v>14</v>
      </c>
      <c r="G16" s="1">
        <v>15</v>
      </c>
      <c r="H16" s="1">
        <v>0.42763042987109523</v>
      </c>
      <c r="I16" s="1">
        <v>1.6626165550357619</v>
      </c>
      <c r="J16" s="1">
        <v>458.12233484152586</v>
      </c>
      <c r="K16" s="1" t="s">
        <v>16</v>
      </c>
    </row>
    <row r="17" spans="3:11" x14ac:dyDescent="0.3">
      <c r="C17" s="13">
        <v>41.35</v>
      </c>
      <c r="D17" s="13">
        <v>0.31</v>
      </c>
      <c r="E17" s="1">
        <v>11</v>
      </c>
      <c r="F17" s="1">
        <v>15</v>
      </c>
      <c r="G17" s="1">
        <v>30</v>
      </c>
      <c r="H17" s="1">
        <v>0.43015022609829723</v>
      </c>
      <c r="I17" s="1">
        <v>1.6411246925794007</v>
      </c>
      <c r="J17" s="1">
        <v>448.83846410785787</v>
      </c>
      <c r="K17" s="1" t="s">
        <v>16</v>
      </c>
    </row>
    <row r="18" spans="3:11" x14ac:dyDescent="0.3">
      <c r="C18" s="13">
        <v>41.35</v>
      </c>
      <c r="D18" s="13">
        <v>0.31</v>
      </c>
      <c r="E18" s="1">
        <v>11</v>
      </c>
      <c r="F18" s="1">
        <v>16</v>
      </c>
      <c r="G18" s="1">
        <v>45</v>
      </c>
      <c r="H18" s="1">
        <v>0.4289535661139503</v>
      </c>
      <c r="I18" s="1">
        <v>1.6639597964392843</v>
      </c>
      <c r="J18" s="1">
        <v>450.89040602471971</v>
      </c>
      <c r="K18" s="1" t="s">
        <v>16</v>
      </c>
    </row>
    <row r="19" spans="3:11" x14ac:dyDescent="0.3">
      <c r="C19" s="13">
        <v>41.35</v>
      </c>
      <c r="D19" s="13">
        <v>0.31</v>
      </c>
      <c r="E19" s="1">
        <v>11</v>
      </c>
      <c r="F19" s="1">
        <v>17</v>
      </c>
      <c r="G19" s="1">
        <v>0</v>
      </c>
      <c r="H19" s="1">
        <v>0.42488686795576325</v>
      </c>
      <c r="I19" s="1">
        <v>1.8130595922302875</v>
      </c>
      <c r="J19" s="1">
        <v>393.61869191364485</v>
      </c>
      <c r="K19" s="1" t="s">
        <v>16</v>
      </c>
    </row>
    <row r="20" spans="3:11" x14ac:dyDescent="0.3">
      <c r="C20" s="13">
        <v>41.35</v>
      </c>
      <c r="D20" s="13">
        <v>0.31</v>
      </c>
      <c r="E20" s="1">
        <v>11</v>
      </c>
      <c r="F20" s="1">
        <v>18</v>
      </c>
      <c r="G20" s="1">
        <v>15</v>
      </c>
      <c r="H20" s="1">
        <v>0.42391397365954625</v>
      </c>
      <c r="I20" s="1">
        <v>1.6639597964392843</v>
      </c>
      <c r="J20" s="1">
        <v>430.20023987511451</v>
      </c>
      <c r="K20" s="1" t="s">
        <v>16</v>
      </c>
    </row>
    <row r="21" spans="3:11" x14ac:dyDescent="0.3">
      <c r="C21" s="13">
        <v>41.35</v>
      </c>
      <c r="D21" s="13">
        <v>0.31</v>
      </c>
      <c r="E21" s="1">
        <v>11</v>
      </c>
      <c r="F21" s="1">
        <v>19</v>
      </c>
      <c r="G21" s="1">
        <v>30</v>
      </c>
      <c r="H21" s="1">
        <v>0.4239334315454707</v>
      </c>
      <c r="I21" s="1">
        <v>1.6639597964392843</v>
      </c>
      <c r="J21" s="1">
        <v>433.43450536381107</v>
      </c>
      <c r="K21" s="1" t="s">
        <v>16</v>
      </c>
    </row>
    <row r="22" spans="3:11" x14ac:dyDescent="0.3">
      <c r="C22" s="13">
        <v>41.35</v>
      </c>
      <c r="D22" s="13">
        <v>0.31</v>
      </c>
      <c r="E22" s="1">
        <v>11</v>
      </c>
      <c r="F22" s="1">
        <v>20</v>
      </c>
      <c r="G22" s="1">
        <v>45</v>
      </c>
      <c r="H22" s="1">
        <v>0.42404044991805451</v>
      </c>
      <c r="I22" s="1">
        <v>1.6518706238075813</v>
      </c>
      <c r="J22" s="1">
        <v>427.7224232207908</v>
      </c>
      <c r="K22" s="1" t="s">
        <v>16</v>
      </c>
    </row>
    <row r="23" spans="3:11" x14ac:dyDescent="0.3">
      <c r="C23" s="13">
        <v>41.35</v>
      </c>
      <c r="D23" s="13">
        <v>0.31</v>
      </c>
      <c r="E23" s="1">
        <v>11</v>
      </c>
      <c r="F23" s="1">
        <v>21</v>
      </c>
      <c r="G23" s="1">
        <v>0</v>
      </c>
      <c r="H23" s="1">
        <v>0.42513982047277971</v>
      </c>
      <c r="I23" s="1">
        <v>1.6827651760886002</v>
      </c>
      <c r="J23" s="1">
        <v>396.8350885322381</v>
      </c>
      <c r="K23" s="1" t="s">
        <v>16</v>
      </c>
    </row>
    <row r="24" spans="3:11" x14ac:dyDescent="0.3">
      <c r="C24" s="13">
        <v>41.35</v>
      </c>
      <c r="D24" s="13">
        <v>0.31</v>
      </c>
      <c r="E24" s="1">
        <v>11</v>
      </c>
      <c r="F24" s="1">
        <v>22</v>
      </c>
      <c r="G24" s="1">
        <v>15</v>
      </c>
      <c r="H24" s="1">
        <v>0.42994591829609163</v>
      </c>
      <c r="I24" s="1">
        <v>1.6800786932815548</v>
      </c>
      <c r="J24" s="1">
        <v>490.33891492276263</v>
      </c>
      <c r="K24" s="1" t="s">
        <v>16</v>
      </c>
    </row>
    <row r="25" spans="3:11" x14ac:dyDescent="0.3">
      <c r="C25" s="13">
        <v>41.35</v>
      </c>
      <c r="D25" s="13">
        <v>0.31</v>
      </c>
      <c r="E25" s="1">
        <v>11</v>
      </c>
      <c r="F25" s="1">
        <v>23</v>
      </c>
      <c r="G25" s="1">
        <v>30</v>
      </c>
      <c r="H25" s="1">
        <v>0.42593759379567764</v>
      </c>
      <c r="I25" s="1">
        <v>1.6572435894216715</v>
      </c>
      <c r="J25" s="1">
        <v>447.71371800635603</v>
      </c>
      <c r="K25" s="1" t="s">
        <v>16</v>
      </c>
    </row>
    <row r="26" spans="3:11" x14ac:dyDescent="0.3">
      <c r="C26" s="13">
        <v>41.35</v>
      </c>
      <c r="D26" s="13">
        <v>0.31</v>
      </c>
      <c r="E26" s="1">
        <v>11</v>
      </c>
      <c r="F26" s="1">
        <v>24</v>
      </c>
      <c r="G26" s="1">
        <v>45</v>
      </c>
      <c r="H26" s="1">
        <v>0.42567491233569904</v>
      </c>
      <c r="I26" s="1">
        <v>1.6518706238075813</v>
      </c>
      <c r="J26" s="1">
        <v>448.0790371284678</v>
      </c>
      <c r="K26" s="1" t="s">
        <v>16</v>
      </c>
    </row>
    <row r="27" spans="3:11" x14ac:dyDescent="0.3">
      <c r="C27" s="13">
        <v>41.35</v>
      </c>
      <c r="D27" s="13">
        <v>0.31</v>
      </c>
      <c r="E27" s="1">
        <v>11</v>
      </c>
      <c r="F27" s="1">
        <v>25</v>
      </c>
      <c r="G27" s="1">
        <v>0</v>
      </c>
      <c r="H27" s="1">
        <v>0.4253441282749853</v>
      </c>
      <c r="I27" s="1">
        <v>1.7526137290717725</v>
      </c>
      <c r="J27" s="1">
        <v>419.50075754326326</v>
      </c>
      <c r="K27" s="1" t="s">
        <v>17</v>
      </c>
    </row>
    <row r="28" spans="3:11" x14ac:dyDescent="0.3">
      <c r="C28" s="13">
        <v>41.35</v>
      </c>
      <c r="D28" s="13">
        <v>0.31</v>
      </c>
      <c r="E28" s="1">
        <v>11</v>
      </c>
      <c r="F28" s="1">
        <v>26</v>
      </c>
      <c r="G28" s="1">
        <v>15</v>
      </c>
      <c r="H28" s="1">
        <v>0.42415719723360051</v>
      </c>
      <c r="I28" s="1">
        <v>1.6585868308251941</v>
      </c>
      <c r="J28" s="1">
        <v>419.63675949904945</v>
      </c>
      <c r="K28" s="1" t="s">
        <v>17</v>
      </c>
    </row>
    <row r="29" spans="3:11" x14ac:dyDescent="0.3">
      <c r="C29" s="13">
        <v>41.35</v>
      </c>
      <c r="D29" s="13">
        <v>0.31</v>
      </c>
      <c r="E29" s="1">
        <v>11</v>
      </c>
      <c r="F29" s="1">
        <v>27</v>
      </c>
      <c r="G29" s="1">
        <v>30</v>
      </c>
      <c r="H29" s="1">
        <v>0.42550952030534217</v>
      </c>
      <c r="I29" s="1">
        <v>1.673362486263942</v>
      </c>
      <c r="J29" s="1">
        <v>440.26934817832176</v>
      </c>
      <c r="K29" s="1" t="s">
        <v>17</v>
      </c>
    </row>
    <row r="30" spans="3:11" x14ac:dyDescent="0.3">
      <c r="C30" s="13">
        <v>41.35</v>
      </c>
      <c r="D30" s="13">
        <v>0.31</v>
      </c>
      <c r="E30" s="1">
        <v>11</v>
      </c>
      <c r="F30" s="1">
        <v>28</v>
      </c>
      <c r="G30" s="1">
        <v>45</v>
      </c>
      <c r="H30" s="1">
        <v>0.42587922013790469</v>
      </c>
      <c r="I30" s="1">
        <v>1.6478408995970135</v>
      </c>
      <c r="J30" s="1">
        <v>487.01133422352666</v>
      </c>
      <c r="K30" s="1" t="s">
        <v>17</v>
      </c>
    </row>
    <row r="31" spans="3:11" x14ac:dyDescent="0.3">
      <c r="C31" s="13">
        <v>41.35</v>
      </c>
      <c r="D31" s="13">
        <v>0.31</v>
      </c>
      <c r="E31" s="1">
        <v>11</v>
      </c>
      <c r="F31" s="1">
        <v>29</v>
      </c>
      <c r="G31" s="1">
        <v>0</v>
      </c>
      <c r="H31" s="1">
        <v>0.4259862385104885</v>
      </c>
      <c r="I31" s="1">
        <v>1.7069435213520059</v>
      </c>
      <c r="J31" s="1">
        <v>399.58788724315144</v>
      </c>
      <c r="K31" s="1" t="s">
        <v>17</v>
      </c>
    </row>
    <row r="32" spans="3:11" x14ac:dyDescent="0.3">
      <c r="C32" s="13">
        <v>41.35</v>
      </c>
      <c r="D32" s="13">
        <v>0.31</v>
      </c>
      <c r="E32" s="1">
        <v>11</v>
      </c>
      <c r="F32" s="1">
        <v>30</v>
      </c>
      <c r="G32" s="1">
        <v>15</v>
      </c>
      <c r="H32" s="1">
        <v>0.42644349882971044</v>
      </c>
      <c r="I32" s="1">
        <v>1.6814219346850772</v>
      </c>
      <c r="J32" s="1">
        <v>400.88635847065763</v>
      </c>
      <c r="K32" s="1" t="s">
        <v>17</v>
      </c>
    </row>
    <row r="33" spans="2:14" x14ac:dyDescent="0.3">
      <c r="C33" s="13">
        <v>41.35</v>
      </c>
      <c r="D33" s="13">
        <v>0.31</v>
      </c>
      <c r="E33" s="1">
        <v>11</v>
      </c>
      <c r="F33" s="1">
        <v>31</v>
      </c>
      <c r="G33" s="1">
        <v>30</v>
      </c>
      <c r="H33" s="1">
        <v>0.43618217073484261</v>
      </c>
      <c r="I33" s="1">
        <v>1.6464976581934911</v>
      </c>
      <c r="J33" s="1">
        <v>510.17733159744404</v>
      </c>
      <c r="K33" s="1" t="s">
        <v>17</v>
      </c>
    </row>
    <row r="34" spans="2:14" x14ac:dyDescent="0.3">
      <c r="C34" s="13">
        <v>41.35</v>
      </c>
      <c r="D34" s="13">
        <v>0.31</v>
      </c>
      <c r="E34" s="1">
        <v>11</v>
      </c>
      <c r="F34" s="1">
        <v>32</v>
      </c>
      <c r="G34" s="1">
        <v>45</v>
      </c>
      <c r="H34" s="1">
        <v>0.4291481449731937</v>
      </c>
      <c r="I34" s="1">
        <v>1.6948543487203027</v>
      </c>
      <c r="J34" s="1">
        <v>396.10742843303171</v>
      </c>
      <c r="K34" s="1" t="s">
        <v>17</v>
      </c>
    </row>
    <row r="35" spans="2:14" x14ac:dyDescent="0.3">
      <c r="C35" s="13">
        <v>41.35</v>
      </c>
      <c r="D35" s="13">
        <v>0.31</v>
      </c>
      <c r="E35" s="1">
        <v>11</v>
      </c>
      <c r="F35" s="1" t="s">
        <v>18</v>
      </c>
      <c r="H35" s="1">
        <v>0.38998632856355497</v>
      </c>
      <c r="I35" s="1">
        <v>1.8472150464001509</v>
      </c>
      <c r="J35" s="1">
        <v>421.1185154706028</v>
      </c>
    </row>
    <row r="36" spans="2:14" x14ac:dyDescent="0.3">
      <c r="C36" s="13">
        <v>41.35</v>
      </c>
      <c r="D36" s="13">
        <v>0.31</v>
      </c>
      <c r="E36" s="1">
        <v>11</v>
      </c>
      <c r="F36" s="1" t="s">
        <v>19</v>
      </c>
      <c r="H36" s="1">
        <v>0.387292746220193</v>
      </c>
      <c r="I36" s="1">
        <v>1.8575293395357622</v>
      </c>
      <c r="J36" s="1">
        <v>415.49166258116088</v>
      </c>
    </row>
    <row r="37" spans="2:14" x14ac:dyDescent="0.3">
      <c r="C37" s="13">
        <v>41.35</v>
      </c>
      <c r="D37" s="13">
        <v>0.31</v>
      </c>
      <c r="E37" s="1">
        <v>11</v>
      </c>
      <c r="F37" s="1" t="s">
        <v>20</v>
      </c>
      <c r="H37" s="1">
        <v>0.38779120273924927</v>
      </c>
      <c r="I37" s="1">
        <v>1.824523601501806</v>
      </c>
      <c r="J37" s="1">
        <v>421.72568362265025</v>
      </c>
    </row>
    <row r="38" spans="2:14" x14ac:dyDescent="0.3">
      <c r="B38" s="1" t="s">
        <v>21</v>
      </c>
      <c r="C38" s="13">
        <v>41.35</v>
      </c>
      <c r="D38" s="13">
        <v>0.31</v>
      </c>
      <c r="E38" s="1">
        <v>15.4</v>
      </c>
      <c r="F38" s="1">
        <v>633</v>
      </c>
      <c r="G38" s="1">
        <v>0</v>
      </c>
      <c r="H38" s="1">
        <v>0.41829064462741211</v>
      </c>
      <c r="I38" s="1">
        <v>1.8399244203007383</v>
      </c>
      <c r="J38" s="1">
        <v>421.98552320262706</v>
      </c>
      <c r="K38" s="1" t="s">
        <v>16</v>
      </c>
    </row>
    <row r="39" spans="2:14" x14ac:dyDescent="0.3">
      <c r="B39" s="1">
        <v>23.4</v>
      </c>
      <c r="C39" s="13">
        <v>41.35</v>
      </c>
      <c r="D39" s="13">
        <v>0.31</v>
      </c>
      <c r="E39" s="1">
        <v>15.4</v>
      </c>
      <c r="F39" s="1">
        <v>634</v>
      </c>
      <c r="G39" s="1">
        <v>15</v>
      </c>
      <c r="H39" s="1">
        <v>0.42145255109011737</v>
      </c>
      <c r="I39" s="1">
        <v>1.8144028336338098</v>
      </c>
      <c r="J39" s="1">
        <v>433.13669086208949</v>
      </c>
      <c r="K39" s="1" t="s">
        <v>16</v>
      </c>
    </row>
    <row r="40" spans="2:14" x14ac:dyDescent="0.3">
      <c r="B40" s="1">
        <v>15.4</v>
      </c>
      <c r="C40" s="13">
        <v>41.35</v>
      </c>
      <c r="D40" s="13">
        <v>0.31</v>
      </c>
      <c r="E40" s="1">
        <v>15.4</v>
      </c>
      <c r="F40" s="1">
        <v>635</v>
      </c>
      <c r="G40" s="1">
        <v>30</v>
      </c>
      <c r="H40" s="1">
        <v>0.40809471240305806</v>
      </c>
      <c r="I40" s="1">
        <v>1.8238055234584678</v>
      </c>
      <c r="J40" s="1">
        <v>484.30022954285437</v>
      </c>
      <c r="K40" s="1" t="s">
        <v>16</v>
      </c>
    </row>
    <row r="41" spans="2:14" x14ac:dyDescent="0.3">
      <c r="C41" s="13">
        <v>41.35</v>
      </c>
      <c r="D41" s="13">
        <v>0.31</v>
      </c>
      <c r="E41" s="1">
        <v>15.4</v>
      </c>
      <c r="F41" s="1">
        <v>636</v>
      </c>
      <c r="G41" s="1">
        <v>45</v>
      </c>
      <c r="H41" s="1">
        <v>0.41959432298434285</v>
      </c>
      <c r="I41" s="1">
        <v>1.9138026974944786</v>
      </c>
      <c r="J41" s="1">
        <v>518.74545481197435</v>
      </c>
      <c r="K41" s="1" t="s">
        <v>16</v>
      </c>
    </row>
    <row r="42" spans="2:14" x14ac:dyDescent="0.3">
      <c r="C42" s="13">
        <v>41.35</v>
      </c>
      <c r="D42" s="13">
        <v>0.31</v>
      </c>
      <c r="E42" s="1">
        <v>15.4</v>
      </c>
      <c r="F42" s="1">
        <v>637</v>
      </c>
      <c r="G42" s="1">
        <v>0</v>
      </c>
      <c r="H42" s="1">
        <v>0.39326780332871103</v>
      </c>
      <c r="I42" s="1">
        <v>1.8130595922302875</v>
      </c>
      <c r="J42" s="1">
        <v>442.16642655428836</v>
      </c>
      <c r="K42" s="1" t="s">
        <v>16</v>
      </c>
    </row>
    <row r="43" spans="2:14" x14ac:dyDescent="0.3">
      <c r="C43" s="13">
        <v>41.35</v>
      </c>
      <c r="D43" s="13">
        <v>0.31</v>
      </c>
      <c r="E43" s="1">
        <v>15.4</v>
      </c>
      <c r="F43" s="1">
        <v>638</v>
      </c>
      <c r="G43" s="1">
        <v>15</v>
      </c>
      <c r="H43" s="1">
        <v>0.41530385913802592</v>
      </c>
      <c r="I43" s="1">
        <v>1.8600730413535767</v>
      </c>
      <c r="J43" s="1">
        <v>484.1364315669075</v>
      </c>
      <c r="K43" s="1" t="s">
        <v>16</v>
      </c>
      <c r="M43" s="11"/>
      <c r="N43" s="11"/>
    </row>
    <row r="44" spans="2:14" x14ac:dyDescent="0.3">
      <c r="C44" s="13">
        <v>41.35</v>
      </c>
      <c r="D44" s="13">
        <v>0.31</v>
      </c>
      <c r="E44" s="1">
        <v>15.4</v>
      </c>
      <c r="F44" s="1">
        <v>639</v>
      </c>
      <c r="G44" s="1">
        <v>30</v>
      </c>
      <c r="H44" s="1">
        <v>0.42259083741669123</v>
      </c>
      <c r="I44" s="1">
        <v>1.8184325578443776</v>
      </c>
      <c r="J44" s="1">
        <v>520.90758809447323</v>
      </c>
      <c r="K44" s="1" t="s">
        <v>16</v>
      </c>
    </row>
    <row r="45" spans="2:14" x14ac:dyDescent="0.3">
      <c r="C45" s="13">
        <v>41.35</v>
      </c>
      <c r="D45" s="13">
        <v>0.31</v>
      </c>
      <c r="E45" s="1">
        <v>15.4</v>
      </c>
      <c r="F45" s="1">
        <v>640</v>
      </c>
      <c r="G45" s="1">
        <v>45</v>
      </c>
      <c r="H45" s="1">
        <v>9.4824841210211499</v>
      </c>
      <c r="I45" s="1">
        <v>1.8332082132831256</v>
      </c>
      <c r="J45" s="1">
        <v>962.92486426467531</v>
      </c>
      <c r="K45" s="1" t="s">
        <v>16</v>
      </c>
      <c r="M45" s="11"/>
      <c r="N45" s="11"/>
    </row>
    <row r="46" spans="2:14" x14ac:dyDescent="0.3">
      <c r="C46" s="13">
        <v>41.35</v>
      </c>
      <c r="D46" s="13">
        <v>0.31</v>
      </c>
      <c r="E46" s="1">
        <v>15.4</v>
      </c>
      <c r="F46" s="1">
        <v>641</v>
      </c>
      <c r="G46" s="1">
        <v>0</v>
      </c>
      <c r="H46" s="1">
        <v>0.39729558571504942</v>
      </c>
      <c r="I46" s="1">
        <v>1.8197757992479</v>
      </c>
      <c r="J46" s="1">
        <v>418.77706830407976</v>
      </c>
      <c r="K46" s="1" t="s">
        <v>16</v>
      </c>
    </row>
    <row r="47" spans="2:14" x14ac:dyDescent="0.3">
      <c r="C47" s="13">
        <v>41.35</v>
      </c>
      <c r="D47" s="13">
        <v>0.31</v>
      </c>
      <c r="E47" s="1">
        <v>15.4</v>
      </c>
      <c r="F47" s="1">
        <v>642</v>
      </c>
      <c r="G47" s="1">
        <v>15</v>
      </c>
      <c r="H47" s="1">
        <v>0.46880331648699836</v>
      </c>
      <c r="I47" s="1">
        <v>1.8332082132831256</v>
      </c>
      <c r="J47" s="1">
        <v>569.12871949822875</v>
      </c>
      <c r="K47" s="1" t="s">
        <v>16</v>
      </c>
    </row>
    <row r="48" spans="2:14" x14ac:dyDescent="0.3">
      <c r="C48" s="13">
        <v>41.35</v>
      </c>
      <c r="D48" s="13">
        <v>0.31</v>
      </c>
      <c r="E48" s="1">
        <v>15.4</v>
      </c>
      <c r="F48" s="1">
        <v>643</v>
      </c>
      <c r="G48" s="1">
        <v>30</v>
      </c>
      <c r="H48" s="1">
        <v>0.50938273758220909</v>
      </c>
      <c r="I48" s="1">
        <v>1.8869378694240275</v>
      </c>
      <c r="J48" s="1">
        <v>595.23414600413821</v>
      </c>
      <c r="K48" s="1" t="s">
        <v>16</v>
      </c>
    </row>
    <row r="49" spans="3:11" x14ac:dyDescent="0.3">
      <c r="C49" s="13">
        <v>41.35</v>
      </c>
      <c r="D49" s="13">
        <v>0.31</v>
      </c>
      <c r="E49" s="1">
        <v>15.4</v>
      </c>
      <c r="F49" s="1">
        <v>644</v>
      </c>
      <c r="G49" s="1">
        <v>45</v>
      </c>
      <c r="H49" s="1">
        <v>0.49317431860723399</v>
      </c>
      <c r="I49" s="1">
        <v>1.8211190406514226</v>
      </c>
      <c r="J49" s="1">
        <v>604.33734260676181</v>
      </c>
      <c r="K49" s="1" t="s">
        <v>16</v>
      </c>
    </row>
    <row r="50" spans="3:11" x14ac:dyDescent="0.3">
      <c r="C50" s="13">
        <v>41.35</v>
      </c>
      <c r="D50" s="13">
        <v>0.31</v>
      </c>
      <c r="E50" s="1">
        <v>15.4</v>
      </c>
      <c r="F50" s="1">
        <v>645</v>
      </c>
      <c r="G50" s="1">
        <v>0</v>
      </c>
      <c r="H50" s="1">
        <v>0.39803498538017429</v>
      </c>
      <c r="I50" s="1">
        <v>1.8238055234584678</v>
      </c>
      <c r="J50" s="1">
        <v>422.96235476827394</v>
      </c>
      <c r="K50" s="1" t="s">
        <v>16</v>
      </c>
    </row>
    <row r="51" spans="3:11" x14ac:dyDescent="0.3">
      <c r="C51" s="13">
        <v>41.35</v>
      </c>
      <c r="D51" s="13">
        <v>0.31</v>
      </c>
      <c r="E51" s="1">
        <v>15.4</v>
      </c>
      <c r="F51" s="1">
        <v>646</v>
      </c>
      <c r="G51" s="1">
        <v>15</v>
      </c>
      <c r="H51" s="1">
        <v>0.44578463743850427</v>
      </c>
      <c r="I51" s="1">
        <v>1.8560433171430089</v>
      </c>
      <c r="J51" s="1">
        <v>462.4267471064087</v>
      </c>
      <c r="K51" s="1" t="s">
        <v>16</v>
      </c>
    </row>
    <row r="52" spans="3:11" x14ac:dyDescent="0.3">
      <c r="C52" s="13">
        <v>41.35</v>
      </c>
      <c r="D52" s="13">
        <v>0.31</v>
      </c>
      <c r="E52" s="1">
        <v>15.4</v>
      </c>
      <c r="F52" s="1">
        <v>647</v>
      </c>
      <c r="G52" s="1">
        <v>30</v>
      </c>
      <c r="H52" s="1">
        <v>0.42878817408359343</v>
      </c>
      <c r="I52" s="1">
        <v>1.8090298680197194</v>
      </c>
      <c r="J52" s="1">
        <v>468.91513238391656</v>
      </c>
      <c r="K52" s="1" t="s">
        <v>16</v>
      </c>
    </row>
    <row r="53" spans="3:11" x14ac:dyDescent="0.3">
      <c r="C53" s="13">
        <v>41.35</v>
      </c>
      <c r="D53" s="13">
        <v>0.31</v>
      </c>
      <c r="E53" s="1">
        <v>15.4</v>
      </c>
      <c r="F53" s="1">
        <v>648</v>
      </c>
      <c r="G53" s="1">
        <v>45</v>
      </c>
      <c r="H53" s="1">
        <v>0.45572761714584192</v>
      </c>
      <c r="I53" s="1">
        <v>1.8184325578443776</v>
      </c>
      <c r="J53" s="1">
        <v>510.24781436285144</v>
      </c>
      <c r="K53" s="1" t="s">
        <v>16</v>
      </c>
    </row>
    <row r="54" spans="3:11" x14ac:dyDescent="0.3">
      <c r="C54" s="13">
        <v>41.35</v>
      </c>
      <c r="D54" s="13">
        <v>0.31</v>
      </c>
      <c r="E54" s="1">
        <v>15.4</v>
      </c>
      <c r="F54" s="1">
        <v>649</v>
      </c>
      <c r="G54" s="1">
        <v>0</v>
      </c>
      <c r="H54" s="1">
        <v>0.40287999897533494</v>
      </c>
      <c r="I54" s="1">
        <v>1.8332082132831256</v>
      </c>
      <c r="J54" s="1">
        <v>444.20546317607557</v>
      </c>
      <c r="K54" s="1" t="s">
        <v>16</v>
      </c>
    </row>
    <row r="55" spans="3:11" x14ac:dyDescent="0.3">
      <c r="C55" s="13">
        <v>41.35</v>
      </c>
      <c r="D55" s="13">
        <v>0.31</v>
      </c>
      <c r="E55" s="1">
        <v>15.4</v>
      </c>
      <c r="F55" s="1">
        <v>650</v>
      </c>
      <c r="G55" s="1">
        <v>15</v>
      </c>
      <c r="H55" s="1">
        <v>0.41457418841586313</v>
      </c>
      <c r="I55" s="1">
        <v>1.7969406953880169</v>
      </c>
      <c r="J55" s="1">
        <v>492.15657609827014</v>
      </c>
      <c r="K55" s="1" t="s">
        <v>16</v>
      </c>
    </row>
    <row r="56" spans="3:11" x14ac:dyDescent="0.3">
      <c r="C56" s="13">
        <v>41.35</v>
      </c>
      <c r="D56" s="13">
        <v>0.31</v>
      </c>
      <c r="E56" s="1">
        <v>15.4</v>
      </c>
      <c r="F56" s="1">
        <v>651</v>
      </c>
      <c r="G56" s="1">
        <v>30</v>
      </c>
      <c r="H56" s="1">
        <v>0.44613487938514246</v>
      </c>
      <c r="I56" s="1">
        <v>1.8036569024056297</v>
      </c>
      <c r="J56" s="1">
        <v>485.42894650437921</v>
      </c>
      <c r="K56" s="1" t="s">
        <v>16</v>
      </c>
    </row>
    <row r="57" spans="3:11" x14ac:dyDescent="0.3">
      <c r="C57" s="13">
        <v>41.35</v>
      </c>
      <c r="D57" s="13">
        <v>0.31</v>
      </c>
      <c r="E57" s="1">
        <v>15.4</v>
      </c>
      <c r="F57" s="1">
        <v>652</v>
      </c>
      <c r="G57" s="1">
        <v>45</v>
      </c>
      <c r="H57" s="1">
        <v>1.7603302236580176</v>
      </c>
      <c r="I57" s="1">
        <v>1.8815649038099374</v>
      </c>
      <c r="J57" s="1">
        <v>838.70147202156795</v>
      </c>
      <c r="K57" s="1" t="s">
        <v>16</v>
      </c>
    </row>
    <row r="58" spans="3:11" x14ac:dyDescent="0.3">
      <c r="C58" s="13">
        <v>41.35</v>
      </c>
      <c r="D58" s="13">
        <v>0.31</v>
      </c>
      <c r="E58" s="1">
        <v>15.4</v>
      </c>
      <c r="F58" s="1">
        <v>653</v>
      </c>
      <c r="G58" s="1">
        <v>0</v>
      </c>
      <c r="H58" s="1">
        <v>0.43209601469073122</v>
      </c>
      <c r="I58" s="1">
        <v>1.8144028336338098</v>
      </c>
      <c r="J58" s="1">
        <v>435.33059102477193</v>
      </c>
      <c r="K58" s="1" t="s">
        <v>16</v>
      </c>
    </row>
    <row r="59" spans="3:11" x14ac:dyDescent="0.3">
      <c r="C59" s="13">
        <v>41.35</v>
      </c>
      <c r="D59" s="13">
        <v>0.31</v>
      </c>
      <c r="E59" s="1">
        <v>15.4</v>
      </c>
      <c r="F59" s="1">
        <v>654</v>
      </c>
      <c r="G59" s="1">
        <v>15</v>
      </c>
      <c r="H59" s="1">
        <v>0.43947055345605601</v>
      </c>
      <c r="I59" s="1">
        <v>1.8103731094232425</v>
      </c>
      <c r="J59" s="1">
        <v>435.51821416085659</v>
      </c>
      <c r="K59" s="1" t="s">
        <v>16</v>
      </c>
    </row>
    <row r="60" spans="3:11" x14ac:dyDescent="0.3">
      <c r="C60" s="13">
        <v>41.35</v>
      </c>
      <c r="D60" s="13">
        <v>0.31</v>
      </c>
      <c r="E60" s="1">
        <v>15.4</v>
      </c>
      <c r="F60" s="1">
        <v>655</v>
      </c>
      <c r="G60" s="1">
        <v>30</v>
      </c>
      <c r="H60" s="1">
        <v>0.52173849514416482</v>
      </c>
      <c r="I60" s="1">
        <v>1.861416282757099</v>
      </c>
      <c r="J60" s="1">
        <v>462.10411472954365</v>
      </c>
      <c r="K60" s="1" t="s">
        <v>16</v>
      </c>
    </row>
    <row r="61" spans="3:11" x14ac:dyDescent="0.3">
      <c r="C61" s="13">
        <v>41.35</v>
      </c>
      <c r="D61" s="13">
        <v>0.31</v>
      </c>
      <c r="E61" s="1">
        <v>15.4</v>
      </c>
      <c r="F61" s="1">
        <v>656</v>
      </c>
      <c r="G61" s="1">
        <v>45</v>
      </c>
      <c r="H61" s="1">
        <v>1.6421138377246907</v>
      </c>
      <c r="I61" s="1">
        <v>1.8291784890725578</v>
      </c>
      <c r="J61" s="1">
        <v>431.3180369715763</v>
      </c>
      <c r="K61" s="1" t="s">
        <v>16</v>
      </c>
    </row>
    <row r="62" spans="3:11" x14ac:dyDescent="0.3">
      <c r="C62" s="13">
        <v>41.35</v>
      </c>
      <c r="D62" s="13">
        <v>0.31</v>
      </c>
      <c r="E62" s="1">
        <v>15.4</v>
      </c>
      <c r="F62" s="1">
        <v>657</v>
      </c>
      <c r="G62" s="1">
        <v>0</v>
      </c>
      <c r="H62" s="1">
        <v>0.38860763964983169</v>
      </c>
      <c r="I62" s="1">
        <v>1.8332082132831256</v>
      </c>
      <c r="J62" s="1">
        <v>421.88724441705904</v>
      </c>
      <c r="K62" s="1" t="s">
        <v>17</v>
      </c>
    </row>
    <row r="63" spans="3:11" x14ac:dyDescent="0.3">
      <c r="C63" s="13">
        <v>41.35</v>
      </c>
      <c r="D63" s="13">
        <v>0.31</v>
      </c>
      <c r="E63" s="1">
        <v>15.4</v>
      </c>
      <c r="F63" s="1">
        <v>658</v>
      </c>
      <c r="G63" s="1">
        <v>15</v>
      </c>
      <c r="H63" s="1">
        <v>0.38812119250172317</v>
      </c>
      <c r="I63" s="1">
        <v>1.8170893164408553</v>
      </c>
      <c r="J63" s="1">
        <v>416.61195687656374</v>
      </c>
      <c r="K63" s="1" t="s">
        <v>17</v>
      </c>
    </row>
    <row r="64" spans="3:11" x14ac:dyDescent="0.3">
      <c r="C64" s="13">
        <v>41.35</v>
      </c>
      <c r="D64" s="13">
        <v>0.31</v>
      </c>
      <c r="E64" s="1">
        <v>15.4</v>
      </c>
      <c r="F64" s="1">
        <v>659</v>
      </c>
      <c r="G64" s="1">
        <v>30</v>
      </c>
      <c r="H64" s="1">
        <v>0.38721640080624137</v>
      </c>
      <c r="I64" s="1">
        <v>1.8291784890725578</v>
      </c>
      <c r="J64" s="1">
        <v>411.58385537249745</v>
      </c>
      <c r="K64" s="1" t="s">
        <v>17</v>
      </c>
    </row>
    <row r="65" spans="2:11" x14ac:dyDescent="0.3">
      <c r="C65" s="13">
        <v>41.35</v>
      </c>
      <c r="D65" s="13">
        <v>0.31</v>
      </c>
      <c r="E65" s="1">
        <v>15.4</v>
      </c>
      <c r="F65" s="1">
        <v>660</v>
      </c>
      <c r="G65" s="1">
        <v>45</v>
      </c>
      <c r="H65" s="1">
        <v>0.38617540390928917</v>
      </c>
      <c r="I65" s="1">
        <v>1.8694757311782344</v>
      </c>
      <c r="J65" s="1">
        <v>417.39322358608007</v>
      </c>
      <c r="K65" s="1" t="s">
        <v>17</v>
      </c>
    </row>
    <row r="66" spans="2:11" x14ac:dyDescent="0.3">
      <c r="C66" s="13">
        <v>41.35</v>
      </c>
      <c r="D66" s="13">
        <v>0.31</v>
      </c>
      <c r="E66" s="1">
        <v>15.4</v>
      </c>
      <c r="F66" s="1">
        <v>661</v>
      </c>
      <c r="G66" s="1">
        <v>0</v>
      </c>
      <c r="H66" s="1">
        <v>0.38976538386232984</v>
      </c>
      <c r="I66" s="1">
        <v>1.8748486967923246</v>
      </c>
      <c r="J66" s="1">
        <v>420.25522094762465</v>
      </c>
      <c r="K66" s="1" t="s">
        <v>17</v>
      </c>
    </row>
    <row r="67" spans="2:11" x14ac:dyDescent="0.3">
      <c r="C67" s="13">
        <v>41.35</v>
      </c>
      <c r="D67" s="13">
        <v>0.31</v>
      </c>
      <c r="E67" s="1">
        <v>15.4</v>
      </c>
      <c r="F67" s="1">
        <v>662</v>
      </c>
      <c r="G67" s="1">
        <v>15</v>
      </c>
      <c r="H67" s="1">
        <v>0.40319132515012435</v>
      </c>
      <c r="I67" s="1">
        <v>1.8439541445113061</v>
      </c>
      <c r="J67" s="1">
        <v>438.13104005596068</v>
      </c>
      <c r="K67" s="1" t="s">
        <v>17</v>
      </c>
    </row>
    <row r="68" spans="2:11" x14ac:dyDescent="0.3">
      <c r="C68" s="13">
        <v>41.35</v>
      </c>
      <c r="D68" s="13">
        <v>0.31</v>
      </c>
      <c r="E68" s="1">
        <v>15.4</v>
      </c>
      <c r="F68" s="1">
        <v>663</v>
      </c>
      <c r="G68" s="1">
        <v>30</v>
      </c>
      <c r="H68" s="1">
        <v>0.39812254586683388</v>
      </c>
      <c r="I68" s="1">
        <v>1.8130595922302875</v>
      </c>
      <c r="J68" s="1">
        <v>545.3115010805468</v>
      </c>
      <c r="K68" s="1" t="s">
        <v>17</v>
      </c>
    </row>
    <row r="69" spans="2:11" x14ac:dyDescent="0.3">
      <c r="C69" s="13">
        <v>41.35</v>
      </c>
      <c r="D69" s="13">
        <v>0.31</v>
      </c>
      <c r="E69" s="1">
        <v>15.4</v>
      </c>
      <c r="F69" s="1">
        <v>664</v>
      </c>
      <c r="G69" s="1">
        <v>45</v>
      </c>
      <c r="H69" s="1">
        <v>0.45417098627189473</v>
      </c>
      <c r="I69" s="1">
        <v>1.8278352476690354</v>
      </c>
      <c r="J69" s="1">
        <v>1305.8701755771644</v>
      </c>
      <c r="K69" s="1" t="s">
        <v>17</v>
      </c>
    </row>
    <row r="70" spans="2:11" x14ac:dyDescent="0.3">
      <c r="C70" s="13">
        <v>41.35</v>
      </c>
      <c r="D70" s="13">
        <v>0.31</v>
      </c>
      <c r="E70" s="1">
        <v>15.4</v>
      </c>
      <c r="F70" s="1" t="s">
        <v>22</v>
      </c>
      <c r="H70" s="1">
        <v>0.38605865659374317</v>
      </c>
      <c r="I70" s="1">
        <v>1.8345514546866482</v>
      </c>
      <c r="J70" s="1">
        <v>410.04216896858526</v>
      </c>
    </row>
    <row r="71" spans="2:11" x14ac:dyDescent="0.3">
      <c r="C71" s="13">
        <v>41.35</v>
      </c>
      <c r="D71" s="13">
        <v>0.31</v>
      </c>
      <c r="E71" s="1">
        <v>15.4</v>
      </c>
      <c r="F71" s="1" t="s">
        <v>23</v>
      </c>
      <c r="H71" s="1">
        <v>0.38940541297272957</v>
      </c>
      <c r="I71" s="1">
        <v>1.8452973859148287</v>
      </c>
      <c r="J71" s="1">
        <v>410.76784363778023</v>
      </c>
    </row>
    <row r="72" spans="2:11" x14ac:dyDescent="0.3">
      <c r="B72" s="1" t="s">
        <v>24</v>
      </c>
      <c r="C72" s="13">
        <v>41.35</v>
      </c>
      <c r="D72" s="13">
        <v>0.31</v>
      </c>
      <c r="E72" s="1">
        <v>18.399999999999999</v>
      </c>
      <c r="F72" s="1">
        <v>1</v>
      </c>
      <c r="G72" s="1">
        <v>0</v>
      </c>
      <c r="H72" s="1">
        <v>0.39986844024674889</v>
      </c>
      <c r="I72" s="1">
        <v>1.9784533970638432</v>
      </c>
      <c r="J72" s="1">
        <v>419.27818199094179</v>
      </c>
      <c r="K72" s="1" t="s">
        <v>16</v>
      </c>
    </row>
    <row r="73" spans="2:11" x14ac:dyDescent="0.3">
      <c r="B73" s="1">
        <v>25.2</v>
      </c>
      <c r="C73" s="13">
        <v>41.35</v>
      </c>
      <c r="D73" s="13">
        <v>0.31</v>
      </c>
      <c r="E73" s="1">
        <v>18.399999999999999</v>
      </c>
      <c r="F73" s="1">
        <v>2</v>
      </c>
      <c r="G73" s="1">
        <v>15</v>
      </c>
      <c r="H73" s="1">
        <v>0.42465040027366435</v>
      </c>
      <c r="I73" s="1">
        <v>1.9501729828155214</v>
      </c>
      <c r="J73" s="1">
        <v>498.44963708838566</v>
      </c>
      <c r="K73" s="1" t="s">
        <v>16</v>
      </c>
    </row>
    <row r="74" spans="2:11" x14ac:dyDescent="0.3">
      <c r="B74" s="1">
        <v>18.399999999999999</v>
      </c>
      <c r="C74" s="13">
        <v>41.35</v>
      </c>
      <c r="D74" s="13">
        <v>0.31</v>
      </c>
      <c r="E74" s="1">
        <v>18.399999999999999</v>
      </c>
      <c r="F74" s="1">
        <v>3</v>
      </c>
      <c r="G74" s="1">
        <v>30</v>
      </c>
      <c r="H74" s="1">
        <v>0.42407633838061837</v>
      </c>
      <c r="I74" s="1">
        <v>1.9542130419938533</v>
      </c>
      <c r="J74" s="1">
        <v>510.9885628593189</v>
      </c>
      <c r="K74" s="1" t="s">
        <v>16</v>
      </c>
    </row>
    <row r="75" spans="2:11" x14ac:dyDescent="0.3">
      <c r="C75" s="13">
        <v>41.35</v>
      </c>
      <c r="D75" s="13">
        <v>0.31</v>
      </c>
      <c r="E75" s="1">
        <v>18.399999999999999</v>
      </c>
      <c r="F75" s="1">
        <v>4</v>
      </c>
      <c r="G75" s="1">
        <v>45</v>
      </c>
      <c r="H75" s="1">
        <v>0.43401052808909135</v>
      </c>
      <c r="I75" s="1">
        <v>1.9299726869238634</v>
      </c>
      <c r="J75" s="1">
        <v>523.01334426080302</v>
      </c>
      <c r="K75" s="1" t="s">
        <v>16</v>
      </c>
    </row>
    <row r="76" spans="2:11" x14ac:dyDescent="0.3">
      <c r="C76" s="13">
        <v>41.35</v>
      </c>
      <c r="D76" s="13">
        <v>0.31</v>
      </c>
      <c r="E76" s="1">
        <v>18.399999999999999</v>
      </c>
      <c r="F76" s="1">
        <v>5</v>
      </c>
      <c r="G76" s="1">
        <v>0</v>
      </c>
      <c r="H76" s="1">
        <v>0.40073439801761479</v>
      </c>
      <c r="I76" s="1">
        <v>1.9528663556010761</v>
      </c>
      <c r="J76" s="1">
        <v>423.72635380497019</v>
      </c>
      <c r="K76" s="1" t="s">
        <v>16</v>
      </c>
    </row>
    <row r="77" spans="2:11" x14ac:dyDescent="0.3">
      <c r="C77" s="13">
        <v>41.35</v>
      </c>
      <c r="D77" s="13">
        <v>0.31</v>
      </c>
      <c r="E77" s="1">
        <v>18.399999999999999</v>
      </c>
      <c r="F77" s="1">
        <v>6</v>
      </c>
      <c r="G77" s="1">
        <v>15</v>
      </c>
      <c r="H77" s="1">
        <v>0.52795235143415176</v>
      </c>
      <c r="I77" s="1">
        <v>1.9420928644588582</v>
      </c>
      <c r="J77" s="1">
        <v>495.90312166154752</v>
      </c>
      <c r="K77" s="1" t="s">
        <v>16</v>
      </c>
    </row>
    <row r="78" spans="2:11" x14ac:dyDescent="0.3">
      <c r="C78" s="13">
        <v>41.35</v>
      </c>
      <c r="D78" s="13">
        <v>0.31</v>
      </c>
      <c r="E78" s="1">
        <v>18.399999999999999</v>
      </c>
      <c r="F78" s="1">
        <v>7</v>
      </c>
      <c r="G78" s="1">
        <v>30</v>
      </c>
      <c r="H78" s="1">
        <v>0.50406553876588422</v>
      </c>
      <c r="I78" s="1">
        <v>1.9488262964227443</v>
      </c>
      <c r="J78" s="1">
        <v>544.33435935547095</v>
      </c>
      <c r="K78" s="1" t="s">
        <v>16</v>
      </c>
    </row>
    <row r="79" spans="2:11" x14ac:dyDescent="0.3">
      <c r="C79" s="13">
        <v>41.35</v>
      </c>
      <c r="D79" s="13">
        <v>0.31</v>
      </c>
      <c r="E79" s="1">
        <v>18.399999999999999</v>
      </c>
      <c r="F79" s="1">
        <v>8</v>
      </c>
      <c r="G79" s="1">
        <v>45</v>
      </c>
      <c r="H79" s="1">
        <v>0.55580894804077086</v>
      </c>
      <c r="I79" s="1">
        <v>1.9501729828155214</v>
      </c>
      <c r="J79" s="1">
        <v>567.48634808974009</v>
      </c>
      <c r="K79" s="1" t="s">
        <v>16</v>
      </c>
    </row>
    <row r="80" spans="2:11" x14ac:dyDescent="0.3">
      <c r="C80" s="13">
        <v>41.35</v>
      </c>
      <c r="D80" s="13">
        <v>0.31</v>
      </c>
      <c r="E80" s="1">
        <v>18.399999999999999</v>
      </c>
      <c r="F80" s="1">
        <v>9</v>
      </c>
      <c r="G80" s="1">
        <v>0</v>
      </c>
      <c r="H80" s="1">
        <v>0.41093129401612571</v>
      </c>
      <c r="I80" s="1">
        <v>1.9488262964227443</v>
      </c>
      <c r="J80" s="1">
        <v>474.71185298026222</v>
      </c>
      <c r="K80" s="1" t="s">
        <v>16</v>
      </c>
    </row>
    <row r="81" spans="3:11" x14ac:dyDescent="0.3">
      <c r="C81" s="13">
        <v>41.35</v>
      </c>
      <c r="D81" s="13">
        <v>0.31</v>
      </c>
      <c r="E81" s="1">
        <v>18.399999999999999</v>
      </c>
      <c r="F81" s="1">
        <v>10</v>
      </c>
      <c r="G81" s="1">
        <v>15</v>
      </c>
      <c r="H81" s="1">
        <v>0.41248807203116561</v>
      </c>
      <c r="I81" s="1">
        <v>1.9407461780660811</v>
      </c>
      <c r="J81" s="1">
        <v>449.19247633016823</v>
      </c>
      <c r="K81" s="1" t="s">
        <v>16</v>
      </c>
    </row>
    <row r="82" spans="3:11" x14ac:dyDescent="0.3">
      <c r="C82" s="13">
        <v>41.35</v>
      </c>
      <c r="D82" s="13">
        <v>0.31</v>
      </c>
      <c r="E82" s="1">
        <v>18.399999999999999</v>
      </c>
      <c r="F82" s="1">
        <v>11</v>
      </c>
      <c r="G82" s="1">
        <v>30</v>
      </c>
      <c r="H82" s="1">
        <v>0.42046655935824478</v>
      </c>
      <c r="I82" s="1">
        <v>1.9582531011721851</v>
      </c>
      <c r="J82" s="1">
        <v>468.01151581154733</v>
      </c>
      <c r="K82" s="1" t="s">
        <v>16</v>
      </c>
    </row>
    <row r="83" spans="3:11" x14ac:dyDescent="0.3">
      <c r="C83" s="13">
        <v>41.35</v>
      </c>
      <c r="D83" s="13">
        <v>0.31</v>
      </c>
      <c r="E83" s="1">
        <v>18.399999999999999</v>
      </c>
      <c r="F83" s="1">
        <v>12</v>
      </c>
      <c r="G83" s="1">
        <v>45</v>
      </c>
      <c r="H83" s="1">
        <v>0.41296483529827149</v>
      </c>
      <c r="I83" s="1">
        <v>1.9353594324949723</v>
      </c>
      <c r="J83" s="1">
        <v>446.03208608180336</v>
      </c>
      <c r="K83" s="1" t="s">
        <v>16</v>
      </c>
    </row>
    <row r="84" spans="3:11" x14ac:dyDescent="0.3">
      <c r="C84" s="13">
        <v>41.35</v>
      </c>
      <c r="D84" s="13">
        <v>0.31</v>
      </c>
      <c r="E84" s="1">
        <v>18.399999999999999</v>
      </c>
      <c r="F84" s="1">
        <v>13</v>
      </c>
      <c r="G84" s="1">
        <v>0</v>
      </c>
      <c r="H84" s="1">
        <v>0.3997711416208089</v>
      </c>
      <c r="I84" s="1">
        <v>1.951519669208299</v>
      </c>
      <c r="J84" s="1">
        <v>418.0330037251951</v>
      </c>
      <c r="K84" s="1" t="s">
        <v>16</v>
      </c>
    </row>
    <row r="85" spans="3:11" x14ac:dyDescent="0.3">
      <c r="C85" s="13">
        <v>41.35</v>
      </c>
      <c r="D85" s="13">
        <v>0.31</v>
      </c>
      <c r="E85" s="1">
        <v>18.399999999999999</v>
      </c>
      <c r="F85" s="1">
        <v>14</v>
      </c>
      <c r="G85" s="1">
        <v>15</v>
      </c>
      <c r="H85" s="1">
        <v>0.40971506119187584</v>
      </c>
      <c r="I85" s="1">
        <v>1.9420928644588582</v>
      </c>
      <c r="J85" s="1">
        <v>445.9430064547048</v>
      </c>
      <c r="K85" s="1" t="s">
        <v>16</v>
      </c>
    </row>
    <row r="86" spans="3:11" x14ac:dyDescent="0.3">
      <c r="C86" s="13">
        <v>41.35</v>
      </c>
      <c r="D86" s="13">
        <v>0.31</v>
      </c>
      <c r="E86" s="1">
        <v>18.399999999999999</v>
      </c>
      <c r="F86" s="1">
        <v>15</v>
      </c>
      <c r="G86" s="1">
        <v>30</v>
      </c>
      <c r="H86" s="1">
        <v>0.42724827358626205</v>
      </c>
      <c r="I86" s="1">
        <v>1.9636398467432936</v>
      </c>
      <c r="J86" s="1">
        <v>485.9116795742687</v>
      </c>
      <c r="K86" s="1" t="s">
        <v>16</v>
      </c>
    </row>
    <row r="87" spans="3:11" x14ac:dyDescent="0.3">
      <c r="C87" s="13">
        <v>41.35</v>
      </c>
      <c r="D87" s="13">
        <v>0.31</v>
      </c>
      <c r="E87" s="1">
        <v>18.399999999999999</v>
      </c>
      <c r="F87" s="1">
        <v>16</v>
      </c>
      <c r="G87" s="1">
        <v>45</v>
      </c>
      <c r="H87" s="1">
        <v>0.42543851914377823</v>
      </c>
      <c r="I87" s="1">
        <v>1.9649865331360712</v>
      </c>
      <c r="J87" s="1">
        <v>505.5334039563507</v>
      </c>
      <c r="K87" s="1" t="s">
        <v>16</v>
      </c>
    </row>
    <row r="88" spans="3:11" x14ac:dyDescent="0.3">
      <c r="C88" s="13">
        <v>41.35</v>
      </c>
      <c r="D88" s="13">
        <v>0.31</v>
      </c>
      <c r="E88" s="1">
        <v>18.399999999999999</v>
      </c>
      <c r="F88" s="1">
        <v>17</v>
      </c>
      <c r="G88" s="1">
        <v>0</v>
      </c>
      <c r="H88" s="1">
        <v>0.39564567988095328</v>
      </c>
      <c r="I88" s="1">
        <v>1.9703732787071797</v>
      </c>
      <c r="J88" s="1">
        <v>418.69141836027114</v>
      </c>
      <c r="K88" s="1" t="s">
        <v>16</v>
      </c>
    </row>
    <row r="89" spans="3:11" x14ac:dyDescent="0.3">
      <c r="C89" s="13">
        <v>41.35</v>
      </c>
      <c r="D89" s="13">
        <v>0.31</v>
      </c>
      <c r="E89" s="1">
        <v>18.399999999999999</v>
      </c>
      <c r="F89" s="1">
        <v>18</v>
      </c>
      <c r="G89" s="1">
        <v>15</v>
      </c>
      <c r="H89" s="1">
        <v>0.4774349048461089</v>
      </c>
      <c r="I89" s="1">
        <v>1.9380528052805268</v>
      </c>
      <c r="J89" s="1">
        <v>485.95331461736913</v>
      </c>
      <c r="K89" s="1" t="s">
        <v>16</v>
      </c>
    </row>
    <row r="90" spans="3:11" x14ac:dyDescent="0.3">
      <c r="C90" s="13">
        <v>41.35</v>
      </c>
      <c r="D90" s="13">
        <v>0.31</v>
      </c>
      <c r="E90" s="1">
        <v>18.399999999999999</v>
      </c>
      <c r="F90" s="1">
        <v>19</v>
      </c>
      <c r="G90" s="1">
        <v>30</v>
      </c>
      <c r="H90" s="1">
        <v>0.4893345267985697</v>
      </c>
      <c r="I90" s="1">
        <v>1.9595997875649622</v>
      </c>
      <c r="J90" s="1">
        <v>497.38455459046855</v>
      </c>
      <c r="K90" s="1" t="s">
        <v>16</v>
      </c>
    </row>
    <row r="91" spans="3:11" x14ac:dyDescent="0.3">
      <c r="C91" s="13">
        <v>41.35</v>
      </c>
      <c r="D91" s="13">
        <v>0.31</v>
      </c>
      <c r="E91" s="1">
        <v>18.399999999999999</v>
      </c>
      <c r="F91" s="1">
        <v>20</v>
      </c>
      <c r="G91" s="1">
        <v>45</v>
      </c>
      <c r="H91" s="1">
        <v>0.52606475809091591</v>
      </c>
      <c r="I91" s="1">
        <v>1.9299726869238634</v>
      </c>
      <c r="J91" s="1">
        <v>545.76834770039397</v>
      </c>
      <c r="K91" s="1" t="s">
        <v>16</v>
      </c>
    </row>
    <row r="92" spans="3:11" x14ac:dyDescent="0.3">
      <c r="C92" s="13">
        <v>41.35</v>
      </c>
      <c r="D92" s="13">
        <v>0.31</v>
      </c>
      <c r="E92" s="1">
        <v>18.399999999999999</v>
      </c>
      <c r="F92" s="1">
        <v>21</v>
      </c>
      <c r="G92" s="1">
        <v>0</v>
      </c>
      <c r="H92" s="1">
        <v>0.4215757636939606</v>
      </c>
      <c r="I92" s="1">
        <v>1.9865335154205064</v>
      </c>
      <c r="J92" s="1">
        <v>483.32740213159531</v>
      </c>
      <c r="K92" s="1" t="s">
        <v>16</v>
      </c>
    </row>
    <row r="93" spans="3:11" x14ac:dyDescent="0.3">
      <c r="C93" s="13">
        <v>41.35</v>
      </c>
      <c r="D93" s="13">
        <v>0.31</v>
      </c>
      <c r="E93" s="1">
        <v>18.399999999999999</v>
      </c>
      <c r="F93" s="1">
        <v>22</v>
      </c>
      <c r="G93" s="1">
        <v>15</v>
      </c>
      <c r="H93" s="1">
        <v>0.41653569487026909</v>
      </c>
      <c r="I93" s="1">
        <v>1.9636398467432936</v>
      </c>
      <c r="J93" s="1">
        <v>466.32771720802197</v>
      </c>
      <c r="K93" s="1" t="s">
        <v>16</v>
      </c>
    </row>
    <row r="94" spans="3:11" x14ac:dyDescent="0.3">
      <c r="C94" s="13">
        <v>41.35</v>
      </c>
      <c r="D94" s="13">
        <v>0.31</v>
      </c>
      <c r="E94" s="1">
        <v>18.399999999999999</v>
      </c>
      <c r="F94" s="1">
        <v>23</v>
      </c>
      <c r="G94" s="1">
        <v>30</v>
      </c>
      <c r="H94" s="1">
        <v>0.43626785621089909</v>
      </c>
      <c r="I94" s="1">
        <v>1.9582531011721851</v>
      </c>
      <c r="J94" s="1">
        <v>506.06110392122781</v>
      </c>
      <c r="K94" s="1" t="s">
        <v>16</v>
      </c>
    </row>
    <row r="95" spans="3:11" x14ac:dyDescent="0.3">
      <c r="C95" s="13">
        <v>41.35</v>
      </c>
      <c r="D95" s="13">
        <v>0.31</v>
      </c>
      <c r="E95" s="1">
        <v>18.399999999999999</v>
      </c>
      <c r="F95" s="1">
        <v>24</v>
      </c>
      <c r="G95" s="1">
        <v>45</v>
      </c>
      <c r="H95" s="1">
        <v>0.47347485077035134</v>
      </c>
      <c r="I95" s="1">
        <v>1.9407461780660811</v>
      </c>
      <c r="J95" s="1">
        <v>525.38654171752557</v>
      </c>
      <c r="K95" s="1" t="s">
        <v>16</v>
      </c>
    </row>
    <row r="96" spans="3:11" x14ac:dyDescent="0.3">
      <c r="C96" s="13">
        <v>41.35</v>
      </c>
      <c r="D96" s="13">
        <v>0.31</v>
      </c>
      <c r="E96" s="1">
        <v>18.399999999999999</v>
      </c>
      <c r="F96" s="1">
        <v>25</v>
      </c>
      <c r="G96" s="1">
        <v>0</v>
      </c>
      <c r="H96" s="1">
        <v>0.41270212900823355</v>
      </c>
      <c r="I96" s="1">
        <v>1.9447862372444129</v>
      </c>
      <c r="J96" s="1">
        <v>461.69557659889881</v>
      </c>
      <c r="K96" s="1" t="s">
        <v>17</v>
      </c>
    </row>
    <row r="97" spans="2:11" x14ac:dyDescent="0.3">
      <c r="C97" s="13">
        <v>41.35</v>
      </c>
      <c r="D97" s="13">
        <v>0.31</v>
      </c>
      <c r="E97" s="1">
        <v>18.399999999999999</v>
      </c>
      <c r="F97" s="1">
        <v>26</v>
      </c>
      <c r="G97" s="1">
        <v>15</v>
      </c>
      <c r="H97" s="1">
        <v>0.3974457044608431</v>
      </c>
      <c r="I97" s="1">
        <v>1.9501729828155214</v>
      </c>
      <c r="J97" s="1">
        <v>475.07010800228886</v>
      </c>
      <c r="K97" s="1" t="s">
        <v>17</v>
      </c>
    </row>
    <row r="98" spans="2:11" x14ac:dyDescent="0.3">
      <c r="C98" s="13">
        <v>41.35</v>
      </c>
      <c r="D98" s="13">
        <v>0.31</v>
      </c>
      <c r="E98" s="1">
        <v>18.399999999999999</v>
      </c>
      <c r="F98" s="1">
        <v>27</v>
      </c>
      <c r="G98" s="1">
        <v>30</v>
      </c>
      <c r="H98" s="1">
        <v>0.50871641308581572</v>
      </c>
      <c r="I98" s="1">
        <v>1.9474796100299672</v>
      </c>
      <c r="J98" s="1">
        <v>493.39339999372822</v>
      </c>
      <c r="K98" s="1" t="s">
        <v>17</v>
      </c>
    </row>
    <row r="99" spans="2:11" x14ac:dyDescent="0.3">
      <c r="C99" s="13">
        <v>41.35</v>
      </c>
      <c r="D99" s="13">
        <v>0.31</v>
      </c>
      <c r="E99" s="1">
        <v>18.399999999999999</v>
      </c>
      <c r="F99" s="1">
        <v>28</v>
      </c>
      <c r="G99" s="1">
        <v>45</v>
      </c>
      <c r="H99" s="1">
        <v>0.54197308343210426</v>
      </c>
      <c r="I99" s="1">
        <v>1.9730666514927344</v>
      </c>
      <c r="J99" s="1">
        <v>496.55185372846063</v>
      </c>
      <c r="K99" s="1" t="s">
        <v>17</v>
      </c>
    </row>
    <row r="100" spans="2:11" x14ac:dyDescent="0.3">
      <c r="C100" s="13">
        <v>41.35</v>
      </c>
      <c r="D100" s="13">
        <v>0.31</v>
      </c>
      <c r="E100" s="1">
        <v>18.399999999999999</v>
      </c>
      <c r="F100" s="1">
        <v>29</v>
      </c>
      <c r="G100" s="1">
        <v>0</v>
      </c>
      <c r="H100" s="1">
        <v>0.3961029834228712</v>
      </c>
      <c r="I100" s="1">
        <v>1.9811467698493974</v>
      </c>
      <c r="J100" s="1">
        <v>416.17976017881932</v>
      </c>
      <c r="K100" s="1" t="s">
        <v>17</v>
      </c>
    </row>
    <row r="101" spans="2:11" x14ac:dyDescent="0.3">
      <c r="C101" s="13">
        <v>41.35</v>
      </c>
      <c r="D101" s="13">
        <v>0.31</v>
      </c>
      <c r="E101" s="1">
        <v>18.399999999999999</v>
      </c>
      <c r="F101" s="1">
        <v>30</v>
      </c>
      <c r="G101" s="1">
        <v>15</v>
      </c>
      <c r="H101" s="1">
        <v>0.3964727182014432</v>
      </c>
      <c r="I101" s="1">
        <v>1.9434395508516353</v>
      </c>
      <c r="J101" s="1">
        <v>448.53212518145966</v>
      </c>
      <c r="K101" s="1" t="s">
        <v>17</v>
      </c>
    </row>
    <row r="102" spans="2:11" x14ac:dyDescent="0.3">
      <c r="C102" s="13">
        <v>41.35</v>
      </c>
      <c r="D102" s="13">
        <v>0.31</v>
      </c>
      <c r="E102" s="1">
        <v>18.399999999999999</v>
      </c>
      <c r="F102" s="1">
        <v>31</v>
      </c>
      <c r="G102" s="1">
        <v>30</v>
      </c>
      <c r="H102" s="1">
        <v>0.39460458458339542</v>
      </c>
      <c r="I102" s="1">
        <v>1.9609464739577394</v>
      </c>
      <c r="J102" s="1">
        <v>470.0748710870576</v>
      </c>
      <c r="K102" s="1" t="s">
        <v>17</v>
      </c>
    </row>
    <row r="103" spans="2:11" x14ac:dyDescent="0.3">
      <c r="C103" s="13">
        <v>41.35</v>
      </c>
      <c r="D103" s="13">
        <v>0.31</v>
      </c>
      <c r="E103" s="1">
        <v>18.399999999999999</v>
      </c>
      <c r="F103" s="1">
        <v>32</v>
      </c>
      <c r="G103" s="1">
        <v>45</v>
      </c>
      <c r="H103" s="1">
        <v>0.45490054307840722</v>
      </c>
      <c r="I103" s="1">
        <v>1.9380528052805268</v>
      </c>
      <c r="J103" s="1">
        <v>657.90313785155593</v>
      </c>
      <c r="K103" s="1" t="s">
        <v>17</v>
      </c>
    </row>
    <row r="104" spans="2:11" x14ac:dyDescent="0.3">
      <c r="B104" s="1" t="s">
        <v>25</v>
      </c>
      <c r="C104" s="13">
        <v>41.35</v>
      </c>
      <c r="D104" s="13">
        <v>0.31</v>
      </c>
      <c r="E104" s="1">
        <v>18.399999999999999</v>
      </c>
      <c r="F104" s="1">
        <v>333</v>
      </c>
      <c r="G104" s="1">
        <v>0</v>
      </c>
      <c r="H104" s="1">
        <v>0.40401979671544769</v>
      </c>
      <c r="I104" s="1">
        <v>1.8080207324848281</v>
      </c>
      <c r="J104" s="1">
        <v>398.45793611617046</v>
      </c>
      <c r="K104" s="1" t="s">
        <v>16</v>
      </c>
    </row>
    <row r="105" spans="2:11" x14ac:dyDescent="0.3">
      <c r="B105" s="1">
        <v>20.399999999999999</v>
      </c>
      <c r="C105" s="13">
        <v>41.35</v>
      </c>
      <c r="D105" s="13">
        <v>0.31</v>
      </c>
      <c r="E105" s="1">
        <v>18.399999999999999</v>
      </c>
      <c r="F105" s="1">
        <v>334</v>
      </c>
      <c r="G105" s="1">
        <v>15</v>
      </c>
      <c r="H105" s="1">
        <v>0.41704676612693831</v>
      </c>
      <c r="I105" s="1">
        <v>1.7977064393492168</v>
      </c>
      <c r="J105" s="1">
        <v>441.36234545850232</v>
      </c>
      <c r="K105" s="1" t="s">
        <v>16</v>
      </c>
    </row>
    <row r="106" spans="2:11" x14ac:dyDescent="0.3">
      <c r="B106" s="1">
        <v>14.2</v>
      </c>
      <c r="C106" s="13">
        <v>41.35</v>
      </c>
      <c r="D106" s="13">
        <v>0.31</v>
      </c>
      <c r="E106" s="1">
        <v>18.399999999999999</v>
      </c>
      <c r="F106" s="1">
        <v>335</v>
      </c>
      <c r="G106" s="1">
        <v>30</v>
      </c>
      <c r="H106" s="1">
        <v>0.40572605172298654</v>
      </c>
      <c r="I106" s="1">
        <v>1.8018321566034614</v>
      </c>
      <c r="J106" s="1">
        <v>439.09968106106896</v>
      </c>
      <c r="K106" s="1" t="s">
        <v>16</v>
      </c>
    </row>
    <row r="107" spans="2:11" x14ac:dyDescent="0.3">
      <c r="C107" s="13">
        <v>41.35</v>
      </c>
      <c r="D107" s="13">
        <v>0.31</v>
      </c>
      <c r="E107" s="1">
        <v>18.399999999999999</v>
      </c>
      <c r="F107" s="1">
        <v>336</v>
      </c>
      <c r="G107" s="1">
        <v>45</v>
      </c>
      <c r="H107" s="1">
        <v>0.40698177872291691</v>
      </c>
      <c r="I107" s="1">
        <v>1.8008007272899003</v>
      </c>
      <c r="J107" s="1">
        <v>431.60913378346959</v>
      </c>
      <c r="K107" s="1" t="s">
        <v>16</v>
      </c>
    </row>
    <row r="108" spans="2:11" x14ac:dyDescent="0.3">
      <c r="C108" s="13">
        <v>41.35</v>
      </c>
      <c r="D108" s="13">
        <v>0.31</v>
      </c>
      <c r="E108" s="1">
        <v>18.399999999999999</v>
      </c>
      <c r="F108" s="1">
        <v>337</v>
      </c>
      <c r="G108" s="1">
        <v>0</v>
      </c>
      <c r="H108" s="1">
        <v>0.40267779839491147</v>
      </c>
      <c r="I108" s="1">
        <v>1.8121464497390727</v>
      </c>
      <c r="J108" s="1">
        <v>403.02728918792263</v>
      </c>
      <c r="K108" s="1" t="s">
        <v>16</v>
      </c>
    </row>
    <row r="109" spans="2:11" x14ac:dyDescent="0.3">
      <c r="C109" s="13">
        <v>41.35</v>
      </c>
      <c r="D109" s="13">
        <v>0.31</v>
      </c>
      <c r="E109" s="1">
        <v>18.399999999999999</v>
      </c>
      <c r="F109" s="1">
        <v>338</v>
      </c>
      <c r="G109" s="1">
        <v>15</v>
      </c>
      <c r="H109" s="1">
        <v>0.42461947093567826</v>
      </c>
      <c r="I109" s="1">
        <v>1.7863607169000446</v>
      </c>
      <c r="J109" s="1">
        <v>427.7946136258185</v>
      </c>
      <c r="K109" s="1" t="s">
        <v>16</v>
      </c>
    </row>
    <row r="110" spans="2:11" x14ac:dyDescent="0.3">
      <c r="C110" s="13">
        <v>41.35</v>
      </c>
      <c r="D110" s="13">
        <v>0.31</v>
      </c>
      <c r="E110" s="1">
        <v>18.399999999999999</v>
      </c>
      <c r="F110" s="1">
        <v>339</v>
      </c>
      <c r="G110" s="1">
        <v>30</v>
      </c>
      <c r="H110" s="1">
        <v>0.41253190034856296</v>
      </c>
      <c r="I110" s="1">
        <v>1.7946121514085334</v>
      </c>
      <c r="J110" s="1">
        <v>421.05889926232021</v>
      </c>
      <c r="K110" s="1" t="s">
        <v>16</v>
      </c>
    </row>
    <row r="111" spans="2:11" x14ac:dyDescent="0.3">
      <c r="C111" s="13">
        <v>41.35</v>
      </c>
      <c r="D111" s="13">
        <v>0.31</v>
      </c>
      <c r="E111" s="1">
        <v>18.399999999999999</v>
      </c>
      <c r="F111" s="1">
        <v>340</v>
      </c>
      <c r="G111" s="1">
        <v>45</v>
      </c>
      <c r="H111" s="1">
        <v>0.42187796008086859</v>
      </c>
      <c r="I111" s="1">
        <v>1.8451521877730284</v>
      </c>
      <c r="J111" s="1">
        <v>462.81042285371024</v>
      </c>
      <c r="K111" s="1" t="s">
        <v>16</v>
      </c>
    </row>
    <row r="112" spans="2:11" x14ac:dyDescent="0.3">
      <c r="C112" s="13">
        <v>41.35</v>
      </c>
      <c r="D112" s="13">
        <v>0.31</v>
      </c>
      <c r="E112" s="1">
        <v>18.399999999999999</v>
      </c>
      <c r="F112" s="1">
        <v>341</v>
      </c>
      <c r="G112" s="1">
        <v>0</v>
      </c>
      <c r="H112" s="1">
        <v>0.40226561319646104</v>
      </c>
      <c r="I112" s="1">
        <v>1.8008007272899003</v>
      </c>
      <c r="J112" s="1">
        <v>397.44904643754188</v>
      </c>
      <c r="K112" s="1" t="s">
        <v>16</v>
      </c>
    </row>
    <row r="113" spans="3:11" x14ac:dyDescent="0.3">
      <c r="C113" s="13">
        <v>41.35</v>
      </c>
      <c r="D113" s="13">
        <v>0.31</v>
      </c>
      <c r="E113" s="1">
        <v>18.399999999999999</v>
      </c>
      <c r="F113" s="1">
        <v>342</v>
      </c>
      <c r="G113" s="1">
        <v>15</v>
      </c>
      <c r="H113" s="1">
        <v>0.40767194928776407</v>
      </c>
      <c r="I113" s="1">
        <v>1.7894550048407276</v>
      </c>
      <c r="J113" s="1">
        <v>440.65337116615694</v>
      </c>
      <c r="K113" s="1" t="s">
        <v>16</v>
      </c>
    </row>
    <row r="114" spans="3:11" x14ac:dyDescent="0.3">
      <c r="C114" s="13">
        <v>41.35</v>
      </c>
      <c r="D114" s="13">
        <v>0.31</v>
      </c>
      <c r="E114" s="1">
        <v>18.399999999999999</v>
      </c>
      <c r="F114" s="1">
        <v>343</v>
      </c>
      <c r="G114" s="1">
        <v>30</v>
      </c>
      <c r="H114" s="1">
        <v>0.43396553066798388</v>
      </c>
      <c r="I114" s="1">
        <v>1.805957873857706</v>
      </c>
      <c r="J114" s="1">
        <v>495.69105465264988</v>
      </c>
      <c r="K114" s="1" t="s">
        <v>16</v>
      </c>
    </row>
    <row r="115" spans="3:11" x14ac:dyDescent="0.3">
      <c r="C115" s="13">
        <v>41.35</v>
      </c>
      <c r="D115" s="13">
        <v>0.31</v>
      </c>
      <c r="E115" s="1">
        <v>18.399999999999999</v>
      </c>
      <c r="F115" s="1">
        <v>344</v>
      </c>
      <c r="G115" s="1">
        <v>45</v>
      </c>
      <c r="H115" s="1">
        <v>0.4182353932108418</v>
      </c>
      <c r="I115" s="1">
        <v>1.8111150204255115</v>
      </c>
      <c r="J115" s="1">
        <v>493.30824066621625</v>
      </c>
      <c r="K115" s="1" t="s">
        <v>16</v>
      </c>
    </row>
    <row r="116" spans="3:11" x14ac:dyDescent="0.3">
      <c r="C116" s="13">
        <v>41.35</v>
      </c>
      <c r="D116" s="13">
        <v>0.31</v>
      </c>
      <c r="E116" s="1">
        <v>18.399999999999999</v>
      </c>
      <c r="F116" s="1">
        <v>345</v>
      </c>
      <c r="G116" s="1">
        <v>0</v>
      </c>
      <c r="H116" s="1">
        <v>0.40371305424218229</v>
      </c>
      <c r="I116" s="1">
        <v>1.8152407376797559</v>
      </c>
      <c r="J116" s="1">
        <v>406.69231023864972</v>
      </c>
      <c r="K116" s="1" t="s">
        <v>16</v>
      </c>
    </row>
    <row r="117" spans="3:11" x14ac:dyDescent="0.3">
      <c r="C117" s="13">
        <v>41.35</v>
      </c>
      <c r="D117" s="13">
        <v>0.31</v>
      </c>
      <c r="E117" s="1">
        <v>18.399999999999999</v>
      </c>
      <c r="F117" s="1">
        <v>346</v>
      </c>
      <c r="G117" s="1">
        <v>15</v>
      </c>
      <c r="H117" s="1">
        <v>0.40853466249382303</v>
      </c>
      <c r="I117" s="1">
        <v>1.7935807220949722</v>
      </c>
      <c r="J117" s="1">
        <v>438.51177353015908</v>
      </c>
      <c r="K117" s="1" t="s">
        <v>16</v>
      </c>
    </row>
    <row r="118" spans="3:11" x14ac:dyDescent="0.3">
      <c r="C118" s="13">
        <v>41.35</v>
      </c>
      <c r="D118" s="13">
        <v>0.31</v>
      </c>
      <c r="E118" s="1">
        <v>18.399999999999999</v>
      </c>
      <c r="F118" s="1">
        <v>347</v>
      </c>
      <c r="G118" s="1">
        <v>30</v>
      </c>
      <c r="H118" s="1">
        <v>0.41929940616498124</v>
      </c>
      <c r="I118" s="1">
        <v>1.8142093083661948</v>
      </c>
      <c r="J118" s="1">
        <v>481.54000115123176</v>
      </c>
      <c r="K118" s="1" t="s">
        <v>16</v>
      </c>
    </row>
    <row r="119" spans="3:11" x14ac:dyDescent="0.3">
      <c r="C119" s="13">
        <v>41.35</v>
      </c>
      <c r="D119" s="13">
        <v>0.31</v>
      </c>
      <c r="E119" s="1">
        <v>18.399999999999999</v>
      </c>
      <c r="F119" s="1">
        <v>348</v>
      </c>
      <c r="G119" s="1">
        <v>45</v>
      </c>
      <c r="H119" s="1">
        <v>0.42099607547023055</v>
      </c>
      <c r="I119" s="1">
        <v>1.8028635859170223</v>
      </c>
      <c r="J119" s="1">
        <v>464.47509082344737</v>
      </c>
      <c r="K119" s="1" t="s">
        <v>16</v>
      </c>
    </row>
    <row r="120" spans="3:11" x14ac:dyDescent="0.3">
      <c r="C120" s="13">
        <v>41.35</v>
      </c>
      <c r="D120" s="13">
        <v>0.31</v>
      </c>
      <c r="E120" s="1">
        <v>18.399999999999999</v>
      </c>
      <c r="F120" s="1">
        <v>349</v>
      </c>
      <c r="G120" s="1">
        <v>0</v>
      </c>
      <c r="H120" s="1">
        <v>0.4037034685398927</v>
      </c>
      <c r="I120" s="1">
        <v>1.7853292875864835</v>
      </c>
      <c r="J120" s="1">
        <v>404.88272902416412</v>
      </c>
      <c r="K120" s="1" t="s">
        <v>16</v>
      </c>
    </row>
    <row r="121" spans="3:11" x14ac:dyDescent="0.3">
      <c r="C121" s="13">
        <v>41.35</v>
      </c>
      <c r="D121" s="13">
        <v>0.31</v>
      </c>
      <c r="E121" s="1">
        <v>18.399999999999999</v>
      </c>
      <c r="F121" s="1">
        <v>350</v>
      </c>
      <c r="G121" s="1">
        <v>15</v>
      </c>
      <c r="H121" s="1">
        <v>0.41352881338667552</v>
      </c>
      <c r="I121" s="1">
        <v>1.7925492927814113</v>
      </c>
      <c r="J121" s="1">
        <v>425.569553298225</v>
      </c>
      <c r="K121" s="1" t="s">
        <v>16</v>
      </c>
    </row>
    <row r="122" spans="3:11" x14ac:dyDescent="0.3">
      <c r="C122" s="13">
        <v>41.35</v>
      </c>
      <c r="D122" s="13">
        <v>0.31</v>
      </c>
      <c r="E122" s="1">
        <v>18.399999999999999</v>
      </c>
      <c r="F122" s="1">
        <v>351</v>
      </c>
      <c r="G122" s="1">
        <v>30</v>
      </c>
      <c r="H122" s="1">
        <v>0.42686252527143159</v>
      </c>
      <c r="I122" s="1">
        <v>1.8080207324848281</v>
      </c>
      <c r="J122" s="1">
        <v>457.66049963052905</v>
      </c>
      <c r="K122" s="1" t="s">
        <v>16</v>
      </c>
    </row>
    <row r="123" spans="3:11" x14ac:dyDescent="0.3">
      <c r="C123" s="13">
        <v>41.35</v>
      </c>
      <c r="D123" s="13">
        <v>0.31</v>
      </c>
      <c r="E123" s="1">
        <v>18.399999999999999</v>
      </c>
      <c r="F123" s="1">
        <v>352</v>
      </c>
      <c r="G123" s="1">
        <v>45</v>
      </c>
      <c r="H123" s="1">
        <v>0.41743019421852007</v>
      </c>
      <c r="I123" s="1">
        <v>1.8069893031712669</v>
      </c>
      <c r="J123" s="1">
        <v>435.22279317783</v>
      </c>
      <c r="K123" s="1" t="s">
        <v>16</v>
      </c>
    </row>
    <row r="124" spans="3:11" x14ac:dyDescent="0.3">
      <c r="C124" s="13">
        <v>41.35</v>
      </c>
      <c r="D124" s="13">
        <v>0.31</v>
      </c>
      <c r="E124" s="1">
        <v>18.399999999999999</v>
      </c>
      <c r="F124" s="1">
        <v>353</v>
      </c>
      <c r="G124" s="1">
        <v>0</v>
      </c>
      <c r="H124" s="1">
        <v>0.40424985357039678</v>
      </c>
      <c r="I124" s="1">
        <v>1.8224607428746837</v>
      </c>
      <c r="J124" s="1">
        <v>403.07773367185411</v>
      </c>
      <c r="K124" s="1" t="s">
        <v>16</v>
      </c>
    </row>
    <row r="125" spans="3:11" x14ac:dyDescent="0.3">
      <c r="C125" s="13">
        <v>41.35</v>
      </c>
      <c r="D125" s="13">
        <v>0.31</v>
      </c>
      <c r="E125" s="1">
        <v>18.399999999999999</v>
      </c>
      <c r="F125" s="1">
        <v>354</v>
      </c>
      <c r="G125" s="1">
        <v>15</v>
      </c>
      <c r="H125" s="1">
        <v>0.40799786316560854</v>
      </c>
      <c r="I125" s="1">
        <v>1.7884235755271667</v>
      </c>
      <c r="J125" s="1">
        <v>443.40488847150755</v>
      </c>
      <c r="K125" s="1" t="s">
        <v>16</v>
      </c>
    </row>
    <row r="126" spans="3:11" x14ac:dyDescent="0.3">
      <c r="C126" s="13">
        <v>41.35</v>
      </c>
      <c r="D126" s="13">
        <v>0.31</v>
      </c>
      <c r="E126" s="1">
        <v>18.399999999999999</v>
      </c>
      <c r="F126" s="1">
        <v>355</v>
      </c>
      <c r="G126" s="1">
        <v>30</v>
      </c>
      <c r="H126" s="1">
        <v>0.40912897603577475</v>
      </c>
      <c r="I126" s="1">
        <v>1.8018321566034614</v>
      </c>
      <c r="J126" s="1">
        <v>437.07272997946069</v>
      </c>
      <c r="K126" s="1" t="s">
        <v>16</v>
      </c>
    </row>
    <row r="127" spans="3:11" x14ac:dyDescent="0.3">
      <c r="C127" s="13">
        <v>41.35</v>
      </c>
      <c r="D127" s="13">
        <v>0.31</v>
      </c>
      <c r="E127" s="1">
        <v>18.399999999999999</v>
      </c>
      <c r="F127" s="1">
        <v>356</v>
      </c>
      <c r="G127" s="1">
        <v>45</v>
      </c>
      <c r="H127" s="1">
        <v>0.40851549108924395</v>
      </c>
      <c r="I127" s="1">
        <v>1.7946121514085334</v>
      </c>
      <c r="J127" s="1">
        <v>430.20769430261095</v>
      </c>
      <c r="K127" s="1" t="s">
        <v>16</v>
      </c>
    </row>
    <row r="128" spans="3:11" x14ac:dyDescent="0.3">
      <c r="C128" s="13">
        <v>41.35</v>
      </c>
      <c r="D128" s="13">
        <v>0.31</v>
      </c>
      <c r="E128" s="1">
        <v>18.399999999999999</v>
      </c>
      <c r="F128" s="1">
        <v>357</v>
      </c>
      <c r="G128" s="1">
        <v>0</v>
      </c>
      <c r="H128" s="1">
        <v>0.40113450032629488</v>
      </c>
      <c r="I128" s="1">
        <v>1.8080207324848281</v>
      </c>
      <c r="J128" s="1">
        <v>408.29461048279882</v>
      </c>
      <c r="K128" s="1" t="s">
        <v>17</v>
      </c>
    </row>
    <row r="129" spans="2:11" x14ac:dyDescent="0.3">
      <c r="C129" s="13">
        <v>41.35</v>
      </c>
      <c r="D129" s="13">
        <v>0.31</v>
      </c>
      <c r="E129" s="1">
        <v>18.399999999999999</v>
      </c>
      <c r="F129" s="1">
        <v>358</v>
      </c>
      <c r="G129" s="1">
        <v>15</v>
      </c>
      <c r="H129" s="1">
        <v>0.40024303001336725</v>
      </c>
      <c r="I129" s="1">
        <v>1.805957873857706</v>
      </c>
      <c r="J129" s="1">
        <v>441.04408662351676</v>
      </c>
      <c r="K129" s="1" t="s">
        <v>17</v>
      </c>
    </row>
    <row r="130" spans="2:11" x14ac:dyDescent="0.3">
      <c r="C130" s="13">
        <v>41.35</v>
      </c>
      <c r="D130" s="13">
        <v>0.31</v>
      </c>
      <c r="E130" s="1">
        <v>18.399999999999999</v>
      </c>
      <c r="F130" s="1">
        <v>359</v>
      </c>
      <c r="G130" s="1">
        <v>30</v>
      </c>
      <c r="H130" s="1">
        <v>0.40194928502090616</v>
      </c>
      <c r="I130" s="1">
        <v>1.7873921462136055</v>
      </c>
      <c r="J130" s="1">
        <v>432.93811664195391</v>
      </c>
      <c r="K130" s="1" t="s">
        <v>17</v>
      </c>
    </row>
    <row r="131" spans="2:11" x14ac:dyDescent="0.3">
      <c r="C131" s="13">
        <v>41.35</v>
      </c>
      <c r="D131" s="13">
        <v>0.31</v>
      </c>
      <c r="E131" s="1">
        <v>18.399999999999999</v>
      </c>
      <c r="F131" s="1">
        <v>360</v>
      </c>
      <c r="G131" s="1">
        <v>45</v>
      </c>
      <c r="H131" s="1">
        <v>0.41128575905092218</v>
      </c>
      <c r="I131" s="1">
        <v>1.7946121514085334</v>
      </c>
      <c r="J131" s="1">
        <v>426.66374001331945</v>
      </c>
      <c r="K131" s="1" t="s">
        <v>17</v>
      </c>
    </row>
    <row r="132" spans="2:11" x14ac:dyDescent="0.3">
      <c r="C132" s="13">
        <v>41.35</v>
      </c>
      <c r="D132" s="13">
        <v>0.31</v>
      </c>
      <c r="E132" s="1">
        <v>18.399999999999999</v>
      </c>
      <c r="F132" s="1">
        <v>361</v>
      </c>
      <c r="G132" s="1">
        <v>0</v>
      </c>
      <c r="H132" s="1">
        <v>0.40044432976144767</v>
      </c>
      <c r="I132" s="1">
        <v>1.8049264445441446</v>
      </c>
      <c r="J132" s="1">
        <v>403.87383934553554</v>
      </c>
      <c r="K132" s="1" t="s">
        <v>17</v>
      </c>
    </row>
    <row r="133" spans="2:11" x14ac:dyDescent="0.3">
      <c r="C133" s="13">
        <v>41.35</v>
      </c>
      <c r="D133" s="13">
        <v>0.31</v>
      </c>
      <c r="E133" s="1">
        <v>18.399999999999999</v>
      </c>
      <c r="F133" s="1">
        <v>362</v>
      </c>
      <c r="G133" s="1">
        <v>15</v>
      </c>
      <c r="H133" s="1">
        <v>0.40123994305147986</v>
      </c>
      <c r="I133" s="1">
        <v>1.7956435807220947</v>
      </c>
      <c r="J133" s="1">
        <v>435.08063145038687</v>
      </c>
      <c r="K133" s="1" t="s">
        <v>17</v>
      </c>
    </row>
    <row r="134" spans="2:11" x14ac:dyDescent="0.3">
      <c r="C134" s="13">
        <v>41.35</v>
      </c>
      <c r="D134" s="13">
        <v>0.31</v>
      </c>
      <c r="E134" s="1">
        <v>18.399999999999999</v>
      </c>
      <c r="F134" s="1">
        <v>363</v>
      </c>
      <c r="G134" s="1">
        <v>30</v>
      </c>
      <c r="H134" s="1">
        <v>0.40197804212777472</v>
      </c>
      <c r="I134" s="1">
        <v>1.8131778790526336</v>
      </c>
      <c r="J134" s="1">
        <v>447.1937278009753</v>
      </c>
      <c r="K134" s="1" t="s">
        <v>17</v>
      </c>
    </row>
    <row r="135" spans="2:11" x14ac:dyDescent="0.3">
      <c r="C135" s="13">
        <v>41.35</v>
      </c>
      <c r="D135" s="13">
        <v>0.31</v>
      </c>
      <c r="E135" s="1">
        <v>18.399999999999999</v>
      </c>
      <c r="F135" s="1">
        <v>364</v>
      </c>
      <c r="G135" s="1">
        <v>45</v>
      </c>
      <c r="H135" s="1">
        <v>0.40290785524986061</v>
      </c>
      <c r="I135" s="1">
        <v>1.8080207324848281</v>
      </c>
      <c r="J135" s="1">
        <v>418.31838802619109</v>
      </c>
      <c r="K135" s="1" t="s">
        <v>17</v>
      </c>
    </row>
    <row r="136" spans="2:11" x14ac:dyDescent="0.3">
      <c r="C136" s="13">
        <v>41.35</v>
      </c>
      <c r="D136" s="13">
        <v>0.31</v>
      </c>
      <c r="E136" s="1">
        <v>18.399999999999999</v>
      </c>
      <c r="F136" s="1" t="s">
        <v>22</v>
      </c>
      <c r="H136" s="1">
        <v>0.40021427290649864</v>
      </c>
      <c r="I136" s="1">
        <v>1.7925492927814113</v>
      </c>
      <c r="J136" s="1">
        <v>407.15456514594854</v>
      </c>
    </row>
    <row r="137" spans="2:11" x14ac:dyDescent="0.3">
      <c r="C137" s="13">
        <v>41.35</v>
      </c>
      <c r="D137" s="13">
        <v>0.31</v>
      </c>
      <c r="E137" s="1">
        <v>18.399999999999999</v>
      </c>
      <c r="F137" s="1" t="s">
        <v>23</v>
      </c>
      <c r="H137" s="1">
        <v>0.40284075533383373</v>
      </c>
      <c r="I137" s="1">
        <v>1.8100835911119502</v>
      </c>
      <c r="J137" s="1">
        <v>422.19527590943005</v>
      </c>
    </row>
    <row r="138" spans="2:11" x14ac:dyDescent="0.3">
      <c r="B138" s="1" t="s">
        <v>26</v>
      </c>
      <c r="C138" s="13">
        <v>41.35</v>
      </c>
      <c r="D138" s="13">
        <v>0.31</v>
      </c>
      <c r="E138" s="1">
        <v>23.2</v>
      </c>
      <c r="F138" s="1">
        <v>933</v>
      </c>
      <c r="G138" s="1">
        <v>0</v>
      </c>
      <c r="H138" s="1">
        <v>0.41450655502020911</v>
      </c>
      <c r="I138" s="1">
        <v>1.8946607948239624</v>
      </c>
      <c r="J138" s="1">
        <v>413.10884859472731</v>
      </c>
      <c r="K138" s="1" t="s">
        <v>16</v>
      </c>
    </row>
    <row r="139" spans="2:11" x14ac:dyDescent="0.3">
      <c r="B139" s="1">
        <v>32.700000000000003</v>
      </c>
      <c r="C139" s="13">
        <v>41.35</v>
      </c>
      <c r="D139" s="13">
        <v>0.31</v>
      </c>
      <c r="E139" s="1">
        <v>23.2</v>
      </c>
      <c r="F139" s="1">
        <v>934</v>
      </c>
      <c r="G139" s="1">
        <v>15</v>
      </c>
      <c r="H139" s="1">
        <v>0.59024123509442339</v>
      </c>
      <c r="I139" s="1">
        <v>1.849277905027273</v>
      </c>
      <c r="J139" s="1">
        <v>923.35021769894195</v>
      </c>
      <c r="K139" s="1" t="s">
        <v>16</v>
      </c>
    </row>
    <row r="140" spans="2:11" x14ac:dyDescent="0.3">
      <c r="B140" s="1">
        <v>23.2</v>
      </c>
      <c r="C140" s="13">
        <v>41.35</v>
      </c>
      <c r="D140" s="13">
        <v>0.31</v>
      </c>
      <c r="E140" s="1">
        <v>23.2</v>
      </c>
      <c r="F140" s="1">
        <v>935</v>
      </c>
      <c r="G140" s="1">
        <v>30</v>
      </c>
      <c r="H140" s="1">
        <v>0.77022238128290588</v>
      </c>
      <c r="I140" s="1">
        <v>1.8564979102222008</v>
      </c>
      <c r="J140" s="1">
        <v>1220.6140584722343</v>
      </c>
      <c r="K140" s="1" t="s">
        <v>16</v>
      </c>
    </row>
    <row r="141" spans="2:11" x14ac:dyDescent="0.3">
      <c r="C141" s="13">
        <v>41.35</v>
      </c>
      <c r="D141" s="13">
        <v>0.31</v>
      </c>
      <c r="E141" s="1">
        <v>23.2</v>
      </c>
      <c r="F141" s="1">
        <v>936</v>
      </c>
      <c r="G141" s="1">
        <v>45</v>
      </c>
      <c r="H141" s="1">
        <v>0.74522286971177454</v>
      </c>
      <c r="I141" s="1">
        <v>1.8358693239509782</v>
      </c>
      <c r="J141" s="1">
        <v>1288.4068590138975</v>
      </c>
      <c r="K141" s="1" t="s">
        <v>16</v>
      </c>
    </row>
    <row r="142" spans="2:11" x14ac:dyDescent="0.3">
      <c r="C142" s="13">
        <v>41.35</v>
      </c>
      <c r="D142" s="13">
        <v>0.31</v>
      </c>
      <c r="E142" s="1">
        <v>23.2</v>
      </c>
      <c r="F142" s="1">
        <v>937</v>
      </c>
      <c r="G142" s="1">
        <v>0</v>
      </c>
      <c r="H142" s="1">
        <v>0.41296325695159247</v>
      </c>
      <c r="I142" s="1">
        <v>1.8441207584594674</v>
      </c>
      <c r="J142" s="1">
        <v>410.70952550446157</v>
      </c>
      <c r="K142" s="1" t="s">
        <v>16</v>
      </c>
    </row>
    <row r="143" spans="2:11" x14ac:dyDescent="0.3">
      <c r="C143" s="13">
        <v>41.35</v>
      </c>
      <c r="D143" s="13">
        <v>0.31</v>
      </c>
      <c r="E143" s="1">
        <v>23.2</v>
      </c>
      <c r="F143" s="1">
        <v>938</v>
      </c>
      <c r="G143" s="1">
        <v>15</v>
      </c>
      <c r="H143" s="1">
        <v>0.91385454438943658</v>
      </c>
      <c r="I143" s="1">
        <v>1.8699064912984955</v>
      </c>
      <c r="J143" s="1">
        <v>961.87604583602592</v>
      </c>
      <c r="K143" s="1" t="s">
        <v>16</v>
      </c>
    </row>
    <row r="144" spans="2:11" x14ac:dyDescent="0.3">
      <c r="C144" s="13">
        <v>41.35</v>
      </c>
      <c r="D144" s="13">
        <v>0.31</v>
      </c>
      <c r="E144" s="1">
        <v>23.2</v>
      </c>
      <c r="F144" s="1">
        <v>939</v>
      </c>
      <c r="G144" s="1">
        <v>30</v>
      </c>
      <c r="H144" s="1">
        <v>1.1936995370303907</v>
      </c>
      <c r="I144" s="1">
        <v>1.825555030815367</v>
      </c>
      <c r="J144" s="1">
        <v>1090.175629094784</v>
      </c>
      <c r="K144" s="1" t="s">
        <v>16</v>
      </c>
    </row>
    <row r="145" spans="3:11" x14ac:dyDescent="0.3">
      <c r="C145" s="13">
        <v>41.35</v>
      </c>
      <c r="D145" s="13">
        <v>0.31</v>
      </c>
      <c r="E145" s="1">
        <v>23.2</v>
      </c>
      <c r="F145" s="1">
        <v>940</v>
      </c>
      <c r="G145" s="1">
        <v>45</v>
      </c>
      <c r="H145" s="1">
        <v>1.4217050516894898</v>
      </c>
      <c r="I145" s="1">
        <v>1.8554664809086396</v>
      </c>
      <c r="J145" s="1">
        <v>1258.2529808645602</v>
      </c>
      <c r="K145" s="1" t="s">
        <v>16</v>
      </c>
    </row>
    <row r="146" spans="3:11" x14ac:dyDescent="0.3">
      <c r="C146" s="13">
        <v>41.35</v>
      </c>
      <c r="D146" s="13">
        <v>0.31</v>
      </c>
      <c r="E146" s="1">
        <v>23.2</v>
      </c>
      <c r="F146" s="1">
        <v>941</v>
      </c>
      <c r="G146" s="1">
        <v>0</v>
      </c>
      <c r="H146" s="1">
        <v>0.42882759424078815</v>
      </c>
      <c r="I146" s="1">
        <v>1.851340763654395</v>
      </c>
      <c r="J146" s="1">
        <v>408.45052979676871</v>
      </c>
      <c r="K146" s="1" t="s">
        <v>16</v>
      </c>
    </row>
    <row r="147" spans="3:11" x14ac:dyDescent="0.3">
      <c r="C147" s="13">
        <v>41.35</v>
      </c>
      <c r="D147" s="13">
        <v>0.31</v>
      </c>
      <c r="E147" s="1">
        <v>23.2</v>
      </c>
      <c r="F147" s="1">
        <v>942</v>
      </c>
      <c r="G147" s="1">
        <v>15</v>
      </c>
      <c r="H147" s="1">
        <v>1.1280758191561711</v>
      </c>
      <c r="I147" s="1">
        <v>1.8719693499256176</v>
      </c>
      <c r="J147" s="1">
        <v>972.23734283554131</v>
      </c>
      <c r="K147" s="1" t="s">
        <v>16</v>
      </c>
    </row>
    <row r="148" spans="3:11" x14ac:dyDescent="0.3">
      <c r="C148" s="13">
        <v>41.35</v>
      </c>
      <c r="D148" s="13">
        <v>0.31</v>
      </c>
      <c r="E148" s="1">
        <v>23.2</v>
      </c>
      <c r="F148" s="1">
        <v>943</v>
      </c>
      <c r="G148" s="1">
        <v>30</v>
      </c>
      <c r="H148" s="1">
        <v>1.3358746733889109</v>
      </c>
      <c r="I148" s="1">
        <v>1.8699064912984955</v>
      </c>
      <c r="J148" s="1">
        <v>1102.9325804948244</v>
      </c>
      <c r="K148" s="1" t="s">
        <v>16</v>
      </c>
    </row>
    <row r="149" spans="3:11" x14ac:dyDescent="0.3">
      <c r="C149" s="13">
        <v>41.35</v>
      </c>
      <c r="D149" s="13">
        <v>0.31</v>
      </c>
      <c r="E149" s="1">
        <v>23.2</v>
      </c>
      <c r="F149" s="1">
        <v>944</v>
      </c>
      <c r="G149" s="1">
        <v>45</v>
      </c>
      <c r="H149" s="1">
        <v>2.4374731662056233</v>
      </c>
      <c r="I149" s="1">
        <v>1.8534036222815176</v>
      </c>
      <c r="J149" s="1">
        <v>1114.5632441445414</v>
      </c>
      <c r="K149" s="1" t="s">
        <v>16</v>
      </c>
    </row>
    <row r="150" spans="3:11" x14ac:dyDescent="0.3">
      <c r="C150" s="13">
        <v>41.35</v>
      </c>
      <c r="D150" s="13">
        <v>0.31</v>
      </c>
      <c r="E150" s="1">
        <v>23.2</v>
      </c>
      <c r="F150" s="1">
        <v>945</v>
      </c>
      <c r="G150" s="1">
        <v>0</v>
      </c>
      <c r="H150" s="1">
        <v>0.42585602653102944</v>
      </c>
      <c r="I150" s="1">
        <v>1.8874407896290344</v>
      </c>
      <c r="J150" s="1">
        <v>405.90170759957891</v>
      </c>
      <c r="K150" s="1" t="s">
        <v>16</v>
      </c>
    </row>
    <row r="151" spans="3:11" x14ac:dyDescent="0.3">
      <c r="C151" s="13">
        <v>41.35</v>
      </c>
      <c r="D151" s="13">
        <v>0.31</v>
      </c>
      <c r="E151" s="1">
        <v>23.2</v>
      </c>
      <c r="F151" s="1">
        <v>946</v>
      </c>
      <c r="G151" s="1">
        <v>15</v>
      </c>
      <c r="H151" s="1">
        <v>0.77546576043528659</v>
      </c>
      <c r="I151" s="1">
        <v>1.8616550567900063</v>
      </c>
      <c r="J151" s="1">
        <v>843.8919009550275</v>
      </c>
      <c r="K151" s="1" t="s">
        <v>16</v>
      </c>
    </row>
    <row r="152" spans="3:11" x14ac:dyDescent="0.3">
      <c r="C152" s="13">
        <v>41.35</v>
      </c>
      <c r="D152" s="13">
        <v>0.31</v>
      </c>
      <c r="E152" s="1">
        <v>23.2</v>
      </c>
      <c r="F152" s="1">
        <v>947</v>
      </c>
      <c r="G152" s="1">
        <v>30</v>
      </c>
      <c r="H152" s="1">
        <v>0.96499426610415495</v>
      </c>
      <c r="I152" s="1">
        <v>1.8678436326713734</v>
      </c>
      <c r="J152" s="1">
        <v>1054.413241504707</v>
      </c>
      <c r="K152" s="1" t="s">
        <v>16</v>
      </c>
    </row>
    <row r="153" spans="3:11" x14ac:dyDescent="0.3">
      <c r="C153" s="13">
        <v>41.35</v>
      </c>
      <c r="D153" s="13">
        <v>0.31</v>
      </c>
      <c r="E153" s="1">
        <v>23.2</v>
      </c>
      <c r="F153" s="1">
        <v>948</v>
      </c>
      <c r="G153" s="1">
        <v>45</v>
      </c>
      <c r="H153" s="1">
        <v>1.0379222891230075</v>
      </c>
      <c r="I153" s="1">
        <v>1.851340763654395</v>
      </c>
      <c r="J153" s="1">
        <v>1220.0013872855764</v>
      </c>
      <c r="K153" s="1" t="s">
        <v>16</v>
      </c>
    </row>
    <row r="154" spans="3:11" x14ac:dyDescent="0.3">
      <c r="C154" s="13">
        <v>41.35</v>
      </c>
      <c r="D154" s="13">
        <v>0.31</v>
      </c>
      <c r="E154" s="1">
        <v>23.2</v>
      </c>
      <c r="F154" s="1">
        <v>949</v>
      </c>
      <c r="G154" s="1">
        <v>0</v>
      </c>
      <c r="H154" s="1">
        <v>0.42027714779851472</v>
      </c>
      <c r="I154" s="1">
        <v>1.8430893291459063</v>
      </c>
      <c r="J154" s="1">
        <v>449.38760426577488</v>
      </c>
      <c r="K154" s="1" t="s">
        <v>16</v>
      </c>
    </row>
    <row r="155" spans="3:11" x14ac:dyDescent="0.3">
      <c r="C155" s="13">
        <v>41.35</v>
      </c>
      <c r="D155" s="13">
        <v>0.31</v>
      </c>
      <c r="E155" s="1">
        <v>23.2</v>
      </c>
      <c r="F155" s="1">
        <v>950</v>
      </c>
      <c r="G155" s="1">
        <v>15</v>
      </c>
      <c r="H155" s="1">
        <v>0.45197706527003745</v>
      </c>
      <c r="I155" s="1">
        <v>1.8224607428746837</v>
      </c>
      <c r="J155" s="1">
        <v>795.08732133758883</v>
      </c>
      <c r="K155" s="1" t="s">
        <v>16</v>
      </c>
    </row>
    <row r="156" spans="3:11" x14ac:dyDescent="0.3">
      <c r="C156" s="13">
        <v>41.35</v>
      </c>
      <c r="D156" s="13">
        <v>0.31</v>
      </c>
      <c r="E156" s="1">
        <v>23.2</v>
      </c>
      <c r="F156" s="1">
        <v>951</v>
      </c>
      <c r="G156" s="1">
        <v>30</v>
      </c>
      <c r="H156" s="1">
        <v>0.47540452166568353</v>
      </c>
      <c r="I156" s="1">
        <v>1.8358693239509782</v>
      </c>
      <c r="J156" s="1">
        <v>1064.3654795981602</v>
      </c>
      <c r="K156" s="1" t="s">
        <v>16</v>
      </c>
    </row>
    <row r="157" spans="3:11" x14ac:dyDescent="0.3">
      <c r="C157" s="13">
        <v>41.35</v>
      </c>
      <c r="D157" s="13">
        <v>0.31</v>
      </c>
      <c r="E157" s="1">
        <v>23.2</v>
      </c>
      <c r="F157" s="1">
        <v>952</v>
      </c>
      <c r="G157" s="1">
        <v>45</v>
      </c>
      <c r="H157" s="1">
        <v>0.48438632471098653</v>
      </c>
      <c r="I157" s="1">
        <v>1.849277905027273</v>
      </c>
      <c r="J157" s="1">
        <v>1068.932081152607</v>
      </c>
      <c r="K157" s="1" t="s">
        <v>16</v>
      </c>
    </row>
    <row r="158" spans="3:11" x14ac:dyDescent="0.3">
      <c r="C158" s="13">
        <v>41.35</v>
      </c>
      <c r="D158" s="13">
        <v>0.31</v>
      </c>
      <c r="E158" s="1">
        <v>23.2</v>
      </c>
      <c r="F158" s="1">
        <v>953</v>
      </c>
      <c r="G158" s="1">
        <v>0</v>
      </c>
      <c r="H158" s="1">
        <v>0.42048803324888467</v>
      </c>
      <c r="I158" s="1">
        <v>1.8554664809086396</v>
      </c>
      <c r="J158" s="1">
        <v>422.67128840325569</v>
      </c>
      <c r="K158" s="1" t="s">
        <v>16</v>
      </c>
    </row>
    <row r="159" spans="3:11" x14ac:dyDescent="0.3">
      <c r="C159" s="13">
        <v>41.35</v>
      </c>
      <c r="D159" s="13">
        <v>0.31</v>
      </c>
      <c r="E159" s="1">
        <v>23.2</v>
      </c>
      <c r="F159" s="1">
        <v>954</v>
      </c>
      <c r="G159" s="1">
        <v>15</v>
      </c>
      <c r="H159" s="1">
        <v>0.51405407329712594</v>
      </c>
      <c r="I159" s="1">
        <v>1.825555030815367</v>
      </c>
      <c r="J159" s="1">
        <v>954.18738931244138</v>
      </c>
      <c r="K159" s="1" t="s">
        <v>16</v>
      </c>
    </row>
    <row r="160" spans="3:11" x14ac:dyDescent="0.3">
      <c r="C160" s="13">
        <v>41.35</v>
      </c>
      <c r="D160" s="13">
        <v>0.31</v>
      </c>
      <c r="E160" s="1">
        <v>23.2</v>
      </c>
      <c r="F160" s="1">
        <v>955</v>
      </c>
      <c r="G160" s="1">
        <v>30</v>
      </c>
      <c r="H160" s="1">
        <v>0.50572409800751195</v>
      </c>
      <c r="I160" s="1">
        <v>1.8451521877730284</v>
      </c>
      <c r="J160" s="1">
        <v>1076.6335780902834</v>
      </c>
      <c r="K160" s="1" t="s">
        <v>16</v>
      </c>
    </row>
    <row r="161" spans="2:11" x14ac:dyDescent="0.3">
      <c r="C161" s="13">
        <v>41.35</v>
      </c>
      <c r="D161" s="13">
        <v>0.31</v>
      </c>
      <c r="E161" s="1">
        <v>23.2</v>
      </c>
      <c r="F161" s="1">
        <v>956</v>
      </c>
      <c r="G161" s="1">
        <v>45</v>
      </c>
      <c r="H161" s="1">
        <v>0.5349125614791741</v>
      </c>
      <c r="I161" s="1">
        <v>1.8564979102222008</v>
      </c>
      <c r="J161" s="1">
        <v>1133.8156107300795</v>
      </c>
      <c r="K161" s="1" t="s">
        <v>16</v>
      </c>
    </row>
    <row r="162" spans="2:11" x14ac:dyDescent="0.3">
      <c r="C162" s="13">
        <v>41.35</v>
      </c>
      <c r="D162" s="13">
        <v>0.31</v>
      </c>
      <c r="E162" s="1">
        <v>23.2</v>
      </c>
      <c r="F162" s="1">
        <v>957</v>
      </c>
      <c r="G162" s="1">
        <v>0</v>
      </c>
      <c r="H162" s="1">
        <v>0.41876260683676669</v>
      </c>
      <c r="I162" s="1">
        <v>1.8822836430612289</v>
      </c>
      <c r="J162" s="1">
        <v>424.22773002564901</v>
      </c>
      <c r="K162" s="1" t="s">
        <v>17</v>
      </c>
    </row>
    <row r="163" spans="2:11" x14ac:dyDescent="0.3">
      <c r="C163" s="13">
        <v>41.35</v>
      </c>
      <c r="D163" s="13">
        <v>0.31</v>
      </c>
      <c r="E163" s="1">
        <v>23.2</v>
      </c>
      <c r="F163" s="1">
        <v>958</v>
      </c>
      <c r="G163" s="1">
        <v>15</v>
      </c>
      <c r="H163" s="1">
        <v>0.41773693669178547</v>
      </c>
      <c r="I163" s="1">
        <v>1.8369007532645396</v>
      </c>
      <c r="J163" s="1">
        <v>543.29597272495573</v>
      </c>
      <c r="K163" s="1" t="s">
        <v>17</v>
      </c>
    </row>
    <row r="164" spans="2:11" x14ac:dyDescent="0.3">
      <c r="C164" s="13">
        <v>41.35</v>
      </c>
      <c r="D164" s="13">
        <v>0.31</v>
      </c>
      <c r="E164" s="1">
        <v>23.2</v>
      </c>
      <c r="F164" s="1">
        <v>959</v>
      </c>
      <c r="G164" s="1">
        <v>30</v>
      </c>
      <c r="H164" s="1">
        <v>0.41965407714969433</v>
      </c>
      <c r="I164" s="1">
        <v>1.8606236274764454</v>
      </c>
      <c r="J164" s="1">
        <v>525.50557900099375</v>
      </c>
      <c r="K164" s="1" t="s">
        <v>17</v>
      </c>
    </row>
    <row r="165" spans="2:11" x14ac:dyDescent="0.3">
      <c r="C165" s="13">
        <v>41.35</v>
      </c>
      <c r="D165" s="13">
        <v>0.31</v>
      </c>
      <c r="E165" s="1">
        <v>23.2</v>
      </c>
      <c r="F165" s="1">
        <v>960</v>
      </c>
      <c r="G165" s="1">
        <v>45</v>
      </c>
      <c r="H165" s="1">
        <v>0.41534051111939946</v>
      </c>
      <c r="I165" s="1">
        <v>1.8069893031712669</v>
      </c>
      <c r="J165" s="1">
        <v>612.17929129197273</v>
      </c>
      <c r="K165" s="1" t="s">
        <v>17</v>
      </c>
    </row>
    <row r="166" spans="2:11" x14ac:dyDescent="0.3">
      <c r="C166" s="13">
        <v>41.35</v>
      </c>
      <c r="D166" s="13">
        <v>0.31</v>
      </c>
      <c r="E166" s="1">
        <v>23.2</v>
      </c>
      <c r="F166" s="1">
        <v>961</v>
      </c>
      <c r="G166" s="1">
        <v>0</v>
      </c>
      <c r="H166" s="1">
        <v>0.41588689614990343</v>
      </c>
      <c r="I166" s="1">
        <v>1.8451521877730284</v>
      </c>
      <c r="J166" s="1">
        <v>426.60779249477724</v>
      </c>
      <c r="K166" s="1" t="s">
        <v>17</v>
      </c>
    </row>
    <row r="167" spans="2:11" x14ac:dyDescent="0.3">
      <c r="C167" s="13">
        <v>41.35</v>
      </c>
      <c r="D167" s="13">
        <v>0.31</v>
      </c>
      <c r="E167" s="1">
        <v>23.2</v>
      </c>
      <c r="F167" s="1">
        <v>962</v>
      </c>
      <c r="G167" s="1">
        <v>15</v>
      </c>
      <c r="H167" s="1">
        <v>0.41690298059259517</v>
      </c>
      <c r="I167" s="1">
        <v>1.8296807480696116</v>
      </c>
      <c r="J167" s="1">
        <v>522.9264901134452</v>
      </c>
      <c r="K167" s="1" t="s">
        <v>17</v>
      </c>
    </row>
    <row r="168" spans="2:11" x14ac:dyDescent="0.3">
      <c r="C168" s="13">
        <v>41.35</v>
      </c>
      <c r="D168" s="13">
        <v>0.31</v>
      </c>
      <c r="E168" s="1">
        <v>23.2</v>
      </c>
      <c r="F168" s="1">
        <v>963</v>
      </c>
      <c r="G168" s="1">
        <v>30</v>
      </c>
      <c r="H168" s="1">
        <v>0.41537885392855756</v>
      </c>
      <c r="I168" s="1">
        <v>1.8606236274764454</v>
      </c>
      <c r="J168" s="1">
        <v>484.20346990281115</v>
      </c>
      <c r="K168" s="1" t="s">
        <v>17</v>
      </c>
    </row>
    <row r="169" spans="2:11" x14ac:dyDescent="0.3">
      <c r="C169" s="13">
        <v>41.35</v>
      </c>
      <c r="D169" s="13">
        <v>0.31</v>
      </c>
      <c r="E169" s="1">
        <v>23.2</v>
      </c>
      <c r="F169" s="1">
        <v>964</v>
      </c>
      <c r="G169" s="1">
        <v>45</v>
      </c>
      <c r="H169" s="1">
        <v>0.41642369547811797</v>
      </c>
      <c r="I169" s="1">
        <v>1.8183350256204394</v>
      </c>
      <c r="J169" s="1">
        <v>439.16480030396235</v>
      </c>
      <c r="K169" s="1" t="s">
        <v>17</v>
      </c>
    </row>
    <row r="170" spans="2:11" x14ac:dyDescent="0.3">
      <c r="C170" s="13">
        <v>41.35</v>
      </c>
      <c r="D170" s="13">
        <v>0.31</v>
      </c>
      <c r="E170" s="1">
        <v>23.2</v>
      </c>
      <c r="F170" s="1" t="s">
        <v>22</v>
      </c>
      <c r="H170" s="1">
        <v>0.38438827842646106</v>
      </c>
      <c r="I170" s="1">
        <v>1.8688750619849344</v>
      </c>
      <c r="J170" s="1">
        <v>397.03907035904467</v>
      </c>
    </row>
    <row r="171" spans="2:11" x14ac:dyDescent="0.3">
      <c r="C171" s="13">
        <v>41.35</v>
      </c>
      <c r="D171" s="13">
        <v>0.31</v>
      </c>
      <c r="E171" s="1">
        <v>23.2</v>
      </c>
      <c r="F171" s="1" t="s">
        <v>23</v>
      </c>
      <c r="H171" s="1">
        <v>0.38576861955615549</v>
      </c>
      <c r="I171" s="1">
        <v>1.8338064653238562</v>
      </c>
      <c r="J171" s="1">
        <v>397.10785829167844</v>
      </c>
    </row>
    <row r="172" spans="2:11" x14ac:dyDescent="0.3">
      <c r="B172" s="1" t="s">
        <v>27</v>
      </c>
      <c r="C172" s="13">
        <v>41.35</v>
      </c>
      <c r="D172" s="13">
        <v>0.31</v>
      </c>
      <c r="E172" s="1">
        <v>23.2</v>
      </c>
      <c r="F172" s="1">
        <v>121</v>
      </c>
      <c r="G172" s="1">
        <v>0</v>
      </c>
      <c r="H172" s="1">
        <v>0.40085014225981797</v>
      </c>
      <c r="I172" s="1">
        <v>1.8457741750719023</v>
      </c>
      <c r="J172" s="1">
        <v>405.76433942850753</v>
      </c>
      <c r="K172" s="1" t="s">
        <v>16</v>
      </c>
    </row>
    <row r="173" spans="2:11" x14ac:dyDescent="0.3">
      <c r="B173" s="1">
        <v>25.9</v>
      </c>
      <c r="C173" s="13">
        <v>41.35</v>
      </c>
      <c r="D173" s="13">
        <v>0.31</v>
      </c>
      <c r="E173" s="1">
        <v>20.6</v>
      </c>
      <c r="F173" s="1">
        <v>122</v>
      </c>
      <c r="G173" s="1">
        <v>15</v>
      </c>
      <c r="H173" s="1">
        <v>0.52157207026154395</v>
      </c>
      <c r="I173" s="1">
        <v>1.8080129440123984</v>
      </c>
      <c r="J173" s="1">
        <v>644.19702622274372</v>
      </c>
      <c r="K173" s="1" t="s">
        <v>16</v>
      </c>
    </row>
    <row r="174" spans="2:11" x14ac:dyDescent="0.3">
      <c r="B174" s="1">
        <v>20.6</v>
      </c>
      <c r="C174" s="13">
        <v>41.35</v>
      </c>
      <c r="D174" s="13">
        <v>0.31</v>
      </c>
      <c r="E174" s="1">
        <v>20.6</v>
      </c>
      <c r="F174" s="1">
        <v>123</v>
      </c>
      <c r="G174" s="1">
        <v>30</v>
      </c>
      <c r="H174" s="1">
        <v>0.58120510587176044</v>
      </c>
      <c r="I174" s="1">
        <v>1.8124554417841048</v>
      </c>
      <c r="J174" s="1">
        <v>739.07030961640726</v>
      </c>
      <c r="K174" s="1" t="s">
        <v>16</v>
      </c>
    </row>
    <row r="175" spans="2:11" x14ac:dyDescent="0.3">
      <c r="C175" s="13">
        <v>41.35</v>
      </c>
      <c r="D175" s="13">
        <v>0.31</v>
      </c>
      <c r="E175" s="1">
        <v>20.6</v>
      </c>
      <c r="F175" s="1">
        <v>124</v>
      </c>
      <c r="G175" s="1">
        <v>45</v>
      </c>
      <c r="H175" s="1">
        <v>0.58470677446990305</v>
      </c>
      <c r="I175" s="1">
        <v>1.8213404373275173</v>
      </c>
      <c r="J175" s="1">
        <v>751.85531995780389</v>
      </c>
      <c r="K175" s="1" t="s">
        <v>16</v>
      </c>
    </row>
    <row r="176" spans="2:11" x14ac:dyDescent="0.3">
      <c r="C176" s="13">
        <v>41.35</v>
      </c>
      <c r="D176" s="13">
        <v>0.31</v>
      </c>
      <c r="E176" s="1">
        <v>20.6</v>
      </c>
      <c r="F176" s="1">
        <v>125</v>
      </c>
      <c r="G176" s="1">
        <v>0</v>
      </c>
      <c r="H176" s="1">
        <v>0.39778618223644313</v>
      </c>
      <c r="I176" s="1">
        <v>1.8180085639987378</v>
      </c>
      <c r="J176" s="1">
        <v>401.44495746111278</v>
      </c>
      <c r="K176" s="1" t="s">
        <v>16</v>
      </c>
    </row>
    <row r="177" spans="3:11" x14ac:dyDescent="0.3">
      <c r="C177" s="13">
        <v>41.35</v>
      </c>
      <c r="D177" s="13">
        <v>0.31</v>
      </c>
      <c r="E177" s="1">
        <v>20.6</v>
      </c>
      <c r="F177" s="1">
        <v>126</v>
      </c>
      <c r="G177" s="1">
        <v>15</v>
      </c>
      <c r="H177" s="1">
        <v>0.43505801891830342</v>
      </c>
      <c r="I177" s="1">
        <v>1.8335573061997099</v>
      </c>
      <c r="J177" s="1">
        <v>619.93703125712375</v>
      </c>
      <c r="K177" s="1" t="s">
        <v>16</v>
      </c>
    </row>
    <row r="178" spans="3:11" x14ac:dyDescent="0.3">
      <c r="C178" s="13">
        <v>41.35</v>
      </c>
      <c r="D178" s="13">
        <v>0.31</v>
      </c>
      <c r="E178" s="1">
        <v>20.6</v>
      </c>
      <c r="F178" s="1">
        <v>127</v>
      </c>
      <c r="G178" s="1">
        <v>30</v>
      </c>
      <c r="H178" s="1">
        <v>0.47148298466202582</v>
      </c>
      <c r="I178" s="1">
        <v>1.8368891795284896</v>
      </c>
      <c r="J178" s="1">
        <v>794.79994451824757</v>
      </c>
      <c r="K178" s="1" t="s">
        <v>16</v>
      </c>
    </row>
    <row r="179" spans="3:11" x14ac:dyDescent="0.3">
      <c r="C179" s="13">
        <v>41.35</v>
      </c>
      <c r="D179" s="13">
        <v>0.31</v>
      </c>
      <c r="E179" s="1">
        <v>20.6</v>
      </c>
      <c r="F179" s="1">
        <v>128</v>
      </c>
      <c r="G179" s="1">
        <v>45</v>
      </c>
      <c r="H179" s="1">
        <v>0.47251064827235029</v>
      </c>
      <c r="I179" s="1">
        <v>1.8280041839850771</v>
      </c>
      <c r="J179" s="1">
        <v>791.55140099040625</v>
      </c>
      <c r="K179" s="1" t="s">
        <v>16</v>
      </c>
    </row>
    <row r="180" spans="3:11" x14ac:dyDescent="0.3">
      <c r="C180" s="13">
        <v>41.35</v>
      </c>
      <c r="D180" s="13">
        <v>0.31</v>
      </c>
      <c r="E180" s="1">
        <v>20.6</v>
      </c>
      <c r="F180" s="1">
        <v>129</v>
      </c>
      <c r="G180" s="1">
        <v>0</v>
      </c>
      <c r="H180" s="1">
        <v>0.39678706483751658</v>
      </c>
      <c r="I180" s="1">
        <v>1.8457741750719023</v>
      </c>
      <c r="J180" s="1">
        <v>439.09943997344516</v>
      </c>
      <c r="K180" s="1" t="s">
        <v>16</v>
      </c>
    </row>
    <row r="181" spans="3:11" x14ac:dyDescent="0.3">
      <c r="C181" s="13">
        <v>41.35</v>
      </c>
      <c r="D181" s="13">
        <v>0.31</v>
      </c>
      <c r="E181" s="1">
        <v>20.6</v>
      </c>
      <c r="F181" s="1">
        <v>130</v>
      </c>
      <c r="G181" s="1">
        <v>15</v>
      </c>
      <c r="H181" s="1">
        <v>0.41741646027440016</v>
      </c>
      <c r="I181" s="1">
        <v>1.8291148084280036</v>
      </c>
      <c r="J181" s="1">
        <v>618.78512934691264</v>
      </c>
      <c r="K181" s="1" t="s">
        <v>16</v>
      </c>
    </row>
    <row r="182" spans="3:11" x14ac:dyDescent="0.3">
      <c r="C182" s="13">
        <v>41.35</v>
      </c>
      <c r="D182" s="13">
        <v>0.31</v>
      </c>
      <c r="E182" s="1">
        <v>20.6</v>
      </c>
      <c r="F182" s="1">
        <v>131</v>
      </c>
      <c r="G182" s="1">
        <v>30</v>
      </c>
      <c r="H182" s="1">
        <v>0.42244059348043084</v>
      </c>
      <c r="I182" s="1">
        <v>1.8224510617704441</v>
      </c>
      <c r="J182" s="1">
        <v>637.60486472616606</v>
      </c>
      <c r="K182" s="1" t="s">
        <v>16</v>
      </c>
    </row>
    <row r="183" spans="3:11" x14ac:dyDescent="0.3">
      <c r="C183" s="13">
        <v>41.35</v>
      </c>
      <c r="D183" s="13">
        <v>0.31</v>
      </c>
      <c r="E183" s="1">
        <v>20.6</v>
      </c>
      <c r="F183" s="1">
        <v>132</v>
      </c>
      <c r="G183" s="1">
        <v>45</v>
      </c>
      <c r="H183" s="1">
        <v>0.4231827949767763</v>
      </c>
      <c r="I183" s="1">
        <v>1.806902319569472</v>
      </c>
      <c r="J183" s="1">
        <v>645.10974085533496</v>
      </c>
      <c r="K183" s="1" t="s">
        <v>16</v>
      </c>
    </row>
    <row r="184" spans="3:11" x14ac:dyDescent="0.3">
      <c r="C184" s="13">
        <v>41.35</v>
      </c>
      <c r="D184" s="13">
        <v>0.31</v>
      </c>
      <c r="E184" s="1">
        <v>20.6</v>
      </c>
      <c r="F184" s="1">
        <v>133</v>
      </c>
      <c r="G184" s="1">
        <v>0</v>
      </c>
      <c r="H184" s="1">
        <v>0.39283817226080681</v>
      </c>
      <c r="I184" s="1">
        <v>1.8180085639987378</v>
      </c>
      <c r="J184" s="1">
        <v>410.35293218117312</v>
      </c>
      <c r="K184" s="1" t="s">
        <v>16</v>
      </c>
    </row>
    <row r="185" spans="3:11" x14ac:dyDescent="0.3">
      <c r="C185" s="13">
        <v>41.35</v>
      </c>
      <c r="D185" s="13">
        <v>0.31</v>
      </c>
      <c r="E185" s="1">
        <v>20.6</v>
      </c>
      <c r="F185" s="1">
        <v>134</v>
      </c>
      <c r="G185" s="1">
        <v>15</v>
      </c>
      <c r="H185" s="1">
        <v>0.41006105313754082</v>
      </c>
      <c r="I185" s="1">
        <v>1.8113448173411784</v>
      </c>
      <c r="J185" s="1">
        <v>631.98246252671663</v>
      </c>
      <c r="K185" s="1" t="s">
        <v>16</v>
      </c>
    </row>
    <row r="186" spans="3:11" x14ac:dyDescent="0.3">
      <c r="C186" s="13">
        <v>41.35</v>
      </c>
      <c r="D186" s="13">
        <v>0.31</v>
      </c>
      <c r="E186" s="1">
        <v>20.6</v>
      </c>
      <c r="F186" s="1">
        <v>135</v>
      </c>
      <c r="G186" s="1">
        <v>30</v>
      </c>
      <c r="H186" s="1">
        <v>0.42428658181749512</v>
      </c>
      <c r="I186" s="1">
        <v>1.8102341928982515</v>
      </c>
      <c r="J186" s="1">
        <v>809.66158080550701</v>
      </c>
      <c r="K186" s="1" t="s">
        <v>16</v>
      </c>
    </row>
    <row r="187" spans="3:11" x14ac:dyDescent="0.3">
      <c r="C187" s="13">
        <v>41.35</v>
      </c>
      <c r="D187" s="13">
        <v>0.31</v>
      </c>
      <c r="E187" s="1">
        <v>20.6</v>
      </c>
      <c r="F187" s="1">
        <v>136</v>
      </c>
      <c r="G187" s="1">
        <v>45</v>
      </c>
      <c r="H187" s="1">
        <v>0.4279404968764266</v>
      </c>
      <c r="I187" s="1">
        <v>1.8157873151128845</v>
      </c>
      <c r="J187" s="1">
        <v>865.46026977494466</v>
      </c>
      <c r="K187" s="1" t="s">
        <v>16</v>
      </c>
    </row>
    <row r="188" spans="3:11" x14ac:dyDescent="0.3">
      <c r="C188" s="13">
        <v>41.35</v>
      </c>
      <c r="D188" s="13">
        <v>0.31</v>
      </c>
      <c r="E188" s="1">
        <v>20.6</v>
      </c>
      <c r="F188" s="1">
        <v>137</v>
      </c>
      <c r="G188" s="1">
        <v>0</v>
      </c>
      <c r="H188" s="1">
        <v>0.39546442370941381</v>
      </c>
      <c r="I188" s="1">
        <v>1.8180085639987378</v>
      </c>
      <c r="J188" s="1">
        <v>398.46762628571906</v>
      </c>
      <c r="K188" s="1" t="s">
        <v>16</v>
      </c>
    </row>
    <row r="189" spans="3:11" x14ac:dyDescent="0.3">
      <c r="C189" s="13">
        <v>41.35</v>
      </c>
      <c r="D189" s="13">
        <v>0.31</v>
      </c>
      <c r="E189" s="1">
        <v>20.6</v>
      </c>
      <c r="F189" s="1">
        <v>138</v>
      </c>
      <c r="G189" s="1">
        <v>15</v>
      </c>
      <c r="H189" s="1">
        <v>0.5170712842644748</v>
      </c>
      <c r="I189" s="1">
        <v>1.8324466817567833</v>
      </c>
      <c r="J189" s="1">
        <v>674.71592175001479</v>
      </c>
      <c r="K189" s="1" t="s">
        <v>16</v>
      </c>
    </row>
    <row r="190" spans="3:11" x14ac:dyDescent="0.3">
      <c r="C190" s="13">
        <v>41.35</v>
      </c>
      <c r="D190" s="13">
        <v>0.31</v>
      </c>
      <c r="E190" s="1">
        <v>20.6</v>
      </c>
      <c r="F190" s="1">
        <v>139</v>
      </c>
      <c r="G190" s="1">
        <v>30</v>
      </c>
      <c r="H190" s="1">
        <v>0.53406579545002553</v>
      </c>
      <c r="I190" s="1">
        <v>1.841331677300196</v>
      </c>
      <c r="J190" s="1">
        <v>710.96730567145573</v>
      </c>
      <c r="K190" s="1" t="s">
        <v>16</v>
      </c>
    </row>
    <row r="191" spans="3:11" x14ac:dyDescent="0.3">
      <c r="C191" s="13">
        <v>41.35</v>
      </c>
      <c r="D191" s="13">
        <v>0.31</v>
      </c>
      <c r="E191" s="1">
        <v>20.6</v>
      </c>
      <c r="F191" s="1">
        <v>140</v>
      </c>
      <c r="G191" s="1">
        <v>45</v>
      </c>
      <c r="H191" s="1">
        <v>0.56899684279725782</v>
      </c>
      <c r="I191" s="1">
        <v>1.8191191884416642</v>
      </c>
      <c r="J191" s="1">
        <v>802.64008314951968</v>
      </c>
      <c r="K191" s="1" t="s">
        <v>16</v>
      </c>
    </row>
    <row r="192" spans="3:11" x14ac:dyDescent="0.3">
      <c r="C192" s="13">
        <v>41.35</v>
      </c>
      <c r="D192" s="13">
        <v>0.31</v>
      </c>
      <c r="E192" s="1">
        <v>20.6</v>
      </c>
      <c r="F192" s="1">
        <v>141</v>
      </c>
      <c r="G192" s="1">
        <v>0</v>
      </c>
      <c r="H192" s="1">
        <v>0.39232434045564463</v>
      </c>
      <c r="I192" s="1">
        <v>1.8424423017431224</v>
      </c>
      <c r="J192" s="1">
        <v>411.01945405102595</v>
      </c>
      <c r="K192" s="1" t="s">
        <v>16</v>
      </c>
    </row>
    <row r="193" spans="2:11" x14ac:dyDescent="0.3">
      <c r="C193" s="13">
        <v>41.35</v>
      </c>
      <c r="D193" s="13">
        <v>0.31</v>
      </c>
      <c r="E193" s="1">
        <v>20.6</v>
      </c>
      <c r="F193" s="1">
        <v>142</v>
      </c>
      <c r="G193" s="1">
        <v>15</v>
      </c>
      <c r="H193" s="1">
        <v>0.4098707450615548</v>
      </c>
      <c r="I193" s="1">
        <v>1.8202298128845908</v>
      </c>
      <c r="J193" s="1">
        <v>605.79095523554724</v>
      </c>
      <c r="K193" s="1" t="s">
        <v>16</v>
      </c>
    </row>
    <row r="194" spans="2:11" x14ac:dyDescent="0.3">
      <c r="C194" s="13">
        <v>41.35</v>
      </c>
      <c r="D194" s="13">
        <v>0.31</v>
      </c>
      <c r="E194" s="1">
        <v>20.6</v>
      </c>
      <c r="F194" s="1">
        <v>143</v>
      </c>
      <c r="G194" s="1">
        <v>30</v>
      </c>
      <c r="H194" s="1">
        <v>0.44230875661337038</v>
      </c>
      <c r="I194" s="1">
        <v>1.801349197354839</v>
      </c>
      <c r="J194" s="1">
        <v>931.48796780108796</v>
      </c>
      <c r="K194" s="1" t="s">
        <v>16</v>
      </c>
    </row>
    <row r="195" spans="2:11" x14ac:dyDescent="0.3">
      <c r="C195" s="13">
        <v>41.35</v>
      </c>
      <c r="D195" s="13">
        <v>0.31</v>
      </c>
      <c r="E195" s="1">
        <v>20.6</v>
      </c>
      <c r="F195" s="1">
        <v>144</v>
      </c>
      <c r="G195" s="1">
        <v>45</v>
      </c>
      <c r="H195" s="1">
        <v>0.45627736939074359</v>
      </c>
      <c r="I195" s="1">
        <v>1.8135660662270314</v>
      </c>
      <c r="J195" s="1">
        <v>1085.3444335423751</v>
      </c>
      <c r="K195" s="1" t="s">
        <v>16</v>
      </c>
    </row>
    <row r="196" spans="2:11" x14ac:dyDescent="0.3">
      <c r="C196" s="13">
        <v>41.35</v>
      </c>
      <c r="D196" s="13">
        <v>0.31</v>
      </c>
      <c r="E196" s="1">
        <v>20.6</v>
      </c>
      <c r="F196" s="1">
        <v>145</v>
      </c>
      <c r="G196" s="1">
        <v>0</v>
      </c>
      <c r="H196" s="1">
        <v>0.39177244703528519</v>
      </c>
      <c r="I196" s="1">
        <v>1.8057916951265454</v>
      </c>
      <c r="J196" s="1">
        <v>397.82612400557537</v>
      </c>
      <c r="K196" s="1" t="s">
        <v>17</v>
      </c>
    </row>
    <row r="197" spans="2:11" x14ac:dyDescent="0.3">
      <c r="C197" s="13">
        <v>41.35</v>
      </c>
      <c r="D197" s="13">
        <v>0.31</v>
      </c>
      <c r="E197" s="1">
        <v>20.6</v>
      </c>
      <c r="F197" s="1">
        <v>146</v>
      </c>
      <c r="G197" s="1">
        <v>15</v>
      </c>
      <c r="H197" s="1">
        <v>0.38948875012345308</v>
      </c>
      <c r="I197" s="1">
        <v>1.8324466817567833</v>
      </c>
      <c r="J197" s="1">
        <v>459.32427551076671</v>
      </c>
      <c r="K197" s="1" t="s">
        <v>17</v>
      </c>
    </row>
    <row r="198" spans="2:11" x14ac:dyDescent="0.3">
      <c r="C198" s="13">
        <v>41.35</v>
      </c>
      <c r="D198" s="13">
        <v>0.31</v>
      </c>
      <c r="E198" s="1">
        <v>20.6</v>
      </c>
      <c r="F198" s="1">
        <v>147</v>
      </c>
      <c r="G198" s="1">
        <v>30</v>
      </c>
      <c r="H198" s="1">
        <v>0.3900120973324146</v>
      </c>
      <c r="I198" s="1">
        <v>1.8268935595421503</v>
      </c>
      <c r="J198" s="1">
        <v>422.56149117566997</v>
      </c>
      <c r="K198" s="1" t="s">
        <v>17</v>
      </c>
    </row>
    <row r="199" spans="2:11" x14ac:dyDescent="0.3">
      <c r="C199" s="13">
        <v>41.35</v>
      </c>
      <c r="D199" s="13">
        <v>0.31</v>
      </c>
      <c r="E199" s="1">
        <v>20.6</v>
      </c>
      <c r="F199" s="1">
        <v>148</v>
      </c>
      <c r="G199" s="1">
        <v>45</v>
      </c>
      <c r="H199" s="1">
        <v>0.38883218726130137</v>
      </c>
      <c r="I199" s="1">
        <v>1.8302254328709302</v>
      </c>
      <c r="J199" s="1">
        <v>437.1228923864191</v>
      </c>
      <c r="K199" s="1" t="s">
        <v>17</v>
      </c>
    </row>
    <row r="200" spans="2:11" x14ac:dyDescent="0.3">
      <c r="C200" s="13">
        <v>41.35</v>
      </c>
      <c r="D200" s="13">
        <v>0.31</v>
      </c>
      <c r="E200" s="1">
        <v>20.6</v>
      </c>
      <c r="F200" s="1">
        <v>149</v>
      </c>
      <c r="G200" s="1">
        <v>0</v>
      </c>
      <c r="H200" s="1">
        <v>0.39108733796173556</v>
      </c>
      <c r="I200" s="1">
        <v>1.8080129440123984</v>
      </c>
      <c r="J200" s="1">
        <v>402.30062742916715</v>
      </c>
      <c r="K200" s="1" t="s">
        <v>17</v>
      </c>
    </row>
    <row r="201" spans="2:11" x14ac:dyDescent="0.3">
      <c r="C201" s="13">
        <v>41.35</v>
      </c>
      <c r="D201" s="13">
        <v>0.31</v>
      </c>
      <c r="E201" s="1">
        <v>20.6</v>
      </c>
      <c r="F201" s="1">
        <v>150</v>
      </c>
      <c r="G201" s="1">
        <v>15</v>
      </c>
      <c r="H201" s="1">
        <v>0.39125861523012301</v>
      </c>
      <c r="I201" s="1">
        <v>1.8202298128845908</v>
      </c>
      <c r="J201" s="1">
        <v>424.29084521636918</v>
      </c>
      <c r="K201" s="1" t="s">
        <v>17</v>
      </c>
    </row>
    <row r="202" spans="2:11" x14ac:dyDescent="0.3">
      <c r="C202" s="13">
        <v>41.35</v>
      </c>
      <c r="D202" s="13">
        <v>0.31</v>
      </c>
      <c r="E202" s="1">
        <v>20.6</v>
      </c>
      <c r="F202" s="1">
        <v>151</v>
      </c>
      <c r="G202" s="1">
        <v>30</v>
      </c>
      <c r="H202" s="1">
        <v>0.39203887834166562</v>
      </c>
      <c r="I202" s="1">
        <v>1.8191191884416642</v>
      </c>
      <c r="J202" s="1">
        <v>435.61971543669085</v>
      </c>
      <c r="K202" s="1" t="s">
        <v>17</v>
      </c>
    </row>
    <row r="203" spans="2:11" x14ac:dyDescent="0.3">
      <c r="C203" s="13">
        <v>41.35</v>
      </c>
      <c r="D203" s="13">
        <v>0.31</v>
      </c>
      <c r="E203" s="1">
        <v>20.6</v>
      </c>
      <c r="F203" s="1">
        <v>152</v>
      </c>
      <c r="G203" s="1">
        <v>45</v>
      </c>
      <c r="H203" s="1">
        <v>0.39254319474302857</v>
      </c>
      <c r="I203" s="1">
        <v>1.8202298128845908</v>
      </c>
      <c r="J203" s="1">
        <v>432.11797366099245</v>
      </c>
      <c r="K203" s="1" t="s">
        <v>17</v>
      </c>
    </row>
    <row r="204" spans="2:11" x14ac:dyDescent="0.3">
      <c r="C204" s="13">
        <v>41.35</v>
      </c>
      <c r="D204" s="13">
        <v>0.31</v>
      </c>
      <c r="E204" s="1">
        <v>20.6</v>
      </c>
      <c r="F204" s="1" t="s">
        <v>22</v>
      </c>
      <c r="H204" s="1">
        <v>0.38592998910251469</v>
      </c>
      <c r="I204" s="1">
        <v>1.8224510617704441</v>
      </c>
      <c r="J204" s="1">
        <v>418.24511155904031</v>
      </c>
    </row>
    <row r="205" spans="2:11" x14ac:dyDescent="0.3">
      <c r="C205" s="13">
        <v>41.35</v>
      </c>
      <c r="D205" s="13">
        <v>0.31</v>
      </c>
      <c r="E205" s="1">
        <v>20.6</v>
      </c>
      <c r="F205" s="1" t="s">
        <v>23</v>
      </c>
      <c r="H205" s="1">
        <v>0.38710038376982869</v>
      </c>
      <c r="I205" s="1">
        <v>1.8424423017431224</v>
      </c>
      <c r="J205" s="1">
        <v>396.1067778007598</v>
      </c>
    </row>
    <row r="206" spans="2:11" x14ac:dyDescent="0.3">
      <c r="B206" s="1" t="s">
        <v>28</v>
      </c>
      <c r="C206" s="13">
        <v>84.63</v>
      </c>
      <c r="D206" s="13">
        <v>0.31</v>
      </c>
      <c r="E206" s="1">
        <v>24.2</v>
      </c>
      <c r="F206" s="1">
        <v>533</v>
      </c>
      <c r="G206" s="1">
        <v>0</v>
      </c>
      <c r="H206" s="1">
        <v>0.39367552779514531</v>
      </c>
      <c r="I206" s="1">
        <v>1.8957522750035987</v>
      </c>
      <c r="J206" s="1">
        <v>523.68767042945456</v>
      </c>
      <c r="K206" s="1" t="s">
        <v>16</v>
      </c>
    </row>
    <row r="207" spans="2:11" x14ac:dyDescent="0.3">
      <c r="B207" s="1">
        <v>26.4</v>
      </c>
      <c r="C207" s="13">
        <v>84.63</v>
      </c>
      <c r="D207" s="13">
        <v>0.31</v>
      </c>
      <c r="E207" s="1">
        <v>24.2</v>
      </c>
      <c r="F207" s="1">
        <v>534</v>
      </c>
      <c r="G207" s="1">
        <v>15</v>
      </c>
      <c r="H207" s="1">
        <v>0.4038665252641962</v>
      </c>
      <c r="I207" s="1">
        <v>1.9024160216611581</v>
      </c>
      <c r="J207" s="1">
        <v>822.12934274939107</v>
      </c>
      <c r="K207" s="1" t="s">
        <v>16</v>
      </c>
    </row>
    <row r="208" spans="2:11" x14ac:dyDescent="0.3">
      <c r="B208" s="1">
        <v>24.2</v>
      </c>
      <c r="C208" s="13">
        <v>84.63</v>
      </c>
      <c r="D208" s="13">
        <v>0.31</v>
      </c>
      <c r="E208" s="1">
        <v>24.2</v>
      </c>
      <c r="F208" s="1">
        <v>535</v>
      </c>
      <c r="G208" s="1">
        <v>30</v>
      </c>
      <c r="H208" s="1">
        <v>0.42321134118817422</v>
      </c>
      <c r="I208" s="1">
        <v>1.8646547906016542</v>
      </c>
      <c r="J208" s="1">
        <v>1263.490917756933</v>
      </c>
      <c r="K208" s="1" t="s">
        <v>16</v>
      </c>
    </row>
    <row r="209" spans="3:11" x14ac:dyDescent="0.3">
      <c r="C209" s="13">
        <v>84.63</v>
      </c>
      <c r="D209" s="13">
        <v>0.31</v>
      </c>
      <c r="E209" s="1">
        <v>24.2</v>
      </c>
      <c r="F209" s="1">
        <v>536</v>
      </c>
      <c r="G209" s="1">
        <v>45</v>
      </c>
      <c r="H209" s="1">
        <v>0.42624675500015108</v>
      </c>
      <c r="I209" s="1">
        <v>1.8846460305743329</v>
      </c>
      <c r="J209" s="1">
        <v>1297.4334939400098</v>
      </c>
      <c r="K209" s="1" t="s">
        <v>16</v>
      </c>
    </row>
    <row r="210" spans="3:11" x14ac:dyDescent="0.3">
      <c r="C210" s="13">
        <v>84.63</v>
      </c>
      <c r="D210" s="13">
        <v>0.31</v>
      </c>
      <c r="E210" s="1">
        <v>24.2</v>
      </c>
      <c r="F210" s="1">
        <v>537</v>
      </c>
      <c r="G210" s="1">
        <v>0</v>
      </c>
      <c r="H210" s="1">
        <v>0.39225773262904956</v>
      </c>
      <c r="I210" s="1">
        <v>1.8746504105879935</v>
      </c>
      <c r="J210" s="1">
        <v>413.41933309593156</v>
      </c>
      <c r="K210" s="1" t="s">
        <v>16</v>
      </c>
    </row>
    <row r="211" spans="3:11" x14ac:dyDescent="0.3">
      <c r="C211" s="13">
        <v>84.63</v>
      </c>
      <c r="D211" s="13">
        <v>0.31</v>
      </c>
      <c r="E211" s="1">
        <v>24.2</v>
      </c>
      <c r="F211" s="1">
        <v>538</v>
      </c>
      <c r="G211" s="1">
        <v>15</v>
      </c>
      <c r="H211" s="1">
        <v>0.40790105647509961</v>
      </c>
      <c r="I211" s="1">
        <v>1.9046372705470112</v>
      </c>
      <c r="J211" s="1">
        <v>819.65640650253465</v>
      </c>
      <c r="K211" s="1" t="s">
        <v>16</v>
      </c>
    </row>
    <row r="212" spans="3:11" x14ac:dyDescent="0.3">
      <c r="C212" s="13">
        <v>84.63</v>
      </c>
      <c r="D212" s="13">
        <v>0.31</v>
      </c>
      <c r="E212" s="1">
        <v>24.2</v>
      </c>
      <c r="F212" s="1">
        <v>539</v>
      </c>
      <c r="G212" s="1">
        <v>30</v>
      </c>
      <c r="H212" s="1">
        <v>0.42358244193634692</v>
      </c>
      <c r="I212" s="1">
        <v>1.8668760394875075</v>
      </c>
      <c r="J212" s="1">
        <v>1169.6784649669391</v>
      </c>
      <c r="K212" s="1" t="s">
        <v>16</v>
      </c>
    </row>
    <row r="213" spans="3:11" x14ac:dyDescent="0.3">
      <c r="C213" s="13">
        <v>84.63</v>
      </c>
      <c r="D213" s="13">
        <v>0.31</v>
      </c>
      <c r="E213" s="1">
        <v>24.2</v>
      </c>
      <c r="F213" s="1">
        <v>540</v>
      </c>
      <c r="G213" s="1">
        <v>45</v>
      </c>
      <c r="H213" s="1">
        <v>0.42439125125928745</v>
      </c>
      <c r="I213" s="1">
        <v>1.8857566550172593</v>
      </c>
      <c r="J213" s="1">
        <v>1231.3917849436295</v>
      </c>
      <c r="K213" s="1" t="s">
        <v>16</v>
      </c>
    </row>
    <row r="214" spans="3:11" x14ac:dyDescent="0.3">
      <c r="C214" s="13">
        <v>84.63</v>
      </c>
      <c r="D214" s="13">
        <v>0.31</v>
      </c>
      <c r="E214" s="1">
        <v>24.2</v>
      </c>
      <c r="F214" s="1">
        <v>541</v>
      </c>
      <c r="G214" s="1">
        <v>0</v>
      </c>
      <c r="H214" s="1">
        <v>0.3979003670820348</v>
      </c>
      <c r="I214" s="1">
        <v>1.8968628994465253</v>
      </c>
      <c r="J214" s="1">
        <v>439.53478083438506</v>
      </c>
      <c r="K214" s="1" t="s">
        <v>16</v>
      </c>
    </row>
    <row r="215" spans="3:11" x14ac:dyDescent="0.3">
      <c r="C215" s="13">
        <v>84.63</v>
      </c>
      <c r="D215" s="13">
        <v>0.31</v>
      </c>
      <c r="E215" s="1">
        <v>24.2</v>
      </c>
      <c r="F215" s="1">
        <v>542</v>
      </c>
      <c r="G215" s="1">
        <v>15</v>
      </c>
      <c r="H215" s="1">
        <v>0.45092971245553665</v>
      </c>
      <c r="I215" s="1">
        <v>1.8879779039031124</v>
      </c>
      <c r="J215" s="1">
        <v>733.86523417330727</v>
      </c>
      <c r="K215" s="1" t="s">
        <v>16</v>
      </c>
    </row>
    <row r="216" spans="3:11" x14ac:dyDescent="0.3">
      <c r="C216" s="13">
        <v>84.63</v>
      </c>
      <c r="D216" s="13">
        <v>0.31</v>
      </c>
      <c r="E216" s="1">
        <v>24.2</v>
      </c>
      <c r="F216" s="1">
        <v>543</v>
      </c>
      <c r="G216" s="1">
        <v>30</v>
      </c>
      <c r="H216" s="1">
        <v>0.46212934272731343</v>
      </c>
      <c r="I216" s="1">
        <v>1.8768716594738466</v>
      </c>
      <c r="J216" s="1">
        <v>932.00837526703913</v>
      </c>
      <c r="K216" s="1" t="s">
        <v>16</v>
      </c>
    </row>
    <row r="217" spans="3:11" x14ac:dyDescent="0.3">
      <c r="C217" s="13">
        <v>84.63</v>
      </c>
      <c r="D217" s="13">
        <v>0.31</v>
      </c>
      <c r="E217" s="1">
        <v>24.2</v>
      </c>
      <c r="F217" s="1">
        <v>544</v>
      </c>
      <c r="G217" s="1">
        <v>45</v>
      </c>
      <c r="H217" s="1">
        <v>0.48214023691724239</v>
      </c>
      <c r="I217" s="1">
        <v>1.9046372705470112</v>
      </c>
      <c r="J217" s="1">
        <v>932.66589008459664</v>
      </c>
      <c r="K217" s="1" t="s">
        <v>16</v>
      </c>
    </row>
    <row r="218" spans="3:11" x14ac:dyDescent="0.3">
      <c r="C218" s="13">
        <v>84.63</v>
      </c>
      <c r="D218" s="13">
        <v>0.31</v>
      </c>
      <c r="E218" s="1">
        <v>24.2</v>
      </c>
      <c r="F218" s="1">
        <v>545</v>
      </c>
      <c r="G218" s="1">
        <v>0</v>
      </c>
      <c r="H218" s="1">
        <v>0.39378971264073687</v>
      </c>
      <c r="I218" s="1">
        <v>1.8913097772318923</v>
      </c>
      <c r="J218" s="1">
        <v>438.62206620179376</v>
      </c>
      <c r="K218" s="1" t="s">
        <v>16</v>
      </c>
    </row>
    <row r="219" spans="3:11" x14ac:dyDescent="0.3">
      <c r="C219" s="13">
        <v>84.63</v>
      </c>
      <c r="D219" s="13">
        <v>0.31</v>
      </c>
      <c r="E219" s="1">
        <v>24.2</v>
      </c>
      <c r="F219" s="1">
        <v>546</v>
      </c>
      <c r="G219" s="1">
        <v>15</v>
      </c>
      <c r="H219" s="1">
        <v>0.4131630747761128</v>
      </c>
      <c r="I219" s="1">
        <v>1.8746504105879935</v>
      </c>
      <c r="J219" s="1">
        <v>729.27463985346492</v>
      </c>
      <c r="K219" s="1" t="s">
        <v>16</v>
      </c>
    </row>
    <row r="220" spans="3:11" x14ac:dyDescent="0.3">
      <c r="C220" s="13">
        <v>84.63</v>
      </c>
      <c r="D220" s="13">
        <v>0.31</v>
      </c>
      <c r="E220" s="1">
        <v>24.2</v>
      </c>
      <c r="F220" s="1">
        <v>547</v>
      </c>
      <c r="G220" s="1">
        <v>30</v>
      </c>
      <c r="H220" s="1">
        <v>0.42856851352718039</v>
      </c>
      <c r="I220" s="1">
        <v>1.8746504105879935</v>
      </c>
      <c r="J220" s="1">
        <v>994.65842868244158</v>
      </c>
      <c r="K220" s="1" t="s">
        <v>16</v>
      </c>
    </row>
    <row r="221" spans="3:11" x14ac:dyDescent="0.3">
      <c r="C221" s="13">
        <v>84.63</v>
      </c>
      <c r="D221" s="13">
        <v>0.31</v>
      </c>
      <c r="E221" s="1">
        <v>24.2</v>
      </c>
      <c r="F221" s="1">
        <v>548</v>
      </c>
      <c r="G221" s="1">
        <v>45</v>
      </c>
      <c r="H221" s="1">
        <v>0.43658999892999073</v>
      </c>
      <c r="I221" s="1">
        <v>1.8568804195011683</v>
      </c>
      <c r="J221" s="1">
        <v>1333.6418441671512</v>
      </c>
      <c r="K221" s="1" t="s">
        <v>16</v>
      </c>
    </row>
    <row r="222" spans="3:11" x14ac:dyDescent="0.3">
      <c r="C222" s="13">
        <v>84.63</v>
      </c>
      <c r="D222" s="13">
        <v>0.31</v>
      </c>
      <c r="E222" s="1">
        <v>24.2</v>
      </c>
      <c r="F222" s="1">
        <v>549</v>
      </c>
      <c r="G222" s="1">
        <v>0</v>
      </c>
      <c r="H222" s="1">
        <v>0.39203887834166562</v>
      </c>
      <c r="I222" s="1">
        <v>1.8746504105879935</v>
      </c>
      <c r="J222" s="1">
        <v>479.18382503833413</v>
      </c>
      <c r="K222" s="1" t="s">
        <v>16</v>
      </c>
    </row>
    <row r="223" spans="3:11" x14ac:dyDescent="0.3">
      <c r="C223" s="13">
        <v>84.63</v>
      </c>
      <c r="D223" s="13">
        <v>0.31</v>
      </c>
      <c r="E223" s="1">
        <v>24.2</v>
      </c>
      <c r="F223" s="1">
        <v>550</v>
      </c>
      <c r="G223" s="1">
        <v>15</v>
      </c>
      <c r="H223" s="1">
        <v>0.43436339444095445</v>
      </c>
      <c r="K223" s="1" t="s">
        <v>16</v>
      </c>
    </row>
    <row r="224" spans="3:11" x14ac:dyDescent="0.3">
      <c r="C224" s="13">
        <v>84.63</v>
      </c>
      <c r="D224" s="13">
        <v>0.31</v>
      </c>
      <c r="E224" s="1">
        <v>24.2</v>
      </c>
      <c r="F224" s="1">
        <v>551</v>
      </c>
      <c r="G224" s="1">
        <v>30</v>
      </c>
      <c r="H224" s="1">
        <v>0.49633721938579889</v>
      </c>
      <c r="I224" s="1">
        <v>1.9435091260494417</v>
      </c>
      <c r="J224" s="1">
        <v>1108.0592186475553</v>
      </c>
      <c r="K224" s="1" t="s">
        <v>16</v>
      </c>
    </row>
    <row r="225" spans="2:11" x14ac:dyDescent="0.3">
      <c r="C225" s="13">
        <v>84.63</v>
      </c>
      <c r="D225" s="13">
        <v>0.31</v>
      </c>
      <c r="E225" s="1">
        <v>24.2</v>
      </c>
      <c r="F225" s="1">
        <v>552</v>
      </c>
      <c r="G225" s="1">
        <v>45</v>
      </c>
      <c r="H225" s="1">
        <v>0.51800379383680617</v>
      </c>
      <c r="I225" s="1">
        <v>1.9246285105196899</v>
      </c>
      <c r="J225" s="1">
        <v>1422.5204338664923</v>
      </c>
      <c r="K225" s="1" t="s">
        <v>16</v>
      </c>
    </row>
    <row r="226" spans="2:11" x14ac:dyDescent="0.3">
      <c r="C226" s="13">
        <v>84.63</v>
      </c>
      <c r="D226" s="13">
        <v>0.31</v>
      </c>
      <c r="E226" s="1">
        <v>24.2</v>
      </c>
      <c r="F226" s="1">
        <v>553</v>
      </c>
      <c r="G226" s="1">
        <v>0</v>
      </c>
      <c r="H226" s="1">
        <v>0.39062108317556987</v>
      </c>
      <c r="I226" s="1">
        <v>1.9212966371909099</v>
      </c>
      <c r="J226" s="1">
        <v>452.70209050653807</v>
      </c>
      <c r="K226" s="1" t="s">
        <v>16</v>
      </c>
    </row>
    <row r="227" spans="2:11" x14ac:dyDescent="0.3">
      <c r="C227" s="13">
        <v>84.63</v>
      </c>
      <c r="D227" s="13">
        <v>0.31</v>
      </c>
      <c r="E227" s="1">
        <v>24.2</v>
      </c>
      <c r="F227" s="1">
        <v>554</v>
      </c>
      <c r="G227" s="1">
        <v>15</v>
      </c>
      <c r="H227" s="1">
        <v>0.40462775756814023</v>
      </c>
      <c r="I227" s="1">
        <v>1.9357347549489556</v>
      </c>
      <c r="J227" s="1">
        <v>721.44550984166494</v>
      </c>
      <c r="K227" s="1" t="s">
        <v>16</v>
      </c>
    </row>
    <row r="228" spans="2:11" x14ac:dyDescent="0.3">
      <c r="C228" s="13">
        <v>84.63</v>
      </c>
      <c r="D228" s="13">
        <v>0.31</v>
      </c>
      <c r="E228" s="1">
        <v>24.2</v>
      </c>
      <c r="F228" s="1">
        <v>555</v>
      </c>
      <c r="G228" s="1">
        <v>30</v>
      </c>
      <c r="H228" s="1">
        <v>0.42378226541613229</v>
      </c>
      <c r="I228" s="1">
        <v>1.9290710082913962</v>
      </c>
      <c r="J228" s="1">
        <v>1198.5810949989966</v>
      </c>
      <c r="K228" s="1" t="s">
        <v>16</v>
      </c>
    </row>
    <row r="229" spans="2:11" x14ac:dyDescent="0.3">
      <c r="C229" s="13">
        <v>84.63</v>
      </c>
      <c r="D229" s="13">
        <v>0.31</v>
      </c>
      <c r="E229" s="1">
        <v>24.2</v>
      </c>
      <c r="F229" s="1">
        <v>556</v>
      </c>
      <c r="G229" s="1">
        <v>45</v>
      </c>
      <c r="H229" s="1">
        <v>0.42601838530896791</v>
      </c>
      <c r="I229" s="1">
        <v>1.9312922571772493</v>
      </c>
      <c r="J229" s="1">
        <v>1240.9182439213009</v>
      </c>
      <c r="K229" s="1" t="s">
        <v>16</v>
      </c>
    </row>
    <row r="230" spans="2:11" x14ac:dyDescent="0.3">
      <c r="C230" s="13">
        <v>84.63</v>
      </c>
      <c r="D230" s="13">
        <v>0.31</v>
      </c>
      <c r="E230" s="1">
        <v>24.2</v>
      </c>
      <c r="F230" s="1">
        <v>557</v>
      </c>
      <c r="G230" s="1">
        <v>0</v>
      </c>
      <c r="H230" s="1">
        <v>0.39150601572890475</v>
      </c>
      <c r="I230" s="1">
        <v>1.9479516238211481</v>
      </c>
      <c r="J230" s="1">
        <v>429.38683524833726</v>
      </c>
      <c r="K230" s="1" t="s">
        <v>17</v>
      </c>
    </row>
    <row r="231" spans="2:11" x14ac:dyDescent="0.3">
      <c r="C231" s="13">
        <v>84.63</v>
      </c>
      <c r="D231" s="13">
        <v>0.31</v>
      </c>
      <c r="E231" s="1">
        <v>24.2</v>
      </c>
      <c r="F231" s="1">
        <v>558</v>
      </c>
      <c r="G231" s="1">
        <v>15</v>
      </c>
      <c r="H231" s="1">
        <v>0.42206949273225819</v>
      </c>
      <c r="I231" s="1">
        <v>1.9557259949216343</v>
      </c>
      <c r="J231" s="1">
        <v>972.7582814181925</v>
      </c>
      <c r="K231" s="1" t="s">
        <v>17</v>
      </c>
    </row>
    <row r="232" spans="2:11" x14ac:dyDescent="0.3">
      <c r="C232" s="13">
        <v>84.63</v>
      </c>
      <c r="D232" s="13">
        <v>0.31</v>
      </c>
      <c r="E232" s="1">
        <v>24.2</v>
      </c>
      <c r="F232" s="1">
        <v>559</v>
      </c>
      <c r="G232" s="1">
        <v>30</v>
      </c>
      <c r="H232" s="1">
        <v>0.46419418535176166</v>
      </c>
      <c r="I232" s="1">
        <v>1.9390666282777356</v>
      </c>
      <c r="J232" s="1">
        <v>1471.8550616386638</v>
      </c>
      <c r="K232" s="1" t="s">
        <v>17</v>
      </c>
    </row>
    <row r="233" spans="2:11" x14ac:dyDescent="0.3">
      <c r="C233" s="13">
        <v>84.63</v>
      </c>
      <c r="D233" s="13">
        <v>0.31</v>
      </c>
      <c r="E233" s="1">
        <v>24.2</v>
      </c>
      <c r="F233" s="1">
        <v>560</v>
      </c>
      <c r="G233" s="1">
        <v>45</v>
      </c>
      <c r="H233" s="1">
        <v>0.48218781393623894</v>
      </c>
      <c r="I233" s="1">
        <v>1.9412878771635886</v>
      </c>
      <c r="J233" s="1">
        <v>1755.5421815152961</v>
      </c>
      <c r="K233" s="1" t="s">
        <v>17</v>
      </c>
    </row>
    <row r="234" spans="2:11" x14ac:dyDescent="0.3">
      <c r="C234" s="13">
        <v>84.63</v>
      </c>
      <c r="D234" s="13">
        <v>0.31</v>
      </c>
      <c r="E234" s="1">
        <v>24.2</v>
      </c>
      <c r="F234" s="1">
        <v>561</v>
      </c>
      <c r="G234" s="1">
        <v>0</v>
      </c>
      <c r="H234" s="1">
        <v>0.42407724293391053</v>
      </c>
      <c r="I234" s="1">
        <v>1.9346241305060292</v>
      </c>
      <c r="J234" s="1">
        <v>442.05975782783662</v>
      </c>
      <c r="K234" s="1" t="s">
        <v>17</v>
      </c>
    </row>
    <row r="235" spans="2:11" x14ac:dyDescent="0.3">
      <c r="C235" s="13">
        <v>84.63</v>
      </c>
      <c r="D235" s="13">
        <v>0.31</v>
      </c>
      <c r="E235" s="1">
        <v>24.2</v>
      </c>
      <c r="F235" s="1">
        <v>562</v>
      </c>
      <c r="G235" s="1">
        <v>15</v>
      </c>
      <c r="H235" s="1">
        <v>0.44158558592462355</v>
      </c>
      <c r="I235" s="1">
        <v>1.9646109904650468</v>
      </c>
      <c r="J235" s="1">
        <v>553.58307778117262</v>
      </c>
      <c r="K235" s="1" t="s">
        <v>17</v>
      </c>
    </row>
    <row r="236" spans="2:11" x14ac:dyDescent="0.3">
      <c r="C236" s="13">
        <v>84.63</v>
      </c>
      <c r="D236" s="13">
        <v>0.31</v>
      </c>
      <c r="E236" s="1">
        <v>24.2</v>
      </c>
      <c r="F236" s="1">
        <v>563</v>
      </c>
      <c r="G236" s="1">
        <v>30</v>
      </c>
      <c r="H236" s="1">
        <v>0.43392568586618657</v>
      </c>
      <c r="I236" s="1">
        <v>1.945730374935295</v>
      </c>
      <c r="J236" s="1">
        <v>918.76300447499352</v>
      </c>
      <c r="K236" s="1" t="s">
        <v>17</v>
      </c>
    </row>
    <row r="237" spans="2:11" x14ac:dyDescent="0.3">
      <c r="C237" s="13">
        <v>84.63</v>
      </c>
      <c r="D237" s="13">
        <v>0.31</v>
      </c>
      <c r="E237" s="1">
        <v>24.2</v>
      </c>
      <c r="F237" s="1">
        <v>564</v>
      </c>
      <c r="G237" s="1">
        <v>45</v>
      </c>
      <c r="H237" s="1">
        <v>0.41132660184284781</v>
      </c>
      <c r="I237" s="1">
        <v>1.9523941215928544</v>
      </c>
      <c r="J237" s="1">
        <v>1134.9402658311101</v>
      </c>
      <c r="K237" s="1" t="s">
        <v>17</v>
      </c>
    </row>
    <row r="238" spans="2:11" x14ac:dyDescent="0.3">
      <c r="C238" s="13">
        <v>84.63</v>
      </c>
      <c r="D238" s="13">
        <v>0.31</v>
      </c>
      <c r="E238" s="1">
        <v>24.2</v>
      </c>
      <c r="F238" s="1" t="s">
        <v>22</v>
      </c>
      <c r="H238" s="1">
        <v>0.39139183088331314</v>
      </c>
      <c r="I238" s="1">
        <v>1.9579472438074874</v>
      </c>
      <c r="J238" s="1">
        <v>402.23357492874646</v>
      </c>
    </row>
    <row r="239" spans="2:11" x14ac:dyDescent="0.3">
      <c r="C239" s="13">
        <v>84.63</v>
      </c>
      <c r="D239" s="13">
        <v>0.31</v>
      </c>
      <c r="E239" s="1">
        <v>24.2</v>
      </c>
      <c r="F239" s="1" t="s">
        <v>23</v>
      </c>
      <c r="H239" s="1">
        <v>0.39583552445758652</v>
      </c>
      <c r="I239" s="1">
        <v>2.0012615970816241</v>
      </c>
      <c r="J239" s="1">
        <v>409.50026456388383</v>
      </c>
    </row>
    <row r="240" spans="2:11" x14ac:dyDescent="0.3">
      <c r="B240" s="1" t="s">
        <v>30</v>
      </c>
      <c r="C240" s="13">
        <v>84.63</v>
      </c>
      <c r="D240" s="13">
        <v>0.31</v>
      </c>
      <c r="E240" s="1">
        <v>20.8</v>
      </c>
      <c r="F240" s="1">
        <v>533</v>
      </c>
      <c r="G240" s="1">
        <v>0</v>
      </c>
      <c r="H240" s="1">
        <v>0.39364672795285266</v>
      </c>
      <c r="I240" s="1">
        <v>1.7464412782117809</v>
      </c>
      <c r="J240" s="1">
        <v>378.2406785602297</v>
      </c>
      <c r="K240" s="1" t="s">
        <v>17</v>
      </c>
    </row>
    <row r="241" spans="2:11" x14ac:dyDescent="0.3">
      <c r="B241" s="1">
        <v>24</v>
      </c>
      <c r="C241" s="13">
        <v>84.63</v>
      </c>
      <c r="D241" s="13">
        <v>0.31</v>
      </c>
      <c r="E241" s="1">
        <v>20.8</v>
      </c>
      <c r="F241" s="1">
        <v>534</v>
      </c>
      <c r="G241" s="1">
        <v>15</v>
      </c>
      <c r="H241" s="1">
        <v>0.44254890646197426</v>
      </c>
      <c r="I241" s="1">
        <v>1.7605354564104343</v>
      </c>
      <c r="J241" s="1">
        <v>1273.1945883377105</v>
      </c>
      <c r="K241" s="1" t="s">
        <v>17</v>
      </c>
    </row>
    <row r="242" spans="2:11" x14ac:dyDescent="0.3">
      <c r="B242" s="1">
        <v>20.8</v>
      </c>
      <c r="C242" s="13">
        <v>84.63</v>
      </c>
      <c r="D242" s="13">
        <v>0.31</v>
      </c>
      <c r="E242" s="1">
        <v>20.8</v>
      </c>
      <c r="F242" s="1">
        <v>535</v>
      </c>
      <c r="G242" s="1">
        <v>30</v>
      </c>
      <c r="H242" s="1">
        <v>0.46573744439909426</v>
      </c>
      <c r="I242" s="1">
        <v>1.7518621159804937</v>
      </c>
      <c r="J242" s="1">
        <v>1725.4548543783108</v>
      </c>
      <c r="K242" s="1" t="s">
        <v>17</v>
      </c>
    </row>
    <row r="243" spans="2:11" x14ac:dyDescent="0.3">
      <c r="C243" s="13">
        <v>84.63</v>
      </c>
      <c r="D243" s="13">
        <v>0.31</v>
      </c>
      <c r="E243" s="1">
        <v>20.8</v>
      </c>
      <c r="F243" s="1">
        <v>536</v>
      </c>
      <c r="G243" s="1">
        <v>45</v>
      </c>
      <c r="H243" s="1">
        <v>0.47073946068727596</v>
      </c>
      <c r="I243" s="1">
        <v>1.7453571106580383</v>
      </c>
      <c r="J243" s="1">
        <v>1884.236024868025</v>
      </c>
      <c r="K243" s="1" t="s">
        <v>17</v>
      </c>
    </row>
    <row r="244" spans="2:11" x14ac:dyDescent="0.3">
      <c r="C244" s="13">
        <v>84.63</v>
      </c>
      <c r="D244" s="13">
        <v>0.31</v>
      </c>
      <c r="E244" s="1">
        <v>20.8</v>
      </c>
      <c r="F244" s="1">
        <v>537</v>
      </c>
      <c r="G244" s="1">
        <v>0</v>
      </c>
      <c r="H244" s="1">
        <v>0.39952578370582154</v>
      </c>
      <c r="I244" s="1">
        <v>1.7822188074852856</v>
      </c>
      <c r="J244" s="1">
        <v>412.13814381288535</v>
      </c>
      <c r="K244" s="1" t="s">
        <v>16</v>
      </c>
    </row>
    <row r="245" spans="2:11" x14ac:dyDescent="0.3">
      <c r="C245" s="13">
        <v>84.63</v>
      </c>
      <c r="D245" s="13">
        <v>0.31</v>
      </c>
      <c r="E245" s="1">
        <v>20.8</v>
      </c>
      <c r="F245" s="1">
        <v>538</v>
      </c>
      <c r="G245" s="1">
        <v>15</v>
      </c>
      <c r="H245" s="1">
        <v>0.407081816017834</v>
      </c>
      <c r="I245" s="1">
        <v>1.7529462835342362</v>
      </c>
      <c r="J245" s="1">
        <v>834.58630368732804</v>
      </c>
      <c r="K245" s="1" t="s">
        <v>16</v>
      </c>
    </row>
    <row r="246" spans="2:11" x14ac:dyDescent="0.3">
      <c r="C246" s="13">
        <v>84.63</v>
      </c>
      <c r="D246" s="13">
        <v>0.31</v>
      </c>
      <c r="E246" s="1">
        <v>20.8</v>
      </c>
      <c r="F246" s="1">
        <v>539</v>
      </c>
      <c r="G246" s="1">
        <v>30</v>
      </c>
      <c r="H246" s="1">
        <v>0.41771230535475973</v>
      </c>
      <c r="I246" s="1">
        <v>1.7323471000131274</v>
      </c>
      <c r="J246" s="1">
        <v>1191.5975582605251</v>
      </c>
      <c r="K246" s="1" t="s">
        <v>16</v>
      </c>
    </row>
    <row r="247" spans="2:11" x14ac:dyDescent="0.3">
      <c r="C247" s="13">
        <v>84.63</v>
      </c>
      <c r="D247" s="13">
        <v>0.31</v>
      </c>
      <c r="E247" s="1">
        <v>20.8</v>
      </c>
      <c r="F247" s="1">
        <v>540</v>
      </c>
      <c r="G247" s="1">
        <v>45</v>
      </c>
      <c r="H247" s="1">
        <v>0.42192402234500137</v>
      </c>
      <c r="I247" s="1">
        <v>1.7345154351206127</v>
      </c>
      <c r="J247" s="1">
        <v>1316.9111473814169</v>
      </c>
      <c r="K247" s="1" t="s">
        <v>16</v>
      </c>
    </row>
    <row r="248" spans="2:11" x14ac:dyDescent="0.3">
      <c r="C248" s="13">
        <v>84.63</v>
      </c>
      <c r="D248" s="13">
        <v>0.31</v>
      </c>
      <c r="E248" s="1">
        <v>20.8</v>
      </c>
      <c r="F248" s="1">
        <v>541</v>
      </c>
      <c r="G248" s="1">
        <v>0</v>
      </c>
      <c r="H248" s="1">
        <v>0.39558392501243744</v>
      </c>
      <c r="I248" s="1">
        <v>1.7475254457655234</v>
      </c>
      <c r="J248" s="1">
        <v>380.74297318562702</v>
      </c>
      <c r="K248" s="1" t="s">
        <v>16</v>
      </c>
    </row>
    <row r="249" spans="2:11" x14ac:dyDescent="0.3">
      <c r="C249" s="13">
        <v>84.63</v>
      </c>
      <c r="D249" s="13">
        <v>0.31</v>
      </c>
      <c r="E249" s="1">
        <v>20.8</v>
      </c>
      <c r="F249" s="1">
        <v>542</v>
      </c>
      <c r="G249" s="1">
        <v>15</v>
      </c>
      <c r="H249" s="1">
        <v>0.4025809651381021</v>
      </c>
      <c r="I249" s="1">
        <v>1.7496937808730086</v>
      </c>
      <c r="J249" s="1">
        <v>660.14215304923675</v>
      </c>
      <c r="K249" s="1" t="s">
        <v>16</v>
      </c>
    </row>
    <row r="250" spans="2:11" x14ac:dyDescent="0.3">
      <c r="C250" s="13">
        <v>84.63</v>
      </c>
      <c r="D250" s="13">
        <v>0.31</v>
      </c>
      <c r="E250" s="1">
        <v>20.8</v>
      </c>
      <c r="F250" s="1">
        <v>543</v>
      </c>
      <c r="G250" s="1">
        <v>30</v>
      </c>
      <c r="H250" s="1">
        <v>0.4175388250210656</v>
      </c>
      <c r="I250" s="1">
        <v>1.7475254457655234</v>
      </c>
      <c r="J250" s="1">
        <v>948.41877629169096</v>
      </c>
      <c r="K250" s="1" t="s">
        <v>16</v>
      </c>
    </row>
    <row r="251" spans="2:11" x14ac:dyDescent="0.3">
      <c r="C251" s="13">
        <v>84.63</v>
      </c>
      <c r="D251" s="13">
        <v>0.31</v>
      </c>
      <c r="E251" s="1">
        <v>20.8</v>
      </c>
      <c r="F251" s="1">
        <v>544</v>
      </c>
      <c r="G251" s="1">
        <v>45</v>
      </c>
      <c r="H251" s="1">
        <v>0.41536068305357216</v>
      </c>
      <c r="I251" s="1">
        <v>1.7453571106580383</v>
      </c>
      <c r="J251" s="1">
        <v>974.09190973504496</v>
      </c>
      <c r="K251" s="1" t="s">
        <v>16</v>
      </c>
    </row>
    <row r="252" spans="2:11" x14ac:dyDescent="0.3">
      <c r="C252" s="13">
        <v>84.63</v>
      </c>
      <c r="D252" s="13">
        <v>0.31</v>
      </c>
      <c r="E252" s="1">
        <v>20.8</v>
      </c>
      <c r="F252" s="1">
        <v>545</v>
      </c>
      <c r="G252" s="1">
        <v>0</v>
      </c>
      <c r="H252" s="1">
        <v>0.39506348401135499</v>
      </c>
      <c r="I252" s="1">
        <v>1.7648721266254044</v>
      </c>
      <c r="J252" s="1">
        <v>399.2513752317584</v>
      </c>
      <c r="K252" s="1" t="s">
        <v>16</v>
      </c>
    </row>
    <row r="253" spans="2:11" x14ac:dyDescent="0.3">
      <c r="C253" s="13">
        <v>84.63</v>
      </c>
      <c r="D253" s="13">
        <v>0.31</v>
      </c>
      <c r="E253" s="1">
        <v>20.8</v>
      </c>
      <c r="F253" s="1">
        <v>546</v>
      </c>
      <c r="G253" s="1">
        <v>15</v>
      </c>
      <c r="H253" s="1">
        <v>0.4082961783536932</v>
      </c>
      <c r="I253" s="1">
        <v>1.7345154351206127</v>
      </c>
      <c r="J253" s="1">
        <v>878.33308132604327</v>
      </c>
      <c r="K253" s="1" t="s">
        <v>16</v>
      </c>
    </row>
    <row r="254" spans="2:11" x14ac:dyDescent="0.3">
      <c r="C254" s="13">
        <v>84.63</v>
      </c>
      <c r="D254" s="13">
        <v>0.31</v>
      </c>
      <c r="E254" s="1">
        <v>20.8</v>
      </c>
      <c r="F254" s="1">
        <v>547</v>
      </c>
      <c r="G254" s="1">
        <v>30</v>
      </c>
      <c r="H254" s="1">
        <v>0.41530285627567415</v>
      </c>
      <c r="I254" s="1">
        <v>1.7258420946906721</v>
      </c>
      <c r="J254" s="1">
        <v>1147.7455029359733</v>
      </c>
      <c r="K254" s="1" t="s">
        <v>16</v>
      </c>
    </row>
    <row r="255" spans="2:11" x14ac:dyDescent="0.3">
      <c r="C255" s="13">
        <v>84.63</v>
      </c>
      <c r="D255" s="13">
        <v>0.31</v>
      </c>
      <c r="E255" s="1">
        <v>20.8</v>
      </c>
      <c r="F255" s="1">
        <v>548</v>
      </c>
      <c r="G255" s="1">
        <v>45</v>
      </c>
      <c r="H255" s="1">
        <v>0.49246305358431181</v>
      </c>
      <c r="I255" s="1">
        <v>1.8537738660322949</v>
      </c>
      <c r="J255" s="1">
        <v>1247.2953028284851</v>
      </c>
      <c r="K255" s="1" t="s">
        <v>16</v>
      </c>
    </row>
    <row r="256" spans="2:11" x14ac:dyDescent="0.3">
      <c r="C256" s="13">
        <v>84.63</v>
      </c>
      <c r="D256" s="13">
        <v>0.31</v>
      </c>
      <c r="E256" s="1">
        <v>20.8</v>
      </c>
      <c r="F256" s="1">
        <v>549</v>
      </c>
      <c r="G256" s="1">
        <v>0</v>
      </c>
      <c r="H256" s="1">
        <v>0.40521208353246363</v>
      </c>
      <c r="I256" s="1">
        <v>1.7518621159804937</v>
      </c>
      <c r="J256" s="1">
        <v>396.27338143332099</v>
      </c>
      <c r="K256" s="1" t="s">
        <v>16</v>
      </c>
    </row>
    <row r="257" spans="3:11" x14ac:dyDescent="0.3">
      <c r="C257" s="13">
        <v>84.63</v>
      </c>
      <c r="D257" s="13">
        <v>0.31</v>
      </c>
      <c r="E257" s="1">
        <v>20.8</v>
      </c>
      <c r="F257" s="1">
        <v>550</v>
      </c>
      <c r="G257" s="1">
        <v>15</v>
      </c>
      <c r="H257" s="1">
        <v>0.39663444481091881</v>
      </c>
      <c r="I257" s="1">
        <v>1.7323471000131274</v>
      </c>
      <c r="J257" s="1">
        <v>492.2330172801224</v>
      </c>
      <c r="K257" s="1" t="s">
        <v>16</v>
      </c>
    </row>
    <row r="258" spans="3:11" x14ac:dyDescent="0.3">
      <c r="C258" s="13">
        <v>84.63</v>
      </c>
      <c r="D258" s="13">
        <v>0.31</v>
      </c>
      <c r="E258" s="1">
        <v>20.8</v>
      </c>
      <c r="F258" s="1">
        <v>551</v>
      </c>
      <c r="G258" s="1">
        <v>30</v>
      </c>
      <c r="H258" s="1">
        <v>0.40032572080007789</v>
      </c>
      <c r="I258" s="1">
        <v>1.7594512888566916</v>
      </c>
      <c r="J258" s="1">
        <v>538.73846020511496</v>
      </c>
      <c r="K258" s="1" t="s">
        <v>16</v>
      </c>
    </row>
    <row r="259" spans="3:11" x14ac:dyDescent="0.3">
      <c r="C259" s="13">
        <v>84.63</v>
      </c>
      <c r="D259" s="13">
        <v>0.31</v>
      </c>
      <c r="E259" s="1">
        <v>20.8</v>
      </c>
      <c r="F259" s="1">
        <v>552</v>
      </c>
      <c r="G259" s="1">
        <v>45</v>
      </c>
      <c r="H259" s="1">
        <v>0.40181957922911099</v>
      </c>
      <c r="I259" s="1">
        <v>1.7334312675668704</v>
      </c>
      <c r="J259" s="1">
        <v>582.37118701750705</v>
      </c>
      <c r="K259" s="1" t="s">
        <v>16</v>
      </c>
    </row>
    <row r="260" spans="3:11" x14ac:dyDescent="0.3">
      <c r="C260" s="13">
        <v>84.63</v>
      </c>
      <c r="D260" s="13">
        <v>0.31</v>
      </c>
      <c r="E260" s="1">
        <v>20.8</v>
      </c>
      <c r="F260" s="1">
        <v>553</v>
      </c>
      <c r="G260" s="1">
        <v>0</v>
      </c>
      <c r="H260" s="1">
        <v>0.39678864955198023</v>
      </c>
      <c r="I260" s="1">
        <v>1.7236737595831872</v>
      </c>
      <c r="J260" s="1">
        <v>417.11446405544609</v>
      </c>
      <c r="K260" s="1" t="s">
        <v>16</v>
      </c>
    </row>
    <row r="261" spans="3:11" x14ac:dyDescent="0.3">
      <c r="C261" s="13">
        <v>84.63</v>
      </c>
      <c r="D261" s="13">
        <v>0.31</v>
      </c>
      <c r="E261" s="1">
        <v>20.8</v>
      </c>
      <c r="F261" s="1">
        <v>554</v>
      </c>
      <c r="G261" s="1">
        <v>15</v>
      </c>
      <c r="H261" s="1">
        <v>0.39968962624319937</v>
      </c>
      <c r="I261" s="1">
        <v>1.756198786195464</v>
      </c>
      <c r="J261" s="1">
        <v>778.47524672312034</v>
      </c>
      <c r="K261" s="1" t="s">
        <v>16</v>
      </c>
    </row>
    <row r="262" spans="3:11" x14ac:dyDescent="0.3">
      <c r="C262" s="13">
        <v>84.63</v>
      </c>
      <c r="D262" s="13">
        <v>0.31</v>
      </c>
      <c r="E262" s="1">
        <v>20.8</v>
      </c>
      <c r="F262" s="1">
        <v>555</v>
      </c>
      <c r="G262" s="1">
        <v>30</v>
      </c>
      <c r="H262" s="1">
        <v>0.40396880780765537</v>
      </c>
      <c r="I262" s="1">
        <v>1.7301787649056424</v>
      </c>
      <c r="J262" s="1">
        <v>1079.7058992904304</v>
      </c>
      <c r="K262" s="1" t="s">
        <v>16</v>
      </c>
    </row>
    <row r="263" spans="3:11" x14ac:dyDescent="0.3">
      <c r="C263" s="13">
        <v>84.63</v>
      </c>
      <c r="D263" s="13">
        <v>0.31</v>
      </c>
      <c r="E263" s="1">
        <v>20.8</v>
      </c>
      <c r="F263" s="1">
        <v>556</v>
      </c>
      <c r="G263" s="1">
        <v>45</v>
      </c>
      <c r="H263" s="1">
        <v>0.40637825688674101</v>
      </c>
      <c r="I263" s="1">
        <v>1.7366837702280977</v>
      </c>
      <c r="J263" s="1">
        <v>1273.6215478413817</v>
      </c>
      <c r="K263" s="1" t="s">
        <v>16</v>
      </c>
    </row>
    <row r="264" spans="3:11" x14ac:dyDescent="0.3">
      <c r="C264" s="13">
        <v>84.63</v>
      </c>
      <c r="D264" s="13">
        <v>0.31</v>
      </c>
      <c r="E264" s="1">
        <v>20.8</v>
      </c>
      <c r="F264" s="1">
        <v>557</v>
      </c>
      <c r="G264" s="1">
        <v>0</v>
      </c>
      <c r="H264" s="1">
        <v>0.39568030297560086</v>
      </c>
      <c r="I264" s="1">
        <v>1.7453571106580383</v>
      </c>
      <c r="J264" s="1">
        <v>394.95643556697433</v>
      </c>
      <c r="K264" s="1" t="s">
        <v>16</v>
      </c>
    </row>
    <row r="265" spans="3:11" x14ac:dyDescent="0.3">
      <c r="C265" s="13">
        <v>84.63</v>
      </c>
      <c r="D265" s="13">
        <v>0.31</v>
      </c>
      <c r="E265" s="1">
        <v>20.8</v>
      </c>
      <c r="F265" s="1">
        <v>558</v>
      </c>
      <c r="G265" s="1">
        <v>15</v>
      </c>
      <c r="H265" s="1">
        <v>0.40130877602434489</v>
      </c>
      <c r="I265" s="1">
        <v>1.7399362728893255</v>
      </c>
      <c r="J265" s="1">
        <v>894.59653420104473</v>
      </c>
      <c r="K265" s="1" t="s">
        <v>16</v>
      </c>
    </row>
    <row r="266" spans="3:11" x14ac:dyDescent="0.3">
      <c r="C266" s="13">
        <v>84.63</v>
      </c>
      <c r="D266" s="13">
        <v>0.31</v>
      </c>
      <c r="E266" s="1">
        <v>20.8</v>
      </c>
      <c r="F266" s="1">
        <v>559</v>
      </c>
      <c r="G266" s="1">
        <v>30</v>
      </c>
      <c r="H266" s="1">
        <v>0.40712036720309935</v>
      </c>
      <c r="I266" s="1">
        <v>1.7529462835342362</v>
      </c>
      <c r="J266" s="1">
        <v>1246.5066949780969</v>
      </c>
      <c r="K266" s="1" t="s">
        <v>16</v>
      </c>
    </row>
    <row r="267" spans="3:11" x14ac:dyDescent="0.3">
      <c r="C267" s="13">
        <v>84.63</v>
      </c>
      <c r="D267" s="13">
        <v>0.31</v>
      </c>
      <c r="E267" s="1">
        <v>20.8</v>
      </c>
      <c r="F267" s="1">
        <v>560</v>
      </c>
      <c r="G267" s="1">
        <v>45</v>
      </c>
      <c r="H267" s="1">
        <v>0.40728420974047724</v>
      </c>
      <c r="I267" s="1">
        <v>1.7377679377818402</v>
      </c>
      <c r="J267" s="1">
        <v>1445.5468323664904</v>
      </c>
      <c r="K267" s="1" t="s">
        <v>16</v>
      </c>
    </row>
    <row r="268" spans="3:11" x14ac:dyDescent="0.3">
      <c r="C268" s="13">
        <v>84.63</v>
      </c>
      <c r="D268" s="13">
        <v>0.31</v>
      </c>
      <c r="E268" s="1">
        <v>20.8</v>
      </c>
      <c r="F268" s="1">
        <v>561</v>
      </c>
      <c r="G268" s="1">
        <v>0</v>
      </c>
      <c r="H268" s="1">
        <v>0.39426354691709853</v>
      </c>
      <c r="I268" s="1">
        <v>1.7247579271369295</v>
      </c>
      <c r="J268" s="1">
        <v>378.40249426253433</v>
      </c>
      <c r="K268" s="1" t="s">
        <v>17</v>
      </c>
    </row>
    <row r="269" spans="3:11" x14ac:dyDescent="0.3">
      <c r="C269" s="13">
        <v>84.63</v>
      </c>
      <c r="D269" s="13">
        <v>0.31</v>
      </c>
      <c r="E269" s="1">
        <v>20.8</v>
      </c>
      <c r="F269" s="1">
        <v>562</v>
      </c>
      <c r="G269" s="1">
        <v>15</v>
      </c>
      <c r="H269" s="1">
        <v>0.43465555127888983</v>
      </c>
      <c r="I269" s="1">
        <v>1.7453571106580383</v>
      </c>
      <c r="J269" s="1">
        <v>1213.6620065838085</v>
      </c>
      <c r="K269" s="1" t="s">
        <v>17</v>
      </c>
    </row>
    <row r="270" spans="3:11" x14ac:dyDescent="0.3">
      <c r="C270" s="13">
        <v>84.63</v>
      </c>
      <c r="D270" s="13">
        <v>0.31</v>
      </c>
      <c r="E270" s="1">
        <v>20.8</v>
      </c>
      <c r="F270" s="1">
        <v>563</v>
      </c>
      <c r="G270" s="1">
        <v>30</v>
      </c>
      <c r="H270" s="1">
        <v>0.44107432362557386</v>
      </c>
      <c r="I270" s="1">
        <v>1.7421046079968106</v>
      </c>
      <c r="J270" s="1">
        <v>1481.6336835671952</v>
      </c>
      <c r="K270" s="1" t="s">
        <v>17</v>
      </c>
    </row>
    <row r="271" spans="3:11" x14ac:dyDescent="0.3">
      <c r="C271" s="13">
        <v>84.63</v>
      </c>
      <c r="D271" s="13">
        <v>0.31</v>
      </c>
      <c r="E271" s="1">
        <v>20.8</v>
      </c>
      <c r="F271" s="1">
        <v>564</v>
      </c>
      <c r="G271" s="1">
        <v>45</v>
      </c>
      <c r="H271" s="1">
        <v>0.44833158425177971</v>
      </c>
      <c r="I271" s="1">
        <v>1.7702929643941172</v>
      </c>
      <c r="J271" s="1">
        <v>1531.3286504556861</v>
      </c>
      <c r="K271" s="1" t="s">
        <v>17</v>
      </c>
    </row>
    <row r="272" spans="3:11" x14ac:dyDescent="0.3">
      <c r="C272" s="13">
        <v>84.63</v>
      </c>
      <c r="D272" s="13">
        <v>0.31</v>
      </c>
      <c r="E272" s="1">
        <v>20.8</v>
      </c>
      <c r="F272" s="1" t="s">
        <v>31</v>
      </c>
      <c r="H272" s="1">
        <v>0.39598871245772382</v>
      </c>
      <c r="I272" s="1">
        <v>1.8049863261138794</v>
      </c>
      <c r="J272" s="1">
        <v>367.17969799366028</v>
      </c>
    </row>
    <row r="273" spans="2:11" x14ac:dyDescent="0.3">
      <c r="C273" s="13">
        <v>84.63</v>
      </c>
      <c r="D273" s="13">
        <v>0.31</v>
      </c>
      <c r="E273" s="1">
        <v>20.8</v>
      </c>
      <c r="F273" s="1" t="s">
        <v>32</v>
      </c>
      <c r="H273" s="1">
        <v>0.39560320060507009</v>
      </c>
      <c r="I273" s="1">
        <v>1.8277538447424733</v>
      </c>
      <c r="J273" s="1">
        <v>369.58938724725681</v>
      </c>
    </row>
    <row r="274" spans="2:11" x14ac:dyDescent="0.3">
      <c r="C274" s="13">
        <v>84.63</v>
      </c>
      <c r="D274" s="13">
        <v>0.31</v>
      </c>
      <c r="E274" s="1">
        <v>20.8</v>
      </c>
      <c r="F274" s="1" t="s">
        <v>33</v>
      </c>
      <c r="H274" s="1">
        <v>0.39591161008719311</v>
      </c>
      <c r="I274" s="1">
        <v>1.7865554777002557</v>
      </c>
      <c r="J274" s="1">
        <v>367.82501121610403</v>
      </c>
    </row>
    <row r="275" spans="2:11" x14ac:dyDescent="0.3">
      <c r="B275" s="1" t="s">
        <v>34</v>
      </c>
      <c r="C275" s="13">
        <v>84.63</v>
      </c>
      <c r="D275" s="13">
        <v>0.31</v>
      </c>
      <c r="E275" s="1">
        <v>21.9</v>
      </c>
      <c r="F275" s="1">
        <v>229</v>
      </c>
      <c r="G275" s="1">
        <v>0</v>
      </c>
      <c r="H275" s="1">
        <v>0.40315923291708267</v>
      </c>
      <c r="I275" s="1">
        <v>2.5107794036002882</v>
      </c>
      <c r="J275" s="1">
        <v>389.43423102748233</v>
      </c>
      <c r="K275" s="1" t="s">
        <v>17</v>
      </c>
    </row>
    <row r="276" spans="2:11" x14ac:dyDescent="0.3">
      <c r="B276" s="1">
        <v>24</v>
      </c>
      <c r="C276" s="13">
        <v>84.63</v>
      </c>
      <c r="D276" s="13">
        <v>0.31</v>
      </c>
      <c r="E276" s="1">
        <v>21.9</v>
      </c>
      <c r="F276" s="1">
        <v>230</v>
      </c>
      <c r="G276" s="1">
        <v>15</v>
      </c>
      <c r="H276" s="1">
        <v>0.41243079297340407</v>
      </c>
      <c r="I276" s="1">
        <v>2.6246169967432573</v>
      </c>
      <c r="J276" s="1">
        <v>1341.4125791731435</v>
      </c>
      <c r="K276" s="1" t="s">
        <v>17</v>
      </c>
    </row>
    <row r="277" spans="2:11" x14ac:dyDescent="0.3">
      <c r="B277" s="1">
        <v>21.9</v>
      </c>
      <c r="C277" s="13">
        <v>84.63</v>
      </c>
      <c r="D277" s="13">
        <v>0.31</v>
      </c>
      <c r="E277" s="1">
        <v>21.9</v>
      </c>
      <c r="F277" s="1">
        <v>231</v>
      </c>
      <c r="G277" s="1">
        <v>30</v>
      </c>
      <c r="H277" s="1">
        <v>0.42252156571661459</v>
      </c>
      <c r="I277" s="1">
        <v>2.2343166773959346</v>
      </c>
      <c r="J277" s="1">
        <v>1963.7625937904211</v>
      </c>
      <c r="K277" s="1" t="s">
        <v>17</v>
      </c>
    </row>
    <row r="278" spans="2:11" x14ac:dyDescent="0.3">
      <c r="C278" s="13">
        <v>84.63</v>
      </c>
      <c r="D278" s="13">
        <v>0.31</v>
      </c>
      <c r="E278" s="1">
        <v>21.9</v>
      </c>
      <c r="F278" s="1">
        <v>232</v>
      </c>
      <c r="G278" s="1">
        <v>45</v>
      </c>
      <c r="H278" s="1">
        <v>0.44223085918353494</v>
      </c>
      <c r="I278" s="1">
        <v>2.3741742918287252</v>
      </c>
      <c r="J278" s="1">
        <v>2057.9139879036379</v>
      </c>
      <c r="K278" s="1" t="s">
        <v>17</v>
      </c>
    </row>
    <row r="279" spans="2:11" x14ac:dyDescent="0.3">
      <c r="C279" s="13">
        <v>84.63</v>
      </c>
      <c r="D279" s="13">
        <v>0.31</v>
      </c>
      <c r="E279" s="1">
        <v>21.9</v>
      </c>
      <c r="F279" s="1">
        <v>233</v>
      </c>
      <c r="G279" s="1">
        <v>0</v>
      </c>
      <c r="H279" s="1">
        <v>0.4033616266397258</v>
      </c>
      <c r="I279" s="1">
        <v>2.5183685764764863</v>
      </c>
      <c r="J279" s="1">
        <v>409.85322811287313</v>
      </c>
      <c r="K279" s="1" t="s">
        <v>16</v>
      </c>
    </row>
    <row r="280" spans="2:11" x14ac:dyDescent="0.3">
      <c r="C280" s="13">
        <v>84.63</v>
      </c>
      <c r="D280" s="13">
        <v>0.31</v>
      </c>
      <c r="E280" s="1">
        <v>21.9</v>
      </c>
      <c r="F280" s="1">
        <v>234</v>
      </c>
      <c r="G280" s="1">
        <v>15</v>
      </c>
      <c r="H280" s="1">
        <v>0.41880137633850645</v>
      </c>
      <c r="I280" s="1">
        <v>2.5476411004275352</v>
      </c>
      <c r="J280" s="1">
        <v>660.10316131374168</v>
      </c>
      <c r="K280" s="1" t="s">
        <v>16</v>
      </c>
    </row>
    <row r="281" spans="2:11" x14ac:dyDescent="0.3">
      <c r="C281" s="13">
        <v>84.63</v>
      </c>
      <c r="D281" s="13">
        <v>0.31</v>
      </c>
      <c r="E281" s="1">
        <v>21.9</v>
      </c>
      <c r="F281" s="1">
        <v>235</v>
      </c>
      <c r="G281" s="1">
        <v>30</v>
      </c>
      <c r="H281" s="1">
        <v>0.43299785031247884</v>
      </c>
      <c r="I281" s="1">
        <v>2.4175409939784274</v>
      </c>
      <c r="J281" s="1">
        <v>942.91704241333377</v>
      </c>
      <c r="K281" s="1" t="s">
        <v>16</v>
      </c>
    </row>
    <row r="282" spans="2:11" x14ac:dyDescent="0.3">
      <c r="C282" s="13">
        <v>84.63</v>
      </c>
      <c r="D282" s="13">
        <v>0.31</v>
      </c>
      <c r="E282" s="1">
        <v>21.9</v>
      </c>
      <c r="F282" s="1">
        <v>236</v>
      </c>
      <c r="G282" s="1">
        <v>45</v>
      </c>
      <c r="H282" s="1">
        <v>0.44924717490183225</v>
      </c>
      <c r="I282" s="1">
        <v>2.1931183103537171</v>
      </c>
      <c r="J282" s="1">
        <v>1276.3022296566689</v>
      </c>
      <c r="K282" s="1" t="s">
        <v>16</v>
      </c>
    </row>
    <row r="283" spans="2:11" x14ac:dyDescent="0.3">
      <c r="C283" s="13">
        <v>84.63</v>
      </c>
      <c r="D283" s="13">
        <v>0.31</v>
      </c>
      <c r="E283" s="1">
        <v>21.9</v>
      </c>
      <c r="F283" s="1">
        <v>237</v>
      </c>
      <c r="G283" s="1">
        <v>0</v>
      </c>
      <c r="H283" s="1">
        <v>0.4033519888434095</v>
      </c>
      <c r="I283" s="1">
        <v>2.7308654170100288</v>
      </c>
      <c r="J283" s="1">
        <v>390.07564507637659</v>
      </c>
      <c r="K283" s="1" t="s">
        <v>16</v>
      </c>
    </row>
    <row r="284" spans="2:11" x14ac:dyDescent="0.3">
      <c r="C284" s="13">
        <v>84.63</v>
      </c>
      <c r="D284" s="13">
        <v>0.31</v>
      </c>
      <c r="E284" s="1">
        <v>21.9</v>
      </c>
      <c r="F284" s="1">
        <v>238</v>
      </c>
      <c r="G284" s="1">
        <v>15</v>
      </c>
      <c r="H284" s="1">
        <v>0.41246934415866943</v>
      </c>
      <c r="I284" s="1">
        <v>2.3698376216137551</v>
      </c>
      <c r="J284" s="1">
        <v>601.89434897989804</v>
      </c>
      <c r="K284" s="1" t="s">
        <v>16</v>
      </c>
    </row>
    <row r="285" spans="2:11" x14ac:dyDescent="0.3">
      <c r="C285" s="13">
        <v>84.63</v>
      </c>
      <c r="D285" s="13">
        <v>0.31</v>
      </c>
      <c r="E285" s="1">
        <v>21.9</v>
      </c>
      <c r="F285" s="1">
        <v>239</v>
      </c>
      <c r="G285" s="1">
        <v>30</v>
      </c>
      <c r="H285" s="1">
        <v>0.42012175443384536</v>
      </c>
      <c r="I285" s="1">
        <v>2.4132043237634577</v>
      </c>
      <c r="J285" s="1">
        <v>779.66546944910783</v>
      </c>
      <c r="K285" s="1" t="s">
        <v>16</v>
      </c>
    </row>
    <row r="286" spans="2:11" x14ac:dyDescent="0.3">
      <c r="C286" s="13">
        <v>84.63</v>
      </c>
      <c r="D286" s="13">
        <v>0.31</v>
      </c>
      <c r="E286" s="1">
        <v>21.9</v>
      </c>
      <c r="F286" s="1">
        <v>240</v>
      </c>
      <c r="G286" s="1">
        <v>45</v>
      </c>
      <c r="H286" s="1">
        <v>0.43312314166459132</v>
      </c>
      <c r="I286" s="1">
        <v>2.5118635711540311</v>
      </c>
      <c r="J286" s="1">
        <v>1022.5557125752783</v>
      </c>
      <c r="K286" s="1" t="s">
        <v>16</v>
      </c>
    </row>
    <row r="287" spans="2:11" x14ac:dyDescent="0.3">
      <c r="C287" s="13">
        <v>84.63</v>
      </c>
      <c r="D287" s="13">
        <v>0.31</v>
      </c>
      <c r="E287" s="1">
        <v>21.9</v>
      </c>
      <c r="F287" s="1">
        <v>241</v>
      </c>
      <c r="G287" s="1">
        <v>0</v>
      </c>
      <c r="H287" s="1">
        <v>0.40337126443604215</v>
      </c>
      <c r="I287" s="1">
        <v>2.5227052466914568</v>
      </c>
      <c r="J287" s="1">
        <v>425.10094627822764</v>
      </c>
      <c r="K287" s="1" t="s">
        <v>16</v>
      </c>
    </row>
    <row r="288" spans="2:11" x14ac:dyDescent="0.3">
      <c r="C288" s="13">
        <v>84.63</v>
      </c>
      <c r="D288" s="13">
        <v>0.31</v>
      </c>
      <c r="E288" s="1">
        <v>21.9</v>
      </c>
      <c r="F288" s="1">
        <v>242</v>
      </c>
      <c r="G288" s="1">
        <v>15</v>
      </c>
      <c r="H288" s="1">
        <v>0.41442581681088692</v>
      </c>
      <c r="I288" s="1">
        <v>2.5595669435187038</v>
      </c>
      <c r="J288" s="1">
        <v>656.37067743347438</v>
      </c>
      <c r="K288" s="1" t="s">
        <v>16</v>
      </c>
    </row>
    <row r="289" spans="3:11" x14ac:dyDescent="0.3">
      <c r="C289" s="13">
        <v>84.63</v>
      </c>
      <c r="D289" s="13">
        <v>0.31</v>
      </c>
      <c r="E289" s="1">
        <v>21.9</v>
      </c>
      <c r="F289" s="1">
        <v>243</v>
      </c>
      <c r="G289" s="1">
        <v>30</v>
      </c>
      <c r="H289" s="1">
        <v>0.41765447857686167</v>
      </c>
      <c r="I289" s="1">
        <v>2.4522343556981903</v>
      </c>
      <c r="J289" s="1">
        <v>862.08717473201432</v>
      </c>
      <c r="K289" s="1" t="s">
        <v>16</v>
      </c>
    </row>
    <row r="290" spans="3:11" x14ac:dyDescent="0.3">
      <c r="C290" s="13">
        <v>84.63</v>
      </c>
      <c r="D290" s="13">
        <v>0.31</v>
      </c>
      <c r="E290" s="1">
        <v>21.9</v>
      </c>
      <c r="F290" s="1">
        <v>244</v>
      </c>
      <c r="G290" s="1">
        <v>45</v>
      </c>
      <c r="H290" s="1">
        <v>0.42469970768410803</v>
      </c>
      <c r="I290" s="1">
        <v>2.5118635711540311</v>
      </c>
      <c r="J290" s="1">
        <v>1075.9246757407941</v>
      </c>
      <c r="K290" s="1" t="s">
        <v>16</v>
      </c>
    </row>
    <row r="291" spans="3:11" x14ac:dyDescent="0.3">
      <c r="C291" s="13">
        <v>84.63</v>
      </c>
      <c r="D291" s="13">
        <v>0.31</v>
      </c>
      <c r="E291" s="1">
        <v>21.9</v>
      </c>
      <c r="F291" s="1">
        <v>245</v>
      </c>
      <c r="G291" s="1">
        <v>0</v>
      </c>
      <c r="H291" s="1">
        <v>0.40422902830819663</v>
      </c>
      <c r="I291" s="1">
        <v>2.3524909407538739</v>
      </c>
      <c r="J291" s="1">
        <v>407.18326902484688</v>
      </c>
      <c r="K291" s="1" t="s">
        <v>16</v>
      </c>
    </row>
    <row r="292" spans="3:11" x14ac:dyDescent="0.3">
      <c r="C292" s="13">
        <v>84.63</v>
      </c>
      <c r="D292" s="13">
        <v>0.31</v>
      </c>
      <c r="E292" s="1">
        <v>21.9</v>
      </c>
      <c r="F292" s="1">
        <v>246</v>
      </c>
      <c r="G292" s="1">
        <v>15</v>
      </c>
      <c r="H292" s="1">
        <v>0.40744805227785502</v>
      </c>
      <c r="I292" s="1">
        <v>2.2668417040082116</v>
      </c>
      <c r="J292" s="1">
        <v>586.41268040157297</v>
      </c>
      <c r="K292" s="1" t="s">
        <v>16</v>
      </c>
    </row>
    <row r="293" spans="3:11" x14ac:dyDescent="0.3">
      <c r="C293" s="13">
        <v>84.63</v>
      </c>
      <c r="D293" s="13">
        <v>0.31</v>
      </c>
      <c r="E293" s="1">
        <v>21.9</v>
      </c>
      <c r="F293" s="1">
        <v>247</v>
      </c>
      <c r="G293" s="1">
        <v>30</v>
      </c>
      <c r="H293" s="1">
        <v>0.4138475490319064</v>
      </c>
      <c r="I293" s="1">
        <v>2.5357152573363675</v>
      </c>
      <c r="J293" s="1">
        <v>854.23521399669073</v>
      </c>
      <c r="K293" s="1" t="s">
        <v>16</v>
      </c>
    </row>
    <row r="294" spans="3:11" x14ac:dyDescent="0.3">
      <c r="C294" s="13">
        <v>84.63</v>
      </c>
      <c r="D294" s="13">
        <v>0.31</v>
      </c>
      <c r="E294" s="1">
        <v>21.9</v>
      </c>
      <c r="F294" s="1">
        <v>248</v>
      </c>
      <c r="G294" s="1">
        <v>45</v>
      </c>
      <c r="H294" s="1">
        <v>0.41742317146526947</v>
      </c>
      <c r="I294" s="1">
        <v>2.3416492652164482</v>
      </c>
      <c r="J294" s="1">
        <v>1100.6142426562844</v>
      </c>
      <c r="K294" s="1" t="s">
        <v>16</v>
      </c>
    </row>
    <row r="295" spans="3:11" x14ac:dyDescent="0.3">
      <c r="C295" s="13">
        <v>84.63</v>
      </c>
      <c r="D295" s="13">
        <v>0.31</v>
      </c>
      <c r="E295" s="1">
        <v>21.9</v>
      </c>
      <c r="F295" s="1">
        <v>249</v>
      </c>
      <c r="G295" s="1">
        <v>0</v>
      </c>
      <c r="H295" s="1">
        <v>0.40511570556930016</v>
      </c>
      <c r="I295" s="1">
        <v>2.4012784806722891</v>
      </c>
      <c r="J295" s="1">
        <v>401.54701365903179</v>
      </c>
      <c r="K295" s="1" t="s">
        <v>16</v>
      </c>
    </row>
    <row r="296" spans="3:11" x14ac:dyDescent="0.3">
      <c r="C296" s="13">
        <v>84.63</v>
      </c>
      <c r="D296" s="13">
        <v>0.31</v>
      </c>
      <c r="E296" s="1">
        <v>21.9</v>
      </c>
      <c r="F296" s="1">
        <v>250</v>
      </c>
      <c r="G296" s="1">
        <v>15</v>
      </c>
      <c r="H296" s="1">
        <v>0.40731312312942619</v>
      </c>
      <c r="I296" s="1">
        <v>2.4142884913172002</v>
      </c>
      <c r="J296" s="1">
        <v>598.64828699993188</v>
      </c>
      <c r="K296" s="1" t="s">
        <v>16</v>
      </c>
    </row>
    <row r="297" spans="3:11" x14ac:dyDescent="0.3">
      <c r="C297" s="13">
        <v>84.63</v>
      </c>
      <c r="D297" s="13">
        <v>0.31</v>
      </c>
      <c r="E297" s="1">
        <v>21.9</v>
      </c>
      <c r="F297" s="1">
        <v>251</v>
      </c>
      <c r="G297" s="1">
        <v>30</v>
      </c>
      <c r="H297" s="1">
        <v>0.41449328138510133</v>
      </c>
      <c r="I297" s="1">
        <v>2.2104649912135983</v>
      </c>
      <c r="J297" s="1">
        <v>969.5912886655243</v>
      </c>
      <c r="K297" s="1" t="s">
        <v>16</v>
      </c>
    </row>
    <row r="298" spans="3:11" x14ac:dyDescent="0.3">
      <c r="C298" s="13">
        <v>84.63</v>
      </c>
      <c r="D298" s="13">
        <v>0.31</v>
      </c>
      <c r="E298" s="1">
        <v>21.9</v>
      </c>
      <c r="F298" s="1">
        <v>252</v>
      </c>
      <c r="G298" s="1">
        <v>45</v>
      </c>
      <c r="H298" s="1">
        <v>0.43247740931139639</v>
      </c>
      <c r="I298" s="1">
        <v>2.6181119914208018</v>
      </c>
      <c r="J298" s="1">
        <v>1476.3464042340609</v>
      </c>
      <c r="K298" s="1" t="s">
        <v>16</v>
      </c>
    </row>
    <row r="299" spans="3:11" x14ac:dyDescent="0.3">
      <c r="C299" s="13">
        <v>84.63</v>
      </c>
      <c r="D299" s="13">
        <v>0.31</v>
      </c>
      <c r="E299" s="1">
        <v>21.9</v>
      </c>
      <c r="F299" s="1">
        <v>253</v>
      </c>
      <c r="G299" s="1">
        <v>0</v>
      </c>
      <c r="H299" s="1">
        <v>0.40401699678923708</v>
      </c>
      <c r="I299" s="1">
        <v>2.4684968690043285</v>
      </c>
      <c r="J299" s="1">
        <v>407.99722150330683</v>
      </c>
      <c r="K299" s="1" t="s">
        <v>16</v>
      </c>
    </row>
    <row r="300" spans="3:11" x14ac:dyDescent="0.3">
      <c r="C300" s="13">
        <v>84.63</v>
      </c>
      <c r="D300" s="13">
        <v>0.31</v>
      </c>
      <c r="E300" s="1">
        <v>21.9</v>
      </c>
      <c r="F300" s="1">
        <v>254</v>
      </c>
      <c r="G300" s="1">
        <v>15</v>
      </c>
      <c r="H300" s="1">
        <v>0.40917321781848032</v>
      </c>
      <c r="I300" s="1">
        <v>2.675572871769158</v>
      </c>
      <c r="J300" s="1">
        <v>652.04454438029416</v>
      </c>
      <c r="K300" s="1" t="s">
        <v>16</v>
      </c>
    </row>
    <row r="301" spans="3:11" x14ac:dyDescent="0.3">
      <c r="C301" s="13">
        <v>84.63</v>
      </c>
      <c r="D301" s="13">
        <v>0.31</v>
      </c>
      <c r="E301" s="1">
        <v>21.9</v>
      </c>
      <c r="F301" s="1">
        <v>255</v>
      </c>
      <c r="G301" s="1">
        <v>30</v>
      </c>
      <c r="H301" s="1">
        <v>0.41426197427350914</v>
      </c>
      <c r="I301" s="1">
        <v>2.3524909407538739</v>
      </c>
      <c r="J301" s="1">
        <v>882.19716231360644</v>
      </c>
      <c r="K301" s="1" t="s">
        <v>16</v>
      </c>
    </row>
    <row r="302" spans="3:11" x14ac:dyDescent="0.3">
      <c r="C302" s="13">
        <v>84.63</v>
      </c>
      <c r="D302" s="13">
        <v>0.31</v>
      </c>
      <c r="E302" s="1">
        <v>21.9</v>
      </c>
      <c r="F302" s="1">
        <v>256</v>
      </c>
      <c r="G302" s="1">
        <v>45</v>
      </c>
      <c r="H302" s="1">
        <v>0.41667142335259477</v>
      </c>
      <c r="I302" s="1">
        <v>2.7026770606127219</v>
      </c>
      <c r="J302" s="1">
        <v>1057.8578550991447</v>
      </c>
      <c r="K302" s="1" t="s">
        <v>16</v>
      </c>
    </row>
    <row r="303" spans="3:11" x14ac:dyDescent="0.3">
      <c r="C303" s="13">
        <v>84.63</v>
      </c>
      <c r="D303" s="13">
        <v>0.31</v>
      </c>
      <c r="E303" s="1">
        <v>21.9</v>
      </c>
      <c r="F303" s="1">
        <v>257</v>
      </c>
      <c r="G303" s="1">
        <v>0</v>
      </c>
      <c r="H303" s="1">
        <v>0.40423866610451298</v>
      </c>
      <c r="I303" s="1">
        <v>2.4229618317471404</v>
      </c>
      <c r="J303" s="1">
        <v>392.5818388753234</v>
      </c>
      <c r="K303" s="1" t="s">
        <v>17</v>
      </c>
    </row>
    <row r="304" spans="3:11" x14ac:dyDescent="0.3">
      <c r="C304" s="13">
        <v>84.63</v>
      </c>
      <c r="D304" s="13">
        <v>0.31</v>
      </c>
      <c r="E304" s="1">
        <v>21.9</v>
      </c>
      <c r="F304" s="1">
        <v>258</v>
      </c>
      <c r="G304" s="1">
        <v>15</v>
      </c>
      <c r="H304" s="1">
        <v>0.41155375350861689</v>
      </c>
      <c r="I304" s="1">
        <v>2.322134249249082</v>
      </c>
      <c r="J304" s="1">
        <v>2306.8820678001052</v>
      </c>
      <c r="K304" s="1" t="s">
        <v>17</v>
      </c>
    </row>
    <row r="305" spans="2:11" x14ac:dyDescent="0.3">
      <c r="C305" s="13">
        <v>84.63</v>
      </c>
      <c r="D305" s="13">
        <v>0.31</v>
      </c>
      <c r="E305" s="1">
        <v>21.9</v>
      </c>
      <c r="F305" s="1">
        <v>259</v>
      </c>
      <c r="G305" s="1">
        <v>30</v>
      </c>
      <c r="H305" s="1">
        <v>0.41453183257036674</v>
      </c>
      <c r="I305" s="1">
        <v>2.2614208662394986</v>
      </c>
      <c r="J305" s="1">
        <v>2856.4764283637087</v>
      </c>
      <c r="K305" s="1" t="s">
        <v>17</v>
      </c>
    </row>
    <row r="306" spans="2:11" x14ac:dyDescent="0.3">
      <c r="C306" s="13">
        <v>84.63</v>
      </c>
      <c r="D306" s="13">
        <v>0.31</v>
      </c>
      <c r="E306" s="1">
        <v>21.9</v>
      </c>
      <c r="F306" s="1">
        <v>260</v>
      </c>
      <c r="G306" s="1">
        <v>45</v>
      </c>
      <c r="H306" s="1">
        <v>0.42212641606764462</v>
      </c>
      <c r="I306" s="1">
        <v>2.2993667306204886</v>
      </c>
      <c r="J306" s="1">
        <v>3305.2869006063816</v>
      </c>
      <c r="K306" s="1" t="s">
        <v>17</v>
      </c>
    </row>
    <row r="307" spans="2:11" x14ac:dyDescent="0.3">
      <c r="C307" s="13">
        <v>84.63</v>
      </c>
      <c r="D307" s="13">
        <v>0.31</v>
      </c>
      <c r="F307" s="1" t="s">
        <v>35</v>
      </c>
      <c r="H307" s="1">
        <v>0.40952017848586869</v>
      </c>
      <c r="I307" s="1">
        <v>2.2765992119918947</v>
      </c>
      <c r="J307" s="1">
        <v>392.80409176764545</v>
      </c>
    </row>
    <row r="308" spans="2:11" x14ac:dyDescent="0.3">
      <c r="C308" s="13">
        <v>84.63</v>
      </c>
      <c r="D308" s="13">
        <v>0.31</v>
      </c>
      <c r="F308" s="1" t="s">
        <v>36</v>
      </c>
      <c r="H308" s="1">
        <v>0.40193523278490717</v>
      </c>
      <c r="I308" s="1">
        <v>2.4381401774995366</v>
      </c>
      <c r="J308" s="1">
        <v>386.63657400570969</v>
      </c>
    </row>
    <row r="309" spans="2:11" x14ac:dyDescent="0.3">
      <c r="C309" s="13">
        <v>84.63</v>
      </c>
      <c r="D309" s="13">
        <v>0.31</v>
      </c>
      <c r="F309" s="1" t="s">
        <v>37</v>
      </c>
      <c r="H309" s="1">
        <v>0.40265806750863287</v>
      </c>
      <c r="I309" s="1">
        <v>2.5682402839486445</v>
      </c>
      <c r="J309" s="1">
        <v>398.95406324860835</v>
      </c>
    </row>
    <row r="310" spans="2:11" x14ac:dyDescent="0.3">
      <c r="B310" s="1" t="s">
        <v>38</v>
      </c>
      <c r="C310" s="13">
        <v>84.63</v>
      </c>
      <c r="D310" s="13">
        <v>0.31</v>
      </c>
      <c r="E310" s="4">
        <v>15.7</v>
      </c>
      <c r="F310" s="1">
        <v>665</v>
      </c>
      <c r="G310" s="1">
        <v>0</v>
      </c>
      <c r="H310" s="1">
        <v>0.39613717992538094</v>
      </c>
      <c r="I310" s="1">
        <v>1.856045340050378</v>
      </c>
      <c r="J310" s="1">
        <v>394.74449634951634</v>
      </c>
      <c r="K310" s="1" t="s">
        <v>17</v>
      </c>
    </row>
    <row r="311" spans="2:11" x14ac:dyDescent="0.3">
      <c r="C311" s="13">
        <v>84.63</v>
      </c>
      <c r="D311" s="13">
        <v>0.31</v>
      </c>
      <c r="E311" s="4">
        <v>15.7</v>
      </c>
      <c r="F311" s="1">
        <v>666</v>
      </c>
      <c r="G311" s="1">
        <v>15</v>
      </c>
      <c r="H311" s="1">
        <v>0.39874028139430823</v>
      </c>
      <c r="I311" s="1">
        <v>1.8436322418136022</v>
      </c>
      <c r="J311" s="1">
        <v>1130.5713395743812</v>
      </c>
      <c r="K311" s="1" t="s">
        <v>17</v>
      </c>
    </row>
    <row r="312" spans="2:11" x14ac:dyDescent="0.3">
      <c r="C312" s="13">
        <v>84.63</v>
      </c>
      <c r="D312" s="13">
        <v>0.31</v>
      </c>
      <c r="E312" s="4">
        <v>15.7</v>
      </c>
      <c r="F312" s="1">
        <v>667</v>
      </c>
      <c r="G312" s="1">
        <v>30</v>
      </c>
      <c r="H312" s="1">
        <v>0.40015229584424294</v>
      </c>
      <c r="I312" s="1">
        <v>1.8312191435768264</v>
      </c>
      <c r="J312" s="1">
        <v>1413.5664972682459</v>
      </c>
      <c r="K312" s="1" t="s">
        <v>17</v>
      </c>
    </row>
    <row r="313" spans="2:11" x14ac:dyDescent="0.3">
      <c r="C313" s="13">
        <v>84.63</v>
      </c>
      <c r="D313" s="13">
        <v>0.31</v>
      </c>
      <c r="E313" s="4">
        <v>15.7</v>
      </c>
      <c r="F313" s="1">
        <v>668</v>
      </c>
      <c r="G313" s="1">
        <v>45</v>
      </c>
      <c r="H313" s="1">
        <v>0.36834835132904653</v>
      </c>
      <c r="I313" s="1">
        <v>1.7183727959697734</v>
      </c>
      <c r="J313" s="1">
        <v>1268.7681027981901</v>
      </c>
      <c r="K313" s="1" t="s">
        <v>17</v>
      </c>
    </row>
    <row r="314" spans="2:11" x14ac:dyDescent="0.3">
      <c r="C314" s="13">
        <v>84.63</v>
      </c>
      <c r="D314" s="13">
        <v>0.31</v>
      </c>
      <c r="E314" s="4">
        <v>15.7</v>
      </c>
      <c r="F314" s="1">
        <v>669</v>
      </c>
      <c r="G314" s="1">
        <v>0</v>
      </c>
      <c r="H314" s="1">
        <v>0.39719378937771305</v>
      </c>
      <c r="I314" s="1">
        <v>1.8312191435768264</v>
      </c>
      <c r="J314" s="1">
        <v>400.81642761463786</v>
      </c>
      <c r="K314" s="1" t="s">
        <v>16</v>
      </c>
    </row>
    <row r="315" spans="2:11" x14ac:dyDescent="0.3">
      <c r="C315" s="13">
        <v>84.63</v>
      </c>
      <c r="D315" s="13">
        <v>0.31</v>
      </c>
      <c r="E315" s="4">
        <v>15.7</v>
      </c>
      <c r="F315" s="1">
        <v>670</v>
      </c>
      <c r="G315" s="1">
        <v>15</v>
      </c>
      <c r="H315" s="1">
        <v>0.39827921545147238</v>
      </c>
      <c r="I315" s="1">
        <v>1.8244483627204033</v>
      </c>
      <c r="J315" s="1">
        <v>730.72534697016647</v>
      </c>
      <c r="K315" s="1" t="s">
        <v>16</v>
      </c>
    </row>
    <row r="316" spans="2:11" x14ac:dyDescent="0.3">
      <c r="C316" s="13">
        <v>84.63</v>
      </c>
      <c r="D316" s="13">
        <v>0.31</v>
      </c>
      <c r="E316" s="4">
        <v>15.7</v>
      </c>
      <c r="F316" s="1">
        <v>671</v>
      </c>
      <c r="G316" s="1">
        <v>30</v>
      </c>
      <c r="H316" s="1">
        <v>0.40065178394898177</v>
      </c>
      <c r="I316" s="1">
        <v>1.8131637279596979</v>
      </c>
      <c r="J316" s="1">
        <v>843.00801000625654</v>
      </c>
      <c r="K316" s="1" t="s">
        <v>16</v>
      </c>
    </row>
    <row r="317" spans="2:11" x14ac:dyDescent="0.3">
      <c r="C317" s="13">
        <v>84.63</v>
      </c>
      <c r="D317" s="13">
        <v>0.31</v>
      </c>
      <c r="E317" s="4">
        <v>15.7</v>
      </c>
      <c r="F317" s="1">
        <v>672</v>
      </c>
      <c r="G317" s="1">
        <v>45</v>
      </c>
      <c r="H317" s="1">
        <v>0.40059415070612731</v>
      </c>
      <c r="I317" s="1">
        <v>1.8267052896725442</v>
      </c>
      <c r="J317" s="1">
        <v>882.36471860386632</v>
      </c>
      <c r="K317" s="1" t="s">
        <v>16</v>
      </c>
    </row>
    <row r="318" spans="2:11" x14ac:dyDescent="0.3">
      <c r="C318" s="13">
        <v>84.63</v>
      </c>
      <c r="D318" s="13">
        <v>0.31</v>
      </c>
      <c r="E318" s="4">
        <v>15.7</v>
      </c>
      <c r="F318" s="1">
        <v>673</v>
      </c>
      <c r="G318" s="1">
        <v>0</v>
      </c>
      <c r="H318" s="1">
        <v>0.39952793571331946</v>
      </c>
      <c r="I318" s="1">
        <v>1.8312191435768264</v>
      </c>
      <c r="J318" s="1">
        <v>406.09675168574427</v>
      </c>
      <c r="K318" s="1" t="s">
        <v>16</v>
      </c>
    </row>
    <row r="319" spans="2:11" x14ac:dyDescent="0.3">
      <c r="C319" s="13">
        <v>84.63</v>
      </c>
      <c r="D319" s="13">
        <v>0.31</v>
      </c>
      <c r="E319" s="4">
        <v>15.7</v>
      </c>
      <c r="F319" s="1">
        <v>674</v>
      </c>
      <c r="G319" s="1">
        <v>15</v>
      </c>
      <c r="H319" s="1">
        <v>0.39993136841330079</v>
      </c>
      <c r="I319" s="1">
        <v>1.8120352644836273</v>
      </c>
      <c r="J319" s="1">
        <v>775.6654857391934</v>
      </c>
      <c r="K319" s="1" t="s">
        <v>16</v>
      </c>
    </row>
    <row r="320" spans="2:11" x14ac:dyDescent="0.3">
      <c r="C320" s="13">
        <v>84.63</v>
      </c>
      <c r="D320" s="13">
        <v>0.31</v>
      </c>
      <c r="E320" s="4">
        <v>15.7</v>
      </c>
      <c r="F320" s="1">
        <v>675</v>
      </c>
      <c r="G320" s="1">
        <v>30</v>
      </c>
      <c r="H320" s="1">
        <v>0.40202537623701351</v>
      </c>
      <c r="I320" s="1">
        <v>1.8300906801007559</v>
      </c>
      <c r="J320" s="1">
        <v>881.73888788542558</v>
      </c>
      <c r="K320" s="1" t="s">
        <v>16</v>
      </c>
    </row>
    <row r="321" spans="3:11" x14ac:dyDescent="0.3">
      <c r="C321" s="13">
        <v>84.63</v>
      </c>
      <c r="D321" s="13">
        <v>0.31</v>
      </c>
      <c r="E321" s="4">
        <v>15.7</v>
      </c>
      <c r="F321" s="1">
        <v>676</v>
      </c>
      <c r="G321" s="1">
        <v>45</v>
      </c>
      <c r="H321" s="1">
        <v>0.40268815852983997</v>
      </c>
      <c r="I321" s="1">
        <v>1.8041360201511336</v>
      </c>
      <c r="J321" s="1">
        <v>989.28956442346293</v>
      </c>
      <c r="K321" s="1" t="s">
        <v>16</v>
      </c>
    </row>
    <row r="322" spans="3:11" x14ac:dyDescent="0.3">
      <c r="C322" s="13">
        <v>84.63</v>
      </c>
      <c r="D322" s="13">
        <v>0.31</v>
      </c>
      <c r="E322" s="4">
        <v>15.7</v>
      </c>
      <c r="F322" s="1">
        <v>677</v>
      </c>
      <c r="G322" s="1">
        <v>0</v>
      </c>
      <c r="H322" s="1">
        <v>0.39904765868953213</v>
      </c>
      <c r="I322" s="1">
        <v>1.8255768261964738</v>
      </c>
      <c r="J322" s="1">
        <v>403.96225694698751</v>
      </c>
      <c r="K322" s="1" t="s">
        <v>16</v>
      </c>
    </row>
    <row r="323" spans="3:11" x14ac:dyDescent="0.3">
      <c r="C323" s="13">
        <v>84.63</v>
      </c>
      <c r="D323" s="13">
        <v>0.31</v>
      </c>
      <c r="E323" s="4">
        <v>15.7</v>
      </c>
      <c r="F323" s="1">
        <v>678</v>
      </c>
      <c r="G323" s="1">
        <v>15</v>
      </c>
      <c r="H323" s="1">
        <v>0.40095916124420561</v>
      </c>
      <c r="I323" s="1">
        <v>1.8346045340050379</v>
      </c>
      <c r="J323" s="1">
        <v>634.05313856301723</v>
      </c>
      <c r="K323" s="1" t="s">
        <v>16</v>
      </c>
    </row>
    <row r="324" spans="3:11" x14ac:dyDescent="0.3">
      <c r="C324" s="13">
        <v>84.63</v>
      </c>
      <c r="D324" s="13">
        <v>0.31</v>
      </c>
      <c r="E324" s="4">
        <v>15.7</v>
      </c>
      <c r="F324" s="1">
        <v>679</v>
      </c>
      <c r="G324" s="1">
        <v>30</v>
      </c>
      <c r="H324" s="1">
        <v>0.40361989595598746</v>
      </c>
      <c r="I324" s="1">
        <v>1.8030075566750632</v>
      </c>
      <c r="J324" s="1">
        <v>666.98674442653726</v>
      </c>
      <c r="K324" s="1" t="s">
        <v>16</v>
      </c>
    </row>
    <row r="325" spans="3:11" x14ac:dyDescent="0.3">
      <c r="C325" s="13">
        <v>84.63</v>
      </c>
      <c r="D325" s="13">
        <v>0.31</v>
      </c>
      <c r="E325" s="4">
        <v>15.7</v>
      </c>
      <c r="F325" s="1">
        <v>680</v>
      </c>
      <c r="G325" s="1">
        <v>45</v>
      </c>
      <c r="H325" s="1">
        <v>0.40273618623221868</v>
      </c>
      <c r="I325" s="1">
        <v>1.8086498740554158</v>
      </c>
      <c r="J325" s="1">
        <v>731.29330306103975</v>
      </c>
      <c r="K325" s="1" t="s">
        <v>16</v>
      </c>
    </row>
    <row r="326" spans="3:11" x14ac:dyDescent="0.3">
      <c r="C326" s="13">
        <v>84.63</v>
      </c>
      <c r="D326" s="13">
        <v>0.31</v>
      </c>
      <c r="E326" s="4">
        <v>15.7</v>
      </c>
      <c r="F326" s="1">
        <v>681</v>
      </c>
      <c r="G326" s="1">
        <v>0</v>
      </c>
      <c r="H326" s="1">
        <v>0.39980649638711607</v>
      </c>
      <c r="I326" s="1">
        <v>1.8097783375314864</v>
      </c>
      <c r="J326" s="1">
        <v>413.37325994498036</v>
      </c>
      <c r="K326" s="1" t="s">
        <v>16</v>
      </c>
    </row>
    <row r="327" spans="3:11" x14ac:dyDescent="0.3">
      <c r="C327" s="13">
        <v>84.63</v>
      </c>
      <c r="D327" s="13">
        <v>0.31</v>
      </c>
      <c r="E327" s="4">
        <v>15.7</v>
      </c>
      <c r="F327" s="1">
        <v>682</v>
      </c>
      <c r="G327" s="1">
        <v>15</v>
      </c>
      <c r="H327" s="1">
        <v>0.40441715581547433</v>
      </c>
      <c r="I327" s="1">
        <v>1.8244483627204033</v>
      </c>
      <c r="J327" s="1">
        <v>983.17643427092059</v>
      </c>
      <c r="K327" s="1" t="s">
        <v>16</v>
      </c>
    </row>
    <row r="328" spans="3:11" x14ac:dyDescent="0.3">
      <c r="C328" s="13">
        <v>84.63</v>
      </c>
      <c r="D328" s="13">
        <v>0.31</v>
      </c>
      <c r="E328" s="4">
        <v>15.7</v>
      </c>
      <c r="F328" s="1">
        <v>683</v>
      </c>
      <c r="G328" s="1">
        <v>30</v>
      </c>
      <c r="H328" s="1">
        <v>0.40714512931058638</v>
      </c>
      <c r="I328" s="1">
        <v>1.815420654911839</v>
      </c>
      <c r="J328" s="1">
        <v>854.45639607979979</v>
      </c>
      <c r="K328" s="1" t="s">
        <v>16</v>
      </c>
    </row>
    <row r="329" spans="3:11" x14ac:dyDescent="0.3">
      <c r="C329" s="13">
        <v>84.63</v>
      </c>
      <c r="D329" s="13">
        <v>0.31</v>
      </c>
      <c r="E329" s="4">
        <v>15.7</v>
      </c>
      <c r="F329" s="1">
        <v>684</v>
      </c>
      <c r="G329" s="1">
        <v>45</v>
      </c>
      <c r="H329" s="1">
        <v>0.40623260296539043</v>
      </c>
      <c r="I329" s="1">
        <v>1.7951083123425693</v>
      </c>
      <c r="J329" s="1">
        <v>941.47335094210405</v>
      </c>
      <c r="K329" s="1" t="s">
        <v>16</v>
      </c>
    </row>
    <row r="330" spans="3:11" x14ac:dyDescent="0.3">
      <c r="C330" s="13">
        <v>84.63</v>
      </c>
      <c r="D330" s="13">
        <v>0.31</v>
      </c>
      <c r="E330" s="4">
        <v>15.7</v>
      </c>
      <c r="F330" s="1">
        <v>685</v>
      </c>
      <c r="G330" s="1">
        <v>0</v>
      </c>
      <c r="H330" s="1">
        <v>0.39852895950384187</v>
      </c>
      <c r="I330" s="1">
        <v>1.8233198992443325</v>
      </c>
      <c r="J330" s="1">
        <v>406.09478983396235</v>
      </c>
      <c r="K330" s="1" t="s">
        <v>16</v>
      </c>
    </row>
    <row r="331" spans="3:11" x14ac:dyDescent="0.3">
      <c r="C331" s="13">
        <v>84.63</v>
      </c>
      <c r="D331" s="13">
        <v>0.31</v>
      </c>
      <c r="E331" s="4">
        <v>15.7</v>
      </c>
      <c r="F331" s="1">
        <v>686</v>
      </c>
      <c r="G331" s="1">
        <v>15</v>
      </c>
      <c r="H331" s="1">
        <v>0.40334133528219074</v>
      </c>
      <c r="I331" s="1">
        <v>1.8142921914357686</v>
      </c>
      <c r="J331" s="1">
        <v>604.152555554385</v>
      </c>
      <c r="K331" s="1" t="s">
        <v>16</v>
      </c>
    </row>
    <row r="332" spans="3:11" x14ac:dyDescent="0.3">
      <c r="C332" s="13">
        <v>84.63</v>
      </c>
      <c r="D332" s="13">
        <v>0.31</v>
      </c>
      <c r="E332" s="4">
        <v>15.7</v>
      </c>
      <c r="F332" s="1">
        <v>687</v>
      </c>
      <c r="G332" s="1">
        <v>30</v>
      </c>
      <c r="H332" s="1">
        <v>0.40374476798217207</v>
      </c>
      <c r="I332" s="1">
        <v>1.815420654911839</v>
      </c>
      <c r="J332" s="1">
        <v>665.08178634626813</v>
      </c>
      <c r="K332" s="1" t="s">
        <v>16</v>
      </c>
    </row>
    <row r="333" spans="3:11" x14ac:dyDescent="0.3">
      <c r="C333" s="13">
        <v>84.63</v>
      </c>
      <c r="D333" s="13">
        <v>0.31</v>
      </c>
      <c r="E333" s="4">
        <v>15.7</v>
      </c>
      <c r="F333" s="1">
        <v>688</v>
      </c>
      <c r="G333" s="1">
        <v>45</v>
      </c>
      <c r="H333" s="1">
        <v>0.40397530095359002</v>
      </c>
      <c r="I333" s="1">
        <v>1.8131637279596979</v>
      </c>
      <c r="J333" s="1">
        <v>737.40839506536406</v>
      </c>
      <c r="K333" s="1" t="s">
        <v>16</v>
      </c>
    </row>
    <row r="334" spans="3:11" x14ac:dyDescent="0.3">
      <c r="C334" s="13">
        <v>84.63</v>
      </c>
      <c r="D334" s="13">
        <v>0.31</v>
      </c>
      <c r="E334" s="4">
        <v>15.7</v>
      </c>
      <c r="F334" s="1">
        <v>689</v>
      </c>
      <c r="G334" s="1">
        <v>0</v>
      </c>
      <c r="H334" s="1">
        <v>0.39862501490859931</v>
      </c>
      <c r="I334" s="1">
        <v>1.8176775818639799</v>
      </c>
      <c r="J334" s="1">
        <v>417.29990628654434</v>
      </c>
      <c r="K334" s="1" t="s">
        <v>16</v>
      </c>
    </row>
    <row r="335" spans="3:11" x14ac:dyDescent="0.3">
      <c r="C335" s="13">
        <v>84.63</v>
      </c>
      <c r="D335" s="13">
        <v>0.31</v>
      </c>
      <c r="E335" s="4">
        <v>15.7</v>
      </c>
      <c r="F335" s="1">
        <v>690</v>
      </c>
      <c r="G335" s="1">
        <v>15</v>
      </c>
      <c r="H335" s="1">
        <v>0.40460926662498925</v>
      </c>
      <c r="I335" s="1">
        <v>1.7962367758186402</v>
      </c>
      <c r="J335" s="1">
        <v>661.56614795302175</v>
      </c>
      <c r="K335" s="1" t="s">
        <v>16</v>
      </c>
    </row>
    <row r="336" spans="3:11" x14ac:dyDescent="0.3">
      <c r="C336" s="13">
        <v>84.63</v>
      </c>
      <c r="D336" s="13">
        <v>0.31</v>
      </c>
      <c r="E336" s="4">
        <v>15.7</v>
      </c>
      <c r="F336" s="1">
        <v>691</v>
      </c>
      <c r="G336" s="1">
        <v>30</v>
      </c>
      <c r="H336" s="1">
        <v>0.40662643012489602</v>
      </c>
      <c r="I336" s="1">
        <v>1.7973652392947106</v>
      </c>
      <c r="J336" s="1">
        <v>765.92979627128852</v>
      </c>
      <c r="K336" s="1" t="s">
        <v>16</v>
      </c>
    </row>
    <row r="337" spans="3:11" x14ac:dyDescent="0.3">
      <c r="C337" s="13">
        <v>84.63</v>
      </c>
      <c r="D337" s="13">
        <v>0.31</v>
      </c>
      <c r="E337" s="4">
        <v>15.7</v>
      </c>
      <c r="F337" s="1">
        <v>692</v>
      </c>
      <c r="G337" s="1">
        <v>45</v>
      </c>
      <c r="H337" s="1">
        <v>0.41033416874853418</v>
      </c>
      <c r="I337" s="1">
        <v>1.7838236775818641</v>
      </c>
      <c r="J337" s="1">
        <v>818.1699855209348</v>
      </c>
      <c r="K337" s="1" t="s">
        <v>16</v>
      </c>
    </row>
    <row r="338" spans="3:11" x14ac:dyDescent="0.3">
      <c r="C338" s="13">
        <v>84.63</v>
      </c>
      <c r="D338" s="13">
        <v>0.31</v>
      </c>
      <c r="E338" s="4">
        <v>15.7</v>
      </c>
      <c r="F338" s="1">
        <v>693</v>
      </c>
      <c r="G338" s="1">
        <v>0</v>
      </c>
      <c r="H338" s="1">
        <v>0.39801986585862725</v>
      </c>
      <c r="I338" s="1">
        <v>1.8086498740554158</v>
      </c>
      <c r="J338" s="1">
        <v>391.61534275731321</v>
      </c>
      <c r="K338" s="1" t="s">
        <v>17</v>
      </c>
    </row>
    <row r="339" spans="3:11" x14ac:dyDescent="0.3">
      <c r="C339" s="13">
        <v>84.63</v>
      </c>
      <c r="D339" s="13">
        <v>0.31</v>
      </c>
      <c r="E339" s="4">
        <v>15.7</v>
      </c>
      <c r="F339" s="1">
        <v>694</v>
      </c>
      <c r="G339" s="1">
        <v>15</v>
      </c>
      <c r="H339" s="1">
        <v>0.39947030247046494</v>
      </c>
      <c r="I339" s="1">
        <v>1.815420654911839</v>
      </c>
      <c r="J339" s="1">
        <v>824.86088102326016</v>
      </c>
      <c r="K339" s="1" t="s">
        <v>17</v>
      </c>
    </row>
    <row r="340" spans="3:11" x14ac:dyDescent="0.3">
      <c r="C340" s="13">
        <v>84.63</v>
      </c>
      <c r="D340" s="13">
        <v>0.31</v>
      </c>
      <c r="E340" s="4">
        <v>15.7</v>
      </c>
      <c r="F340" s="1">
        <v>695</v>
      </c>
      <c r="G340" s="1">
        <v>30</v>
      </c>
      <c r="H340" s="1">
        <v>0.3987210703133568</v>
      </c>
      <c r="I340" s="1">
        <v>1.8188060453400507</v>
      </c>
      <c r="J340" s="1">
        <v>976.09513026398815</v>
      </c>
      <c r="K340" s="1" t="s">
        <v>17</v>
      </c>
    </row>
    <row r="341" spans="3:11" x14ac:dyDescent="0.3">
      <c r="C341" s="13">
        <v>84.63</v>
      </c>
      <c r="D341" s="13">
        <v>0.31</v>
      </c>
      <c r="E341" s="4">
        <v>15.7</v>
      </c>
      <c r="F341" s="1">
        <v>696</v>
      </c>
      <c r="G341" s="1">
        <v>45</v>
      </c>
      <c r="H341" s="1">
        <v>0.39965280773950418</v>
      </c>
      <c r="I341" s="1">
        <v>1.8075214105793453</v>
      </c>
      <c r="J341" s="1">
        <v>1016.8241541830688</v>
      </c>
      <c r="K341" s="1" t="s">
        <v>17</v>
      </c>
    </row>
    <row r="342" spans="3:11" x14ac:dyDescent="0.3">
      <c r="C342" s="13">
        <v>84.63</v>
      </c>
      <c r="D342" s="13">
        <v>0.31</v>
      </c>
      <c r="E342" s="4">
        <v>15.7</v>
      </c>
      <c r="F342" s="1" t="s">
        <v>39</v>
      </c>
      <c r="H342" s="1">
        <v>0.39858659274669628</v>
      </c>
      <c r="I342" s="1">
        <v>1.8165491183879094</v>
      </c>
      <c r="J342" s="1">
        <v>400.39855318508341</v>
      </c>
    </row>
    <row r="343" spans="3:11" x14ac:dyDescent="0.3">
      <c r="C343" s="13">
        <v>84.63</v>
      </c>
      <c r="D343" s="13">
        <v>0.31</v>
      </c>
      <c r="E343" s="4">
        <v>15.7</v>
      </c>
      <c r="F343" s="1" t="s">
        <v>40</v>
      </c>
      <c r="H343" s="1">
        <v>0.39823118774909366</v>
      </c>
      <c r="I343" s="1">
        <v>1.8244483627204033</v>
      </c>
      <c r="J343" s="1">
        <v>393.18482418286965</v>
      </c>
    </row>
    <row r="344" spans="3:11" x14ac:dyDescent="0.3">
      <c r="C344" s="13">
        <v>84.63</v>
      </c>
      <c r="D344" s="13">
        <v>0.31</v>
      </c>
      <c r="E344" s="4">
        <v>15.7</v>
      </c>
      <c r="F344" s="1" t="s">
        <v>41</v>
      </c>
      <c r="H344" s="1">
        <v>0.39934543044428028</v>
      </c>
      <c r="I344" s="1">
        <v>1.8255768261964738</v>
      </c>
      <c r="J344" s="1">
        <v>436.85270207130475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BCF5-51C3-4283-8AFE-BFAC47E1ADA5}">
  <dimension ref="A2:V377"/>
  <sheetViews>
    <sheetView workbookViewId="0">
      <selection activeCell="A3" sqref="A3"/>
    </sheetView>
  </sheetViews>
  <sheetFormatPr defaultColWidth="11.5546875" defaultRowHeight="14.4" x14ac:dyDescent="0.3"/>
  <cols>
    <col min="1" max="1" width="11.5546875" style="1" customWidth="1"/>
    <col min="2" max="2" width="13.88671875" style="1" customWidth="1"/>
    <col min="3" max="4" width="15.88671875" style="1" customWidth="1"/>
    <col min="5" max="13" width="11.5546875" style="1" customWidth="1"/>
    <col min="14" max="16" width="11.5546875" customWidth="1"/>
    <col min="17" max="17" width="17.5546875" customWidth="1"/>
    <col min="18" max="18" width="15.5546875" customWidth="1"/>
    <col min="19" max="19" width="15.109375" customWidth="1"/>
    <col min="20" max="20" width="17.5546875" customWidth="1"/>
    <col min="21" max="21" width="16.44140625" customWidth="1"/>
    <col min="22" max="22" width="16.88671875" customWidth="1"/>
    <col min="23" max="23" width="11.5546875" customWidth="1"/>
  </cols>
  <sheetData>
    <row r="2" spans="1:22" x14ac:dyDescent="0.3">
      <c r="D2" s="1" t="s">
        <v>4</v>
      </c>
      <c r="H2" s="2" t="s">
        <v>1</v>
      </c>
      <c r="I2" s="2" t="s">
        <v>2</v>
      </c>
      <c r="J2" s="2" t="s">
        <v>3</v>
      </c>
      <c r="K2" s="2" t="s">
        <v>1</v>
      </c>
      <c r="L2" s="2" t="s">
        <v>2</v>
      </c>
      <c r="M2" s="2" t="s">
        <v>3</v>
      </c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1">
        <v>1</v>
      </c>
      <c r="B3" s="1" t="s">
        <v>42</v>
      </c>
      <c r="C3" s="1" t="s">
        <v>43</v>
      </c>
      <c r="D3" s="1" t="s">
        <v>16</v>
      </c>
      <c r="E3" s="1">
        <v>11.5</v>
      </c>
      <c r="F3" s="1">
        <v>65</v>
      </c>
      <c r="G3" s="1">
        <v>0</v>
      </c>
      <c r="H3" s="1">
        <v>0.42434204714988183</v>
      </c>
      <c r="I3" s="1">
        <v>1.6411246925794007</v>
      </c>
      <c r="J3" s="1">
        <v>398.11569088964097</v>
      </c>
      <c r="K3" s="1">
        <v>0.42434204714988183</v>
      </c>
      <c r="L3" s="1">
        <v>1.6411246925794007</v>
      </c>
      <c r="M3" s="1">
        <v>398.11569088964097</v>
      </c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>
        <v>2</v>
      </c>
      <c r="B4" s="1" t="s">
        <v>44</v>
      </c>
      <c r="C4" s="1" t="s">
        <v>43</v>
      </c>
      <c r="D4" s="1" t="s">
        <v>16</v>
      </c>
      <c r="E4" s="1">
        <v>11.5</v>
      </c>
      <c r="F4" s="1">
        <v>66</v>
      </c>
      <c r="G4" s="1">
        <v>15</v>
      </c>
      <c r="H4" s="1">
        <v>0.43446014783053855</v>
      </c>
      <c r="I4" s="1">
        <v>1.6209760715265624</v>
      </c>
      <c r="J4" s="1">
        <v>683.09935116206714</v>
      </c>
      <c r="K4" s="1">
        <v>0.43446014783053855</v>
      </c>
      <c r="L4" s="1">
        <v>1.6209760715265624</v>
      </c>
      <c r="M4" s="1">
        <v>683.09935116206714</v>
      </c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>
        <v>3</v>
      </c>
      <c r="C5" s="1" t="s">
        <v>43</v>
      </c>
      <c r="D5" s="1" t="s">
        <v>16</v>
      </c>
      <c r="E5" s="1">
        <v>11.5</v>
      </c>
      <c r="F5" s="1">
        <v>67</v>
      </c>
      <c r="G5" s="1">
        <v>30</v>
      </c>
      <c r="H5" s="1">
        <v>0.43826416452874689</v>
      </c>
      <c r="I5" s="1">
        <v>1.61963283012304</v>
      </c>
      <c r="J5" s="1">
        <v>756.74887743781846</v>
      </c>
      <c r="K5" s="1">
        <v>0.43826416452874689</v>
      </c>
      <c r="L5" s="1">
        <v>1.61963283012304</v>
      </c>
      <c r="M5" s="1">
        <v>756.74887743781846</v>
      </c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>
        <v>4</v>
      </c>
      <c r="C6" s="1" t="s">
        <v>43</v>
      </c>
      <c r="D6" s="1" t="s">
        <v>16</v>
      </c>
      <c r="E6" s="1">
        <v>11.5</v>
      </c>
      <c r="F6" s="1">
        <v>68</v>
      </c>
      <c r="G6" s="1">
        <v>45</v>
      </c>
      <c r="H6" s="1">
        <v>0.43948028239901815</v>
      </c>
      <c r="I6" s="1">
        <v>1.6424679339829236</v>
      </c>
      <c r="J6" s="1">
        <v>787.51907175569409</v>
      </c>
      <c r="K6" s="1">
        <v>0.43948028239901815</v>
      </c>
      <c r="L6" s="1">
        <v>1.6424679339829236</v>
      </c>
      <c r="M6" s="1">
        <v>787.51907175569409</v>
      </c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>
        <v>5</v>
      </c>
      <c r="C7" s="1" t="s">
        <v>43</v>
      </c>
      <c r="D7" s="1" t="s">
        <v>16</v>
      </c>
      <c r="E7" s="1">
        <v>11.5</v>
      </c>
      <c r="F7" s="1">
        <v>69</v>
      </c>
      <c r="G7" s="1">
        <v>0</v>
      </c>
      <c r="H7" s="1">
        <v>0.42506198892908237</v>
      </c>
      <c r="I7" s="1">
        <v>1.673362486263942</v>
      </c>
      <c r="J7" s="1">
        <v>402.83108716689964</v>
      </c>
      <c r="K7" s="1">
        <v>0.42506198892908237</v>
      </c>
      <c r="L7" s="1">
        <v>1.673362486263942</v>
      </c>
      <c r="M7" s="1">
        <v>402.83108716689964</v>
      </c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>
        <v>6</v>
      </c>
      <c r="C8" s="1" t="s">
        <v>43</v>
      </c>
      <c r="D8" s="1" t="s">
        <v>16</v>
      </c>
      <c r="E8" s="1">
        <v>11.5</v>
      </c>
      <c r="F8" s="1">
        <v>70</v>
      </c>
      <c r="G8" s="1">
        <v>15</v>
      </c>
      <c r="H8" s="1">
        <v>0.43463526880385761</v>
      </c>
      <c r="I8" s="1">
        <v>1.6532138652111037</v>
      </c>
      <c r="J8" s="1">
        <v>608.02130799305803</v>
      </c>
      <c r="K8" s="1">
        <v>0.43463526880385761</v>
      </c>
      <c r="L8" s="1">
        <v>1.6532138652111037</v>
      </c>
      <c r="M8" s="1">
        <v>608.02130799305803</v>
      </c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>
        <v>7</v>
      </c>
      <c r="C9" s="1" t="s">
        <v>43</v>
      </c>
      <c r="D9" s="1" t="s">
        <v>16</v>
      </c>
      <c r="E9" s="1">
        <v>11.5</v>
      </c>
      <c r="F9" s="1">
        <v>71</v>
      </c>
      <c r="G9" s="1">
        <v>30</v>
      </c>
      <c r="H9" s="1">
        <v>0.43854630387464988</v>
      </c>
      <c r="I9" s="1">
        <v>1.6612733136322391</v>
      </c>
      <c r="J9" s="1">
        <v>598.53492339821935</v>
      </c>
      <c r="K9" s="1">
        <v>0.43854630387464988</v>
      </c>
      <c r="L9" s="1">
        <v>1.6612733136322391</v>
      </c>
      <c r="M9" s="1">
        <v>598.53492339821935</v>
      </c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>
        <v>8</v>
      </c>
      <c r="C10" s="1" t="s">
        <v>43</v>
      </c>
      <c r="D10" s="1" t="s">
        <v>16</v>
      </c>
      <c r="E10" s="1">
        <v>11.5</v>
      </c>
      <c r="F10" s="1">
        <v>72</v>
      </c>
      <c r="G10" s="1">
        <v>45</v>
      </c>
      <c r="H10" s="1">
        <v>0.52326593918922559</v>
      </c>
      <c r="I10" s="1">
        <v>1.6572435894216715</v>
      </c>
      <c r="J10" s="1">
        <v>1086.3828732383581</v>
      </c>
      <c r="K10" s="1">
        <v>0.52326593918922559</v>
      </c>
      <c r="L10" s="1">
        <v>1.6572435894216715</v>
      </c>
      <c r="M10" s="1">
        <v>1086.3828732383581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>
        <v>9</v>
      </c>
      <c r="C11" s="1" t="s">
        <v>43</v>
      </c>
      <c r="D11" s="1" t="s">
        <v>16</v>
      </c>
      <c r="E11" s="1">
        <v>11.5</v>
      </c>
      <c r="F11" s="1">
        <v>73</v>
      </c>
      <c r="G11" s="1">
        <v>0</v>
      </c>
      <c r="H11" s="1">
        <v>0.42269785578927505</v>
      </c>
      <c r="I11" s="1">
        <v>1.6585868308251941</v>
      </c>
      <c r="J11" s="1">
        <v>413.92964093105786</v>
      </c>
      <c r="K11" s="1">
        <v>0.42269785578927505</v>
      </c>
      <c r="L11" s="1">
        <v>1.6585868308251941</v>
      </c>
      <c r="M11" s="1">
        <v>413.92964093105786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>
        <v>10</v>
      </c>
      <c r="C12" s="1" t="s">
        <v>43</v>
      </c>
      <c r="D12" s="1" t="s">
        <v>16</v>
      </c>
      <c r="E12" s="1">
        <v>11.5</v>
      </c>
      <c r="F12" s="1">
        <v>74</v>
      </c>
      <c r="G12" s="1">
        <v>15</v>
      </c>
      <c r="H12" s="1">
        <v>0.43513144489492822</v>
      </c>
      <c r="I12" s="1">
        <v>1.6935111073167803</v>
      </c>
      <c r="J12" s="1">
        <v>655.83145538443762</v>
      </c>
      <c r="K12" s="1">
        <v>0.43513144489492822</v>
      </c>
      <c r="L12" s="1">
        <v>1.6935111073167803</v>
      </c>
      <c r="M12" s="1">
        <v>655.83145538443762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>
        <v>11</v>
      </c>
      <c r="C13" s="1" t="s">
        <v>43</v>
      </c>
      <c r="D13" s="1" t="s">
        <v>16</v>
      </c>
      <c r="E13" s="1">
        <v>11.5</v>
      </c>
      <c r="F13" s="1">
        <v>75</v>
      </c>
      <c r="G13" s="1">
        <v>30</v>
      </c>
      <c r="H13" s="1">
        <v>0.44218492854250141</v>
      </c>
      <c r="I13" s="1">
        <v>1.6397814511758784</v>
      </c>
      <c r="J13" s="1">
        <v>717.76893002248426</v>
      </c>
      <c r="K13" s="1">
        <v>0.44218492854250141</v>
      </c>
      <c r="L13" s="1">
        <v>1.6397814511758784</v>
      </c>
      <c r="M13" s="1">
        <v>717.76893002248426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>
        <v>12</v>
      </c>
      <c r="C14" s="1" t="s">
        <v>43</v>
      </c>
      <c r="D14" s="1" t="s">
        <v>16</v>
      </c>
      <c r="E14" s="1">
        <v>11.5</v>
      </c>
      <c r="F14" s="1">
        <v>76</v>
      </c>
      <c r="G14" s="1">
        <v>45</v>
      </c>
      <c r="H14" s="1">
        <v>0.4482655178938576</v>
      </c>
      <c r="I14" s="1">
        <v>1.6424679339829236</v>
      </c>
      <c r="J14" s="1">
        <v>787.42377111514304</v>
      </c>
      <c r="K14" s="1">
        <v>0.4482655178938576</v>
      </c>
      <c r="L14" s="1">
        <v>1.6424679339829236</v>
      </c>
      <c r="M14" s="1">
        <v>787.42377111514304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>
        <v>13</v>
      </c>
      <c r="C15" s="1" t="s">
        <v>43</v>
      </c>
      <c r="D15" s="1" t="s">
        <v>16</v>
      </c>
      <c r="E15" s="1">
        <v>11.5</v>
      </c>
      <c r="F15" s="1">
        <v>77</v>
      </c>
      <c r="G15" s="1">
        <v>0</v>
      </c>
      <c r="H15" s="1">
        <v>0.42542195981868264</v>
      </c>
      <c r="I15" s="1">
        <v>1.6773922104745098</v>
      </c>
      <c r="J15" s="1">
        <v>406.58454260359753</v>
      </c>
      <c r="K15" s="1">
        <v>0.42542195981868264</v>
      </c>
      <c r="L15" s="1">
        <v>1.6773922104745098</v>
      </c>
      <c r="M15" s="1">
        <v>406.58454260359753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>
        <v>14</v>
      </c>
      <c r="C16" s="1" t="s">
        <v>43</v>
      </c>
      <c r="D16" s="1" t="s">
        <v>16</v>
      </c>
      <c r="E16" s="1">
        <v>11.5</v>
      </c>
      <c r="F16" s="1">
        <v>78</v>
      </c>
      <c r="G16" s="1">
        <v>15</v>
      </c>
      <c r="H16" s="1">
        <v>0.43504388440826874</v>
      </c>
      <c r="I16" s="1">
        <v>1.6075436574913371</v>
      </c>
      <c r="J16" s="1">
        <v>680.28599683580387</v>
      </c>
      <c r="K16" s="1">
        <v>0.43504388440826874</v>
      </c>
      <c r="L16" s="1">
        <v>1.6075436574913371</v>
      </c>
      <c r="M16" s="1">
        <v>680.28599683580387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>
        <v>15</v>
      </c>
      <c r="C17" s="1" t="s">
        <v>43</v>
      </c>
      <c r="D17" s="1" t="s">
        <v>16</v>
      </c>
      <c r="E17" s="1">
        <v>11.5</v>
      </c>
      <c r="F17" s="1">
        <v>79</v>
      </c>
      <c r="G17" s="1">
        <v>30</v>
      </c>
      <c r="H17" s="1">
        <v>0.43697994405774049</v>
      </c>
      <c r="I17" s="1">
        <v>1.6142598645089499</v>
      </c>
      <c r="J17" s="1">
        <v>712.32488093101335</v>
      </c>
      <c r="K17" s="1">
        <v>0.43697994405774049</v>
      </c>
      <c r="L17" s="1">
        <v>1.6142598645089499</v>
      </c>
      <c r="M17" s="1">
        <v>712.32488093101335</v>
      </c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>
        <v>16</v>
      </c>
      <c r="C18" s="1" t="s">
        <v>43</v>
      </c>
      <c r="D18" s="1" t="s">
        <v>16</v>
      </c>
      <c r="E18" s="1">
        <v>11.5</v>
      </c>
      <c r="F18" s="1">
        <v>80</v>
      </c>
      <c r="G18" s="1">
        <v>45</v>
      </c>
      <c r="H18" s="1">
        <v>0.45718695859016739</v>
      </c>
      <c r="I18" s="1">
        <v>1.6263490371406528</v>
      </c>
      <c r="J18" s="1">
        <v>740.86543734599991</v>
      </c>
      <c r="K18" s="1">
        <v>0.45718695859016739</v>
      </c>
      <c r="L18" s="1">
        <v>1.6263490371406528</v>
      </c>
      <c r="M18" s="1">
        <v>740.86543734599991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>
        <v>17</v>
      </c>
      <c r="C19" s="1" t="s">
        <v>43</v>
      </c>
      <c r="D19" s="1" t="s">
        <v>16</v>
      </c>
      <c r="E19" s="1">
        <v>11.5</v>
      </c>
      <c r="F19" s="1">
        <v>81</v>
      </c>
      <c r="G19" s="1">
        <v>0</v>
      </c>
      <c r="H19" s="1">
        <v>0.42002239647467832</v>
      </c>
      <c r="I19" s="1">
        <v>1.6935111073167803</v>
      </c>
      <c r="J19" s="1">
        <v>407.30426098275808</v>
      </c>
      <c r="K19" s="1">
        <v>0.42002239647467832</v>
      </c>
      <c r="L19" s="1">
        <v>1.6935111073167803</v>
      </c>
      <c r="M19" s="1">
        <v>407.30426098275808</v>
      </c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>
        <v>18</v>
      </c>
      <c r="C20" s="1" t="s">
        <v>43</v>
      </c>
      <c r="D20" s="1" t="s">
        <v>16</v>
      </c>
      <c r="E20" s="1">
        <v>11.5</v>
      </c>
      <c r="F20" s="1">
        <v>82</v>
      </c>
      <c r="G20" s="1">
        <v>15</v>
      </c>
      <c r="H20" s="1">
        <v>0.43000429195386469</v>
      </c>
      <c r="I20" s="1">
        <v>1.6397814511758784</v>
      </c>
      <c r="J20" s="1">
        <v>639.8735616671886</v>
      </c>
      <c r="K20" s="1">
        <v>0.43000429195386469</v>
      </c>
      <c r="L20" s="1">
        <v>1.6397814511758784</v>
      </c>
      <c r="M20" s="1">
        <v>639.8735616671886</v>
      </c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>
        <v>19</v>
      </c>
      <c r="C21" s="1" t="s">
        <v>43</v>
      </c>
      <c r="D21" s="1" t="s">
        <v>16</v>
      </c>
      <c r="E21" s="1">
        <v>11.5</v>
      </c>
      <c r="F21" s="1">
        <v>83</v>
      </c>
      <c r="G21" s="1">
        <v>30</v>
      </c>
      <c r="H21" s="1">
        <v>0.43670753365479975</v>
      </c>
      <c r="I21" s="1">
        <v>1.6276922785441752</v>
      </c>
      <c r="J21" s="1">
        <v>678.88527596270649</v>
      </c>
      <c r="K21" s="1">
        <v>0.43670753365479975</v>
      </c>
      <c r="L21" s="1">
        <v>1.6276922785441752</v>
      </c>
      <c r="M21" s="1">
        <v>678.88527596270649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>
        <v>20</v>
      </c>
      <c r="C22" s="1" t="s">
        <v>43</v>
      </c>
      <c r="D22" s="1" t="s">
        <v>16</v>
      </c>
      <c r="E22" s="1">
        <v>11.5</v>
      </c>
      <c r="F22" s="1">
        <v>84</v>
      </c>
      <c r="G22" s="1">
        <v>45</v>
      </c>
      <c r="H22" s="1">
        <v>0.43318565630249423</v>
      </c>
      <c r="I22" s="1">
        <v>1.6800786932815548</v>
      </c>
      <c r="J22" s="1">
        <v>720.819543235119</v>
      </c>
      <c r="K22" s="1">
        <v>0.43318565630249423</v>
      </c>
      <c r="L22" s="1">
        <v>1.6800786932815548</v>
      </c>
      <c r="M22" s="1">
        <v>720.819543235119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>
        <v>21</v>
      </c>
      <c r="C23" s="1" t="s">
        <v>43</v>
      </c>
      <c r="D23" s="1" t="s">
        <v>16</v>
      </c>
      <c r="E23" s="1">
        <v>11.5</v>
      </c>
      <c r="F23" s="1">
        <v>85</v>
      </c>
      <c r="G23" s="1">
        <v>0</v>
      </c>
      <c r="H23" s="1">
        <v>0.4284379321369553</v>
      </c>
      <c r="I23" s="1">
        <v>1.8909675936345953</v>
      </c>
      <c r="J23" s="1">
        <v>415.56662797552093</v>
      </c>
      <c r="K23" s="1">
        <v>0.4284379321369553</v>
      </c>
      <c r="L23" s="1">
        <v>1.8909675936345953</v>
      </c>
      <c r="M23" s="1">
        <v>415.56662797552093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>
        <v>22</v>
      </c>
      <c r="C24" s="1" t="s">
        <v>43</v>
      </c>
      <c r="D24" s="1" t="s">
        <v>16</v>
      </c>
      <c r="E24" s="1">
        <v>11.5</v>
      </c>
      <c r="F24" s="1">
        <v>86</v>
      </c>
      <c r="G24" s="1">
        <v>15</v>
      </c>
      <c r="H24" s="1">
        <v>0.42742612206888964</v>
      </c>
      <c r="I24" s="1">
        <v>1.6693327620533747</v>
      </c>
      <c r="J24" s="1">
        <v>528.0332964056654</v>
      </c>
      <c r="K24" s="1">
        <v>0.42742612206888964</v>
      </c>
      <c r="L24" s="1">
        <v>1.6693327620533747</v>
      </c>
      <c r="M24" s="1">
        <v>528.0332964056654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>
        <v>23</v>
      </c>
      <c r="C25" s="1" t="s">
        <v>43</v>
      </c>
      <c r="D25" s="1" t="s">
        <v>16</v>
      </c>
      <c r="E25" s="1">
        <v>11.5</v>
      </c>
      <c r="F25" s="1">
        <v>87</v>
      </c>
      <c r="G25" s="1">
        <v>30</v>
      </c>
      <c r="H25" s="1">
        <v>0.43441150311572768</v>
      </c>
      <c r="I25" s="1">
        <v>1.6478408995970135</v>
      </c>
      <c r="J25" s="1">
        <v>571.51818451704162</v>
      </c>
      <c r="K25" s="1">
        <v>0.43441150311572768</v>
      </c>
      <c r="L25" s="1">
        <v>1.6478408995970135</v>
      </c>
      <c r="M25" s="1">
        <v>571.51818451704162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>
        <v>24</v>
      </c>
      <c r="C26" s="1" t="s">
        <v>43</v>
      </c>
      <c r="D26" s="1" t="s">
        <v>16</v>
      </c>
      <c r="E26" s="1">
        <v>11.5</v>
      </c>
      <c r="F26" s="1">
        <v>88</v>
      </c>
      <c r="G26" s="1">
        <v>45</v>
      </c>
      <c r="H26" s="1">
        <v>0.43071450479010309</v>
      </c>
      <c r="I26" s="1">
        <v>1.6478408995970135</v>
      </c>
      <c r="J26" s="1">
        <v>658.88405402708395</v>
      </c>
      <c r="K26" s="1">
        <v>0.43071450479010309</v>
      </c>
      <c r="L26" s="1">
        <v>1.6478408995970135</v>
      </c>
      <c r="M26" s="1">
        <v>658.88405402708395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>
        <v>25</v>
      </c>
      <c r="C27" s="1" t="s">
        <v>43</v>
      </c>
      <c r="D27" s="1" t="s">
        <v>17</v>
      </c>
      <c r="E27" s="1">
        <v>11.5</v>
      </c>
      <c r="F27" s="1">
        <v>89</v>
      </c>
      <c r="G27" s="1">
        <v>0</v>
      </c>
      <c r="H27" s="1">
        <v>0.42626837785639149</v>
      </c>
      <c r="I27" s="1">
        <v>1.6666462792463292</v>
      </c>
      <c r="J27" s="1">
        <v>409.74931804189237</v>
      </c>
      <c r="K27" s="1">
        <v>0.42626837785639149</v>
      </c>
      <c r="L27" s="1">
        <v>1.6666462792463292</v>
      </c>
      <c r="M27" s="1">
        <v>409.74931804189237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>
        <v>26</v>
      </c>
      <c r="C28" s="1" t="s">
        <v>43</v>
      </c>
      <c r="D28" s="1" t="s">
        <v>17</v>
      </c>
      <c r="E28" s="1">
        <v>11.5</v>
      </c>
      <c r="F28" s="1">
        <v>90</v>
      </c>
      <c r="G28" s="1">
        <v>15</v>
      </c>
      <c r="H28" s="1">
        <v>0.42146228003307945</v>
      </c>
      <c r="I28" s="1">
        <v>1.6760489690709874</v>
      </c>
      <c r="J28" s="1">
        <v>414.88959634160716</v>
      </c>
      <c r="K28" s="1">
        <v>0.42146228003307945</v>
      </c>
      <c r="L28" s="1">
        <v>1.6760489690709874</v>
      </c>
      <c r="M28" s="1">
        <v>414.88959634160716</v>
      </c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>
        <v>27</v>
      </c>
      <c r="C29" s="1" t="s">
        <v>43</v>
      </c>
      <c r="D29" s="1" t="s">
        <v>17</v>
      </c>
      <c r="E29" s="1">
        <v>11.5</v>
      </c>
      <c r="F29" s="1">
        <v>91</v>
      </c>
      <c r="G29" s="1">
        <v>30</v>
      </c>
      <c r="H29" s="1">
        <v>0.42162767206343632</v>
      </c>
      <c r="I29" s="1">
        <v>1.6787354518780324</v>
      </c>
      <c r="J29" s="1">
        <v>398.67756758288914</v>
      </c>
      <c r="K29" s="1">
        <v>0.42162767206343632</v>
      </c>
      <c r="L29" s="1">
        <v>1.6787354518780324</v>
      </c>
      <c r="M29" s="1">
        <v>398.67756758288914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>
        <v>28</v>
      </c>
      <c r="C30" s="1" t="s">
        <v>43</v>
      </c>
      <c r="D30" s="1" t="s">
        <v>17</v>
      </c>
      <c r="E30" s="1">
        <v>11.5</v>
      </c>
      <c r="F30" s="1">
        <v>92</v>
      </c>
      <c r="G30" s="1">
        <v>45</v>
      </c>
      <c r="H30" s="1">
        <v>0.43143444656930363</v>
      </c>
      <c r="I30" s="1">
        <v>1.6787354518780324</v>
      </c>
      <c r="J30" s="1">
        <v>415.88926035238597</v>
      </c>
      <c r="K30" s="1">
        <v>0.43143444656930363</v>
      </c>
      <c r="L30" s="1">
        <v>1.6787354518780324</v>
      </c>
      <c r="M30" s="1">
        <v>415.88926035238597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>
        <v>29</v>
      </c>
      <c r="C31" s="1" t="s">
        <v>43</v>
      </c>
      <c r="D31" s="1" t="s">
        <v>17</v>
      </c>
      <c r="E31" s="1">
        <v>11.5</v>
      </c>
      <c r="F31" s="1">
        <v>93</v>
      </c>
      <c r="G31" s="1">
        <v>0</v>
      </c>
      <c r="H31" s="1">
        <v>0.4276693456429439</v>
      </c>
      <c r="I31" s="1">
        <v>1.6545571066146263</v>
      </c>
      <c r="J31" s="1">
        <v>449.01318194886795</v>
      </c>
      <c r="K31" s="1">
        <v>0.4276693456429439</v>
      </c>
      <c r="L31" s="1">
        <v>1.6545571066146263</v>
      </c>
      <c r="M31" s="1">
        <v>449.01318194886795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>
        <v>30</v>
      </c>
      <c r="C32" s="1" t="s">
        <v>43</v>
      </c>
      <c r="D32" s="1" t="s">
        <v>17</v>
      </c>
      <c r="E32" s="1">
        <v>11.5</v>
      </c>
      <c r="F32" s="1">
        <v>94</v>
      </c>
      <c r="G32" s="1">
        <v>15</v>
      </c>
      <c r="H32" s="1">
        <v>0.42183197986564197</v>
      </c>
      <c r="I32" s="1">
        <v>1.634408485561788</v>
      </c>
      <c r="J32" s="1">
        <v>423.16685405945611</v>
      </c>
      <c r="K32" s="1">
        <v>0.42183197986564197</v>
      </c>
      <c r="L32" s="1">
        <v>1.634408485561788</v>
      </c>
      <c r="M32" s="1">
        <v>423.16685405945611</v>
      </c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>
        <v>31</v>
      </c>
      <c r="C33" s="1" t="s">
        <v>43</v>
      </c>
      <c r="D33" s="1" t="s">
        <v>17</v>
      </c>
      <c r="E33" s="1">
        <v>11.5</v>
      </c>
      <c r="F33" s="1">
        <v>95</v>
      </c>
      <c r="G33" s="1">
        <v>30</v>
      </c>
      <c r="H33" s="1">
        <v>0.44418909079270846</v>
      </c>
      <c r="I33" s="1">
        <v>1.6330652441582656</v>
      </c>
      <c r="J33" s="1">
        <v>413.40648012303359</v>
      </c>
      <c r="K33" s="1">
        <v>0.44418909079270846</v>
      </c>
      <c r="L33" s="1">
        <v>1.6330652441582656</v>
      </c>
      <c r="M33" s="1">
        <v>413.40648012303359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>
        <v>32</v>
      </c>
      <c r="C34" s="1" t="s">
        <v>43</v>
      </c>
      <c r="D34" s="1" t="s">
        <v>17</v>
      </c>
      <c r="E34" s="1">
        <v>11.5</v>
      </c>
      <c r="F34" s="1">
        <v>96</v>
      </c>
      <c r="G34" s="1">
        <v>45</v>
      </c>
      <c r="H34" s="1">
        <v>0.4231551161084971</v>
      </c>
      <c r="I34" s="1">
        <v>1.6585868308251941</v>
      </c>
      <c r="J34" s="1">
        <v>406.42769363269082</v>
      </c>
      <c r="K34" s="1">
        <v>0.4231551161084971</v>
      </c>
      <c r="L34" s="1">
        <v>1.6585868308251941</v>
      </c>
      <c r="M34" s="1">
        <v>406.42769363269082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>
        <v>33</v>
      </c>
      <c r="C35" s="1" t="s">
        <v>43</v>
      </c>
      <c r="E35" s="1">
        <v>11.5</v>
      </c>
      <c r="F35" s="1" t="s">
        <v>45</v>
      </c>
      <c r="H35" s="1">
        <v>0.38615204764773725</v>
      </c>
      <c r="I35" s="1">
        <v>1.841026470518784</v>
      </c>
      <c r="J35" s="1">
        <v>459.70854567814496</v>
      </c>
      <c r="K35" s="1">
        <v>0.38615204764773725</v>
      </c>
      <c r="L35" s="1">
        <v>1.841026470518784</v>
      </c>
      <c r="M35" s="1">
        <v>459.70854567814496</v>
      </c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>
        <v>34</v>
      </c>
      <c r="C36" s="1" t="s">
        <v>43</v>
      </c>
      <c r="E36" s="1">
        <v>11.5</v>
      </c>
      <c r="F36" s="1" t="s">
        <v>46</v>
      </c>
      <c r="H36" s="1">
        <v>0.38712020357898119</v>
      </c>
      <c r="I36" s="1">
        <v>1.8121464497390727</v>
      </c>
      <c r="J36" s="1">
        <v>469.00500548048956</v>
      </c>
      <c r="K36" s="1">
        <v>0.38712020357898119</v>
      </c>
      <c r="L36" s="1">
        <v>1.8121464497390727</v>
      </c>
      <c r="M36" s="1">
        <v>469.00500548048956</v>
      </c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>
        <v>35</v>
      </c>
      <c r="C37" s="1" t="s">
        <v>43</v>
      </c>
      <c r="E37" s="1">
        <v>11.5</v>
      </c>
      <c r="F37" s="1" t="s">
        <v>47</v>
      </c>
      <c r="H37" s="1">
        <v>0.38826090215143699</v>
      </c>
      <c r="I37" s="1">
        <v>1.8080207324848281</v>
      </c>
      <c r="J37" s="1">
        <v>438.41730476934208</v>
      </c>
      <c r="K37" s="1">
        <v>0.38826090215143699</v>
      </c>
      <c r="L37" s="1">
        <v>1.8080207324848281</v>
      </c>
      <c r="M37" s="1">
        <v>438.41730476934208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>
        <v>36</v>
      </c>
      <c r="B38" s="1" t="s">
        <v>48</v>
      </c>
      <c r="C38" s="1" t="s">
        <v>43</v>
      </c>
      <c r="D38" s="1" t="s">
        <v>16</v>
      </c>
      <c r="E38" s="1">
        <v>15.4</v>
      </c>
      <c r="F38" s="1">
        <v>601</v>
      </c>
      <c r="G38" s="1">
        <v>0</v>
      </c>
      <c r="H38" s="1">
        <f>([1]Sheet1!E1201-[1]Sheet1!$K$9)/[1]Sheet1!$L$9</f>
        <v>0.46366643460297263</v>
      </c>
      <c r="I38" s="1">
        <f>([1]Sheet1!F1201-[1]Sheet1!$N$9)/[1]Sheet1!$O$9</f>
        <v>1.8506703515289189</v>
      </c>
      <c r="J38" s="1">
        <f>([1]Sheet1!G1201-[1]Sheet1!$Q$9)/[1]Sheet1!$R$9</f>
        <v>431.23067805107127</v>
      </c>
      <c r="K38" s="1">
        <f>([1]Sheet1!H1201-[1]Sheet1!$K$9)/[1]Sheet1!$L$9</f>
        <v>-2.8670258869489883E-2</v>
      </c>
      <c r="L38" s="1">
        <f>([1]Sheet1!I1201-[1]Sheet1!$N$9)/[1]Sheet1!$O$9</f>
        <v>-0.9157263145864879</v>
      </c>
      <c r="M38" s="1">
        <f>([1]Sheet1!J1201-[1]Sheet1!$Q$9)/[1]Sheet1!$R$9</f>
        <v>-25.798129890294369</v>
      </c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>
        <v>37</v>
      </c>
      <c r="B39" s="1" t="s">
        <v>49</v>
      </c>
      <c r="C39" s="1" t="s">
        <v>43</v>
      </c>
      <c r="D39" s="1" t="s">
        <v>16</v>
      </c>
      <c r="E39" s="1">
        <v>15.4</v>
      </c>
      <c r="F39" s="1">
        <v>602</v>
      </c>
      <c r="G39" s="1">
        <v>15</v>
      </c>
      <c r="H39" s="1">
        <v>1.4287483896213424</v>
      </c>
      <c r="I39" s="1">
        <v>1.8681324897747118</v>
      </c>
      <c r="J39" s="1">
        <v>689.91235424645163</v>
      </c>
      <c r="K39" s="1">
        <v>1.4287483896213424</v>
      </c>
      <c r="L39" s="1">
        <v>1.8681324897747118</v>
      </c>
      <c r="M39" s="1">
        <v>689.91235424645163</v>
      </c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>
        <v>38</v>
      </c>
      <c r="C40" s="1" t="s">
        <v>43</v>
      </c>
      <c r="D40" s="1" t="s">
        <v>16</v>
      </c>
      <c r="E40" s="1">
        <v>15.4</v>
      </c>
      <c r="F40" s="1">
        <v>603</v>
      </c>
      <c r="G40" s="1">
        <v>30</v>
      </c>
      <c r="H40" s="1">
        <v>1.4189513440584371</v>
      </c>
      <c r="I40" s="1">
        <v>1.8694757311782344</v>
      </c>
      <c r="J40" s="1">
        <v>621.96299753365167</v>
      </c>
      <c r="K40" s="1">
        <v>1.4189513440584371</v>
      </c>
      <c r="L40" s="1">
        <v>1.8694757311782344</v>
      </c>
      <c r="M40" s="1">
        <v>621.96299753365167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>
        <v>39</v>
      </c>
      <c r="C41" s="1" t="s">
        <v>43</v>
      </c>
      <c r="D41" s="1" t="s">
        <v>16</v>
      </c>
      <c r="E41" s="1">
        <v>15.4</v>
      </c>
      <c r="F41" s="1">
        <v>604</v>
      </c>
      <c r="G41" s="1">
        <v>45</v>
      </c>
      <c r="H41" s="1">
        <v>1.4824132390006715</v>
      </c>
      <c r="I41" s="1">
        <v>1.8426109031077833</v>
      </c>
      <c r="J41" s="1">
        <v>657.41979939361943</v>
      </c>
      <c r="K41" s="1">
        <v>1.4824132390006715</v>
      </c>
      <c r="L41" s="1">
        <v>1.8426109031077833</v>
      </c>
      <c r="M41" s="1">
        <v>657.41979939361943</v>
      </c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>
        <v>40</v>
      </c>
      <c r="C42" s="1" t="s">
        <v>43</v>
      </c>
      <c r="D42" s="1" t="s">
        <v>16</v>
      </c>
      <c r="E42" s="1">
        <v>15.4</v>
      </c>
      <c r="F42" s="1">
        <v>605</v>
      </c>
      <c r="G42" s="1">
        <v>0</v>
      </c>
      <c r="H42" s="1">
        <v>0.46456149735549224</v>
      </c>
      <c r="I42" s="1">
        <v>1.8520135929324413</v>
      </c>
      <c r="J42" s="1">
        <v>425.98219381573097</v>
      </c>
      <c r="K42" s="1">
        <v>0.46456149735549224</v>
      </c>
      <c r="L42" s="1">
        <v>1.8520135929324413</v>
      </c>
      <c r="M42" s="1">
        <v>425.98219381573097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>
        <v>41</v>
      </c>
      <c r="C43" s="1" t="s">
        <v>43</v>
      </c>
      <c r="D43" s="1" t="s">
        <v>16</v>
      </c>
      <c r="E43" s="1">
        <v>15.4</v>
      </c>
      <c r="F43" s="1">
        <v>606</v>
      </c>
      <c r="G43" s="1">
        <v>15</v>
      </c>
      <c r="H43" s="1">
        <v>0.93398299528019091</v>
      </c>
      <c r="I43" s="1">
        <v>1.8654460069676668</v>
      </c>
      <c r="J43" s="1">
        <v>530.45452830466195</v>
      </c>
      <c r="K43" s="1">
        <v>0.93398299528019091</v>
      </c>
      <c r="L43" s="1">
        <v>1.8654460069676668</v>
      </c>
      <c r="M43" s="1">
        <v>530.45452830466195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>
        <v>42</v>
      </c>
      <c r="C44" s="1" t="s">
        <v>43</v>
      </c>
      <c r="D44" s="1" t="s">
        <v>16</v>
      </c>
      <c r="E44" s="1">
        <v>15.4</v>
      </c>
      <c r="F44" s="1">
        <v>607</v>
      </c>
      <c r="G44" s="1">
        <v>30</v>
      </c>
      <c r="H44" s="1">
        <v>0.93398299528019091</v>
      </c>
      <c r="I44" s="1">
        <v>1.8802216624064148</v>
      </c>
      <c r="J44" s="1">
        <v>532.84796418349788</v>
      </c>
      <c r="K44" s="1">
        <v>0.93398299528019091</v>
      </c>
      <c r="L44" s="1">
        <v>1.8802216624064148</v>
      </c>
      <c r="M44" s="1">
        <v>532.84796418349788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>
        <v>43</v>
      </c>
      <c r="C45" s="1" t="s">
        <v>43</v>
      </c>
      <c r="D45" s="1" t="s">
        <v>16</v>
      </c>
      <c r="E45" s="1">
        <v>15.4</v>
      </c>
      <c r="F45" s="1">
        <v>608</v>
      </c>
      <c r="G45" s="1">
        <v>45</v>
      </c>
      <c r="H45" s="1">
        <v>1.3243957474091079</v>
      </c>
      <c r="I45" s="1">
        <v>1.8627595241606216</v>
      </c>
      <c r="J45" s="1">
        <v>649.38873499719364</v>
      </c>
      <c r="K45" s="1">
        <v>1.3243957474091079</v>
      </c>
      <c r="L45" s="1">
        <v>1.8627595241606216</v>
      </c>
      <c r="M45" s="1">
        <v>649.38873499719364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>
        <v>44</v>
      </c>
      <c r="C46" s="1" t="s">
        <v>43</v>
      </c>
      <c r="D46" s="1" t="s">
        <v>16</v>
      </c>
      <c r="E46" s="1">
        <v>15.4</v>
      </c>
      <c r="F46" s="1">
        <v>609</v>
      </c>
      <c r="G46" s="1">
        <v>0</v>
      </c>
      <c r="H46" s="1">
        <v>0.45228357133723379</v>
      </c>
      <c r="I46" s="1">
        <v>1.8869378694240275</v>
      </c>
      <c r="J46" s="1">
        <v>441.98277427822671</v>
      </c>
      <c r="K46" s="1">
        <v>0.45228357133723379</v>
      </c>
      <c r="L46" s="1">
        <v>1.8869378694240275</v>
      </c>
      <c r="M46" s="1">
        <v>441.98277427822671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>
        <v>45</v>
      </c>
      <c r="C47" s="1" t="s">
        <v>43</v>
      </c>
      <c r="D47" s="1" t="s">
        <v>16</v>
      </c>
      <c r="E47" s="1">
        <v>15.4</v>
      </c>
      <c r="F47" s="1">
        <v>610</v>
      </c>
      <c r="G47" s="1">
        <v>15</v>
      </c>
      <c r="H47" s="1">
        <v>1.8855611774670686</v>
      </c>
      <c r="I47" s="1">
        <v>1.8520135929324413</v>
      </c>
      <c r="J47" s="1">
        <v>853.35295279126478</v>
      </c>
      <c r="K47" s="1">
        <v>1.8855611774670686</v>
      </c>
      <c r="L47" s="1">
        <v>1.8520135929324413</v>
      </c>
      <c r="M47" s="1">
        <v>853.35295279126478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>
        <v>46</v>
      </c>
      <c r="C48" s="1" t="s">
        <v>43</v>
      </c>
      <c r="D48" s="1" t="s">
        <v>16</v>
      </c>
      <c r="E48" s="1">
        <v>15.4</v>
      </c>
      <c r="F48" s="1">
        <v>611</v>
      </c>
      <c r="G48" s="1">
        <v>30</v>
      </c>
      <c r="H48" s="1">
        <v>2.1042775441996109</v>
      </c>
      <c r="I48" s="1">
        <v>1.8788784210028924</v>
      </c>
      <c r="J48" s="1">
        <v>967.24317453963852</v>
      </c>
      <c r="K48" s="1">
        <v>2.1042775441996109</v>
      </c>
      <c r="L48" s="1">
        <v>1.8788784210028924</v>
      </c>
      <c r="M48" s="1">
        <v>967.24317453963852</v>
      </c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>
        <v>47</v>
      </c>
      <c r="C49" s="1" t="s">
        <v>43</v>
      </c>
      <c r="D49" s="1" t="s">
        <v>16</v>
      </c>
      <c r="E49" s="1">
        <v>15.4</v>
      </c>
      <c r="F49" s="1">
        <v>612</v>
      </c>
      <c r="G49" s="1">
        <v>45</v>
      </c>
      <c r="H49" s="1">
        <v>2.7882027765542321</v>
      </c>
      <c r="I49" s="1">
        <v>1.8533568343359639</v>
      </c>
      <c r="J49" s="1">
        <v>835.76899189461585</v>
      </c>
      <c r="K49" s="1">
        <v>2.7882027765542321</v>
      </c>
      <c r="L49" s="1">
        <v>1.8533568343359639</v>
      </c>
      <c r="M49" s="1">
        <v>835.76899189461585</v>
      </c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>
        <v>48</v>
      </c>
      <c r="C50" s="1" t="s">
        <v>43</v>
      </c>
      <c r="D50" s="1" t="s">
        <v>16</v>
      </c>
      <c r="E50" s="1">
        <v>15.4</v>
      </c>
      <c r="F50" s="1">
        <v>613</v>
      </c>
      <c r="G50" s="1">
        <v>0</v>
      </c>
      <c r="H50" s="1">
        <v>0.41790148690892531</v>
      </c>
      <c r="I50" s="1">
        <v>1.8882811108275501</v>
      </c>
      <c r="J50" s="1">
        <v>472.92470829209503</v>
      </c>
      <c r="K50" s="1">
        <v>0.41790148690892531</v>
      </c>
      <c r="L50" s="1">
        <v>1.8882811108275501</v>
      </c>
      <c r="M50" s="1">
        <v>472.92470829209503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>
        <v>49</v>
      </c>
      <c r="C51" s="1" t="s">
        <v>43</v>
      </c>
      <c r="D51" s="1" t="s">
        <v>16</v>
      </c>
      <c r="E51" s="1">
        <v>15.4</v>
      </c>
      <c r="F51" s="1">
        <v>614</v>
      </c>
      <c r="G51" s="1">
        <v>15</v>
      </c>
      <c r="H51" s="1">
        <v>0.75545689192437293</v>
      </c>
      <c r="I51" s="1">
        <v>1.8600730413535767</v>
      </c>
      <c r="J51" s="1">
        <v>526.82913310370429</v>
      </c>
      <c r="K51" s="1">
        <v>0.75545689192437293</v>
      </c>
      <c r="L51" s="1">
        <v>1.8600730413535767</v>
      </c>
      <c r="M51" s="1">
        <v>526.82913310370429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>
        <v>50</v>
      </c>
      <c r="C52" s="1" t="s">
        <v>43</v>
      </c>
      <c r="D52" s="1" t="s">
        <v>16</v>
      </c>
      <c r="E52" s="1">
        <v>15.4</v>
      </c>
      <c r="F52" s="1">
        <v>615</v>
      </c>
      <c r="G52" s="1">
        <v>30</v>
      </c>
      <c r="H52" s="1">
        <v>0.80440320396704967</v>
      </c>
      <c r="I52" s="1">
        <v>1.8533568343359639</v>
      </c>
      <c r="J52" s="1">
        <v>545.93492610415058</v>
      </c>
      <c r="K52" s="1">
        <v>0.80440320396704967</v>
      </c>
      <c r="L52" s="1">
        <v>1.8533568343359639</v>
      </c>
      <c r="M52" s="1">
        <v>545.93492610415058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>
        <v>51</v>
      </c>
      <c r="C53" s="1" t="s">
        <v>43</v>
      </c>
      <c r="D53" s="1" t="s">
        <v>16</v>
      </c>
      <c r="E53" s="1">
        <v>15.4</v>
      </c>
      <c r="F53" s="1">
        <v>616</v>
      </c>
      <c r="G53" s="1">
        <v>45</v>
      </c>
      <c r="H53" s="1">
        <v>0.78286332424880556</v>
      </c>
      <c r="I53" s="1">
        <v>1.8694757311782344</v>
      </c>
      <c r="J53" s="1">
        <v>714.23486460205459</v>
      </c>
      <c r="K53" s="1">
        <v>0.78286332424880556</v>
      </c>
      <c r="L53" s="1">
        <v>1.8694757311782344</v>
      </c>
      <c r="M53" s="1">
        <v>714.23486460205459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>
        <v>52</v>
      </c>
      <c r="C54" s="1" t="s">
        <v>43</v>
      </c>
      <c r="D54" s="1" t="s">
        <v>16</v>
      </c>
      <c r="E54" s="1">
        <v>15.4</v>
      </c>
      <c r="F54" s="1">
        <v>617</v>
      </c>
      <c r="G54" s="1">
        <v>0</v>
      </c>
      <c r="H54" s="1">
        <v>0.479719190490553</v>
      </c>
      <c r="I54" s="1">
        <v>1.8949973178451629</v>
      </c>
      <c r="J54" s="1">
        <v>423.85282012842157</v>
      </c>
      <c r="K54" s="1">
        <v>0.479719190490553</v>
      </c>
      <c r="L54" s="1">
        <v>1.8949973178451629</v>
      </c>
      <c r="M54" s="1">
        <v>423.85282012842157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>
        <v>53</v>
      </c>
      <c r="C55" s="1" t="s">
        <v>43</v>
      </c>
      <c r="D55" s="1" t="s">
        <v>16</v>
      </c>
      <c r="E55" s="1">
        <v>15.4</v>
      </c>
      <c r="F55" s="1">
        <v>618</v>
      </c>
      <c r="G55" s="1">
        <v>15</v>
      </c>
      <c r="H55" s="1">
        <v>1.7250044317623785</v>
      </c>
      <c r="I55" s="1">
        <v>1.9003702834592531</v>
      </c>
      <c r="J55" s="1">
        <v>663.88833037101267</v>
      </c>
      <c r="K55" s="1">
        <v>1.7250044317623785</v>
      </c>
      <c r="L55" s="1">
        <v>1.9003702834592531</v>
      </c>
      <c r="M55" s="1">
        <v>663.88833037101267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>
        <v>54</v>
      </c>
      <c r="C56" s="1" t="s">
        <v>43</v>
      </c>
      <c r="D56" s="1" t="s">
        <v>16</v>
      </c>
      <c r="E56" s="1">
        <v>15.4</v>
      </c>
      <c r="F56" s="1">
        <v>619</v>
      </c>
      <c r="G56" s="1">
        <v>30</v>
      </c>
      <c r="H56" s="1">
        <v>1.8021841362812725</v>
      </c>
      <c r="I56" s="1">
        <v>1.8788784210028924</v>
      </c>
      <c r="J56" s="1">
        <v>765.67834891443772</v>
      </c>
      <c r="K56" s="1">
        <v>1.8021841362812725</v>
      </c>
      <c r="L56" s="1">
        <v>1.8788784210028924</v>
      </c>
      <c r="M56" s="1">
        <v>765.67834891443772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>
        <v>55</v>
      </c>
      <c r="C57" s="1" t="s">
        <v>43</v>
      </c>
      <c r="D57" s="1" t="s">
        <v>16</v>
      </c>
      <c r="E57" s="1">
        <v>15.4</v>
      </c>
      <c r="F57" s="1">
        <v>620</v>
      </c>
      <c r="G57" s="1">
        <v>45</v>
      </c>
      <c r="H57" s="1">
        <v>2.4348670260541447</v>
      </c>
      <c r="I57" s="1">
        <v>1.8466406273183511</v>
      </c>
      <c r="J57" s="1">
        <v>632.98908310239096</v>
      </c>
      <c r="K57" s="1">
        <v>2.4348670260541447</v>
      </c>
      <c r="L57" s="1">
        <v>1.8466406273183511</v>
      </c>
      <c r="M57" s="1">
        <v>632.98908310239096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>
        <v>56</v>
      </c>
      <c r="C58" s="1" t="s">
        <v>43</v>
      </c>
      <c r="D58" s="1" t="s">
        <v>16</v>
      </c>
      <c r="E58" s="1">
        <v>15.4</v>
      </c>
      <c r="F58" s="1">
        <v>621</v>
      </c>
      <c r="G58" s="1">
        <v>0</v>
      </c>
      <c r="H58" s="1">
        <v>0.525124167295</v>
      </c>
      <c r="I58" s="1">
        <v>1.8788784210028924</v>
      </c>
      <c r="J58" s="1">
        <v>423.1718176344848</v>
      </c>
      <c r="K58" s="1">
        <v>0.525124167295</v>
      </c>
      <c r="L58" s="1">
        <v>1.8788784210028924</v>
      </c>
      <c r="M58" s="1">
        <v>423.1718176344848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>
        <v>57</v>
      </c>
      <c r="C59" s="1" t="s">
        <v>43</v>
      </c>
      <c r="D59" s="1" t="s">
        <v>16</v>
      </c>
      <c r="E59" s="1">
        <v>15.4</v>
      </c>
      <c r="F59" s="1">
        <v>622</v>
      </c>
      <c r="G59" s="1">
        <v>15</v>
      </c>
      <c r="H59" s="1">
        <v>1.0372168090517759</v>
      </c>
      <c r="I59" s="1">
        <v>1.8829081452134597</v>
      </c>
      <c r="J59" s="1">
        <v>500.39611064590105</v>
      </c>
      <c r="K59" s="1">
        <v>1.0372168090517759</v>
      </c>
      <c r="L59" s="1">
        <v>1.8829081452134597</v>
      </c>
      <c r="M59" s="1">
        <v>500.39611064590105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>
        <v>58</v>
      </c>
      <c r="C60" s="1" t="s">
        <v>43</v>
      </c>
      <c r="D60" s="1" t="s">
        <v>16</v>
      </c>
      <c r="E60" s="1">
        <v>15.4</v>
      </c>
      <c r="F60" s="1">
        <v>623</v>
      </c>
      <c r="G60" s="1">
        <v>30</v>
      </c>
      <c r="H60" s="1">
        <v>1.3853767618959889</v>
      </c>
      <c r="I60" s="1">
        <v>1.8869378694240275</v>
      </c>
      <c r="J60" s="1">
        <v>518.38212111987411</v>
      </c>
      <c r="K60" s="1">
        <v>1.3853767618959889</v>
      </c>
      <c r="L60" s="1">
        <v>1.8869378694240275</v>
      </c>
      <c r="M60" s="1">
        <v>518.38212111987411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1">
        <v>59</v>
      </c>
      <c r="C61" s="1" t="s">
        <v>43</v>
      </c>
      <c r="D61" s="1" t="s">
        <v>16</v>
      </c>
      <c r="E61" s="1">
        <v>15.4</v>
      </c>
      <c r="F61" s="1">
        <v>624</v>
      </c>
      <c r="G61" s="1">
        <v>45</v>
      </c>
      <c r="H61" s="1">
        <v>1.4429137305742616</v>
      </c>
      <c r="I61" s="1">
        <v>1.8345514546866482</v>
      </c>
      <c r="J61" s="1">
        <v>693.36203889139347</v>
      </c>
      <c r="K61" s="1">
        <v>1.4429137305742616</v>
      </c>
      <c r="L61" s="1">
        <v>1.8345514546866482</v>
      </c>
      <c r="M61" s="1">
        <v>693.36203889139347</v>
      </c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>
        <v>60</v>
      </c>
      <c r="C62" s="1" t="s">
        <v>43</v>
      </c>
      <c r="D62" s="1" t="s">
        <v>17</v>
      </c>
      <c r="E62" s="1">
        <v>15.4</v>
      </c>
      <c r="F62" s="1">
        <v>625</v>
      </c>
      <c r="G62" s="1">
        <v>0</v>
      </c>
      <c r="H62" s="1">
        <v>0.38793634258544196</v>
      </c>
      <c r="I62" s="1">
        <v>1.8358946960901705</v>
      </c>
      <c r="J62" s="1">
        <v>535.27415965752311</v>
      </c>
      <c r="K62" s="1">
        <v>0.38793634258544196</v>
      </c>
      <c r="L62" s="1">
        <v>1.8358946960901705</v>
      </c>
      <c r="M62" s="1">
        <v>535.27415965752311</v>
      </c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>
        <v>61</v>
      </c>
      <c r="C63" s="1" t="s">
        <v>43</v>
      </c>
      <c r="D63" s="1" t="s">
        <v>17</v>
      </c>
      <c r="E63" s="1">
        <v>15.4</v>
      </c>
      <c r="F63" s="1">
        <v>626</v>
      </c>
      <c r="G63" s="1">
        <v>15</v>
      </c>
      <c r="H63" s="1">
        <v>0.39385153990644123</v>
      </c>
      <c r="I63" s="1">
        <v>1.8721622139852796</v>
      </c>
      <c r="J63" s="1">
        <v>575.16045587309679</v>
      </c>
      <c r="K63" s="1">
        <v>0.39385153990644123</v>
      </c>
      <c r="L63" s="1">
        <v>1.8721622139852796</v>
      </c>
      <c r="M63" s="1">
        <v>575.16045587309679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1">
        <v>62</v>
      </c>
      <c r="C64" s="1" t="s">
        <v>43</v>
      </c>
      <c r="D64" s="1" t="s">
        <v>17</v>
      </c>
      <c r="E64" s="1">
        <v>15.4</v>
      </c>
      <c r="F64" s="1">
        <v>627</v>
      </c>
      <c r="G64" s="1">
        <v>30</v>
      </c>
      <c r="H64" s="1">
        <v>0.38913300256978883</v>
      </c>
      <c r="I64" s="1">
        <v>1.8627595241606216</v>
      </c>
      <c r="J64" s="1">
        <v>659.46876316546411</v>
      </c>
      <c r="K64" s="1">
        <v>0.38913300256978883</v>
      </c>
      <c r="L64" s="1">
        <v>1.8627595241606216</v>
      </c>
      <c r="M64" s="1">
        <v>659.46876316546411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>
        <v>63</v>
      </c>
      <c r="C65" s="1" t="s">
        <v>43</v>
      </c>
      <c r="D65" s="1" t="s">
        <v>17</v>
      </c>
      <c r="E65" s="1">
        <v>15.4</v>
      </c>
      <c r="F65" s="1">
        <v>628</v>
      </c>
      <c r="G65" s="1">
        <v>45</v>
      </c>
      <c r="H65" s="1">
        <v>0.3881406503876475</v>
      </c>
      <c r="I65" s="1">
        <v>1.8157460750373322</v>
      </c>
      <c r="J65" s="1">
        <v>566.49603930300975</v>
      </c>
      <c r="K65" s="1">
        <v>0.3881406503876475</v>
      </c>
      <c r="L65" s="1">
        <v>1.8157460750373322</v>
      </c>
      <c r="M65" s="1">
        <v>566.49603930300975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>
        <v>64</v>
      </c>
      <c r="C66" s="1" t="s">
        <v>43</v>
      </c>
      <c r="D66" s="1" t="s">
        <v>17</v>
      </c>
      <c r="E66" s="1">
        <v>15.4</v>
      </c>
      <c r="F66" s="1">
        <v>629</v>
      </c>
      <c r="G66" s="1">
        <v>0</v>
      </c>
      <c r="H66" s="1">
        <v>0.38908435785497797</v>
      </c>
      <c r="I66" s="1">
        <v>1.8748486967923246</v>
      </c>
      <c r="J66" s="1">
        <v>527.67393357358799</v>
      </c>
      <c r="K66" s="1">
        <v>0.38908435785497797</v>
      </c>
      <c r="L66" s="1">
        <v>1.8748486967923246</v>
      </c>
      <c r="M66" s="1">
        <v>527.67393357358799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>
        <v>65</v>
      </c>
      <c r="C67" s="1" t="s">
        <v>43</v>
      </c>
      <c r="D67" s="1" t="s">
        <v>17</v>
      </c>
      <c r="E67" s="1">
        <v>15.4</v>
      </c>
      <c r="F67" s="1">
        <v>630</v>
      </c>
      <c r="G67" s="1">
        <v>15</v>
      </c>
      <c r="H67" s="1">
        <v>0.38800444518617716</v>
      </c>
      <c r="I67" s="1">
        <v>1.8547000757394863</v>
      </c>
      <c r="J67" s="1">
        <v>514.06480355991664</v>
      </c>
      <c r="K67" s="1">
        <v>0.38800444518617716</v>
      </c>
      <c r="L67" s="1">
        <v>1.8547000757394863</v>
      </c>
      <c r="M67" s="1">
        <v>514.06480355991664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>
        <v>66</v>
      </c>
      <c r="C68" s="1" t="s">
        <v>43</v>
      </c>
      <c r="D68" s="1" t="s">
        <v>17</v>
      </c>
      <c r="E68" s="1">
        <v>15.4</v>
      </c>
      <c r="F68" s="1">
        <v>631</v>
      </c>
      <c r="G68" s="1">
        <v>30</v>
      </c>
      <c r="H68" s="1">
        <v>0.47637243411156655</v>
      </c>
      <c r="I68" s="1">
        <v>1.8627595241606216</v>
      </c>
      <c r="J68" s="1">
        <v>482.4875319423756</v>
      </c>
      <c r="K68" s="1">
        <v>0.47637243411156655</v>
      </c>
      <c r="L68" s="1">
        <v>1.8627595241606216</v>
      </c>
      <c r="M68" s="1">
        <v>482.4875319423756</v>
      </c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>
        <v>67</v>
      </c>
      <c r="C69" s="1" t="s">
        <v>43</v>
      </c>
      <c r="D69" s="1" t="s">
        <v>17</v>
      </c>
      <c r="E69" s="1">
        <v>15.4</v>
      </c>
      <c r="F69" s="1">
        <v>632</v>
      </c>
      <c r="G69" s="1">
        <v>45</v>
      </c>
      <c r="H69" s="1">
        <v>0.40748178899644133</v>
      </c>
      <c r="I69" s="1">
        <v>1.8587297999500541</v>
      </c>
      <c r="J69" s="1">
        <v>438.89046703535075</v>
      </c>
      <c r="K69" s="1">
        <v>0.40748178899644133</v>
      </c>
      <c r="L69" s="1">
        <v>1.8587297999500541</v>
      </c>
      <c r="M69" s="1">
        <v>438.89046703535075</v>
      </c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1">
        <v>68</v>
      </c>
      <c r="C70" s="1" t="s">
        <v>43</v>
      </c>
      <c r="E70" s="1">
        <v>15.4</v>
      </c>
      <c r="F70" s="1" t="s">
        <v>50</v>
      </c>
      <c r="H70" s="1">
        <v>0.38683697203071676</v>
      </c>
      <c r="I70" s="1">
        <v>1.8627595241606216</v>
      </c>
      <c r="J70" s="1">
        <v>410.10967358897551</v>
      </c>
      <c r="K70" s="1">
        <v>0.38683697203071676</v>
      </c>
      <c r="L70" s="1">
        <v>1.8627595241606216</v>
      </c>
      <c r="M70" s="1">
        <v>410.10967358897551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>
        <v>69</v>
      </c>
      <c r="C71" s="1" t="s">
        <v>43</v>
      </c>
      <c r="E71" s="1">
        <v>15.4</v>
      </c>
      <c r="F71" s="1" t="s">
        <v>51</v>
      </c>
      <c r="H71" s="1">
        <v>0.38696344828922496</v>
      </c>
      <c r="I71" s="1">
        <v>1.861416282757099</v>
      </c>
      <c r="J71" s="1">
        <v>411.23342697547167</v>
      </c>
      <c r="K71" s="1">
        <v>0.38696344828922496</v>
      </c>
      <c r="L71" s="1">
        <v>1.861416282757099</v>
      </c>
      <c r="M71" s="1">
        <v>411.23342697547167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1">
        <v>70</v>
      </c>
      <c r="B72" s="1" t="s">
        <v>52</v>
      </c>
      <c r="C72" s="1" t="s">
        <v>43</v>
      </c>
      <c r="D72" s="1" t="s">
        <v>16</v>
      </c>
      <c r="E72" s="1">
        <v>19</v>
      </c>
      <c r="F72" s="1">
        <v>101</v>
      </c>
      <c r="G72" s="1">
        <v>0</v>
      </c>
      <c r="H72" s="1">
        <v>0.39959161625412148</v>
      </c>
      <c r="I72" s="1">
        <v>1.9003702834592531</v>
      </c>
      <c r="J72" s="1">
        <v>470.69308495919449</v>
      </c>
      <c r="K72" s="1">
        <v>0.39959161625412148</v>
      </c>
      <c r="L72" s="1">
        <v>1.9003702834592531</v>
      </c>
      <c r="M72" s="1">
        <v>470.69308495919449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1">
        <v>71</v>
      </c>
      <c r="B73" s="1" t="s">
        <v>53</v>
      </c>
      <c r="C73" s="1" t="s">
        <v>43</v>
      </c>
      <c r="D73" s="1" t="s">
        <v>16</v>
      </c>
      <c r="E73" s="1">
        <v>19</v>
      </c>
      <c r="F73" s="1">
        <v>102</v>
      </c>
      <c r="G73" s="1">
        <v>15</v>
      </c>
      <c r="H73" s="1">
        <v>0.39470768688711216</v>
      </c>
      <c r="I73" s="1">
        <v>1.8869378694240275</v>
      </c>
      <c r="J73" s="1">
        <v>448.64786282675607</v>
      </c>
      <c r="K73" s="1">
        <v>0.39470768688711216</v>
      </c>
      <c r="L73" s="1">
        <v>1.8869378694240275</v>
      </c>
      <c r="M73" s="1">
        <v>448.64786282675607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1">
        <v>72</v>
      </c>
      <c r="C74" s="1" t="s">
        <v>43</v>
      </c>
      <c r="D74" s="1" t="s">
        <v>16</v>
      </c>
      <c r="E74" s="1">
        <v>19</v>
      </c>
      <c r="F74" s="1">
        <v>103</v>
      </c>
      <c r="G74" s="1">
        <v>30</v>
      </c>
      <c r="H74" s="1">
        <v>0.39636160719068109</v>
      </c>
      <c r="I74" s="1">
        <v>1.8815649038099374</v>
      </c>
      <c r="J74" s="1">
        <v>449.99398437453772</v>
      </c>
      <c r="K74" s="1">
        <v>0.39636160719068109</v>
      </c>
      <c r="L74" s="1">
        <v>1.8815649038099374</v>
      </c>
      <c r="M74" s="1">
        <v>449.99398437453772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>
        <v>73</v>
      </c>
      <c r="C75" s="1" t="s">
        <v>43</v>
      </c>
      <c r="D75" s="1" t="s">
        <v>16</v>
      </c>
      <c r="E75" s="1">
        <v>19</v>
      </c>
      <c r="F75" s="1">
        <v>104</v>
      </c>
      <c r="G75" s="1">
        <v>45</v>
      </c>
      <c r="H75" s="1">
        <v>0.39622540198921075</v>
      </c>
      <c r="I75" s="1">
        <v>1.8587297999500541</v>
      </c>
      <c r="J75" s="1">
        <v>445.93675814608383</v>
      </c>
      <c r="K75" s="1">
        <v>0.39622540198921075</v>
      </c>
      <c r="L75" s="1">
        <v>1.8587297999500541</v>
      </c>
      <c r="M75" s="1">
        <v>445.93675814608383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1">
        <v>74</v>
      </c>
      <c r="C76" s="1" t="s">
        <v>43</v>
      </c>
      <c r="D76" s="1" t="s">
        <v>16</v>
      </c>
      <c r="E76" s="1">
        <v>19</v>
      </c>
      <c r="F76" s="1">
        <v>105</v>
      </c>
      <c r="G76" s="1">
        <v>0</v>
      </c>
      <c r="H76" s="1">
        <v>0.39584597321368603</v>
      </c>
      <c r="I76" s="1">
        <v>1.8936540764416403</v>
      </c>
      <c r="J76" s="1">
        <v>445.93874357609525</v>
      </c>
      <c r="K76" s="1">
        <v>0.39584597321368603</v>
      </c>
      <c r="L76" s="1">
        <v>1.8936540764416403</v>
      </c>
      <c r="M76" s="1">
        <v>445.93874357609525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>
        <v>75</v>
      </c>
      <c r="C77" s="1" t="s">
        <v>43</v>
      </c>
      <c r="D77" s="1" t="s">
        <v>16</v>
      </c>
      <c r="E77" s="1">
        <v>19</v>
      </c>
      <c r="F77" s="1">
        <v>106</v>
      </c>
      <c r="G77" s="1">
        <v>15</v>
      </c>
      <c r="H77" s="1">
        <v>0.39568058118332916</v>
      </c>
      <c r="I77" s="1">
        <v>1.9124594560909562</v>
      </c>
      <c r="J77" s="1">
        <v>450.65513256835965</v>
      </c>
      <c r="K77" s="1">
        <v>0.39568058118332916</v>
      </c>
      <c r="L77" s="1">
        <v>1.9124594560909562</v>
      </c>
      <c r="M77" s="1">
        <v>450.65513256835965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1">
        <v>76</v>
      </c>
      <c r="C78" s="1" t="s">
        <v>43</v>
      </c>
      <c r="D78" s="1" t="s">
        <v>16</v>
      </c>
      <c r="E78" s="1">
        <v>19</v>
      </c>
      <c r="F78" s="1">
        <v>107</v>
      </c>
      <c r="G78" s="1">
        <v>30</v>
      </c>
      <c r="H78" s="1">
        <v>0.3928591877242999</v>
      </c>
      <c r="I78" s="1">
        <v>1.8627595241606216</v>
      </c>
      <c r="J78" s="1">
        <v>440.35075080879233</v>
      </c>
      <c r="K78" s="1">
        <v>0.3928591877242999</v>
      </c>
      <c r="L78" s="1">
        <v>1.8627595241606216</v>
      </c>
      <c r="M78" s="1">
        <v>440.35075080879233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>
        <v>77</v>
      </c>
      <c r="C79" s="1" t="s">
        <v>43</v>
      </c>
      <c r="D79" s="1" t="s">
        <v>16</v>
      </c>
      <c r="E79" s="1">
        <v>19</v>
      </c>
      <c r="F79" s="1">
        <v>108</v>
      </c>
      <c r="G79" s="1">
        <v>45</v>
      </c>
      <c r="H79" s="1">
        <v>0.39252840366358616</v>
      </c>
      <c r="I79" s="1">
        <v>1.861416282757099</v>
      </c>
      <c r="J79" s="1">
        <v>445.59625689911542</v>
      </c>
      <c r="K79" s="1">
        <v>0.39252840366358616</v>
      </c>
      <c r="L79" s="1">
        <v>1.861416282757099</v>
      </c>
      <c r="M79" s="1">
        <v>445.59625689911542</v>
      </c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1">
        <v>78</v>
      </c>
      <c r="C80" s="1" t="s">
        <v>43</v>
      </c>
      <c r="D80" s="1" t="s">
        <v>16</v>
      </c>
      <c r="E80" s="1">
        <v>19</v>
      </c>
      <c r="F80" s="1">
        <v>109</v>
      </c>
      <c r="G80" s="1">
        <v>0</v>
      </c>
      <c r="H80" s="1">
        <v>0.39307322446946763</v>
      </c>
      <c r="I80" s="1">
        <v>1.9446972497754975</v>
      </c>
      <c r="J80" s="1">
        <v>449.34574147579036</v>
      </c>
      <c r="K80" s="1">
        <v>0.39307322446946763</v>
      </c>
      <c r="L80" s="1">
        <v>1.9446972497754975</v>
      </c>
      <c r="M80" s="1">
        <v>449.34574147579036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 s="1">
        <v>79</v>
      </c>
      <c r="C81" s="1" t="s">
        <v>43</v>
      </c>
      <c r="D81" s="1" t="s">
        <v>16</v>
      </c>
      <c r="E81" s="1">
        <v>19</v>
      </c>
      <c r="F81" s="1">
        <v>110</v>
      </c>
      <c r="G81" s="1">
        <v>15</v>
      </c>
      <c r="H81" s="1">
        <v>0.39820037741053127</v>
      </c>
      <c r="I81" s="1">
        <v>1.8909675936345953</v>
      </c>
      <c r="J81" s="1">
        <v>447.58962863063869</v>
      </c>
      <c r="K81" s="1">
        <v>0.39820037741053127</v>
      </c>
      <c r="L81" s="1">
        <v>1.8909675936345953</v>
      </c>
      <c r="M81" s="1">
        <v>447.58962863063869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">
      <c r="A82" s="1">
        <v>80</v>
      </c>
      <c r="C82" s="1" t="s">
        <v>43</v>
      </c>
      <c r="D82" s="1" t="s">
        <v>16</v>
      </c>
      <c r="E82" s="1">
        <v>19</v>
      </c>
      <c r="F82" s="1">
        <v>111</v>
      </c>
      <c r="G82" s="1">
        <v>30</v>
      </c>
      <c r="H82" s="1">
        <v>0.40221843085390735</v>
      </c>
      <c r="I82" s="1">
        <v>1.8600730413535767</v>
      </c>
      <c r="J82" s="1">
        <v>450.74050605885321</v>
      </c>
      <c r="K82" s="1">
        <v>0.40221843085390735</v>
      </c>
      <c r="L82" s="1">
        <v>1.8600730413535767</v>
      </c>
      <c r="M82" s="1">
        <v>450.74050605885321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">
      <c r="A83" s="1">
        <v>81</v>
      </c>
      <c r="C83" s="1" t="s">
        <v>43</v>
      </c>
      <c r="D83" s="1" t="s">
        <v>16</v>
      </c>
      <c r="E83" s="1">
        <v>19</v>
      </c>
      <c r="F83" s="1">
        <v>112</v>
      </c>
      <c r="G83" s="1">
        <v>45</v>
      </c>
      <c r="H83" s="1">
        <v>0.40218924402502093</v>
      </c>
      <c r="I83" s="1">
        <v>1.8560433171430089</v>
      </c>
      <c r="J83" s="1">
        <v>455.14121167929267</v>
      </c>
      <c r="K83" s="1">
        <v>0.40218924402502093</v>
      </c>
      <c r="L83" s="1">
        <v>1.8560433171430089</v>
      </c>
      <c r="M83" s="1">
        <v>455.14121167929267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">
      <c r="A84" s="1">
        <v>82</v>
      </c>
      <c r="C84" s="1" t="s">
        <v>43</v>
      </c>
      <c r="D84" s="1" t="s">
        <v>16</v>
      </c>
      <c r="E84" s="1">
        <v>19</v>
      </c>
      <c r="F84" s="1">
        <v>113</v>
      </c>
      <c r="G84" s="1">
        <v>0</v>
      </c>
      <c r="H84" s="1">
        <v>0.40421286416115221</v>
      </c>
      <c r="I84" s="1">
        <v>1.9111162146874336</v>
      </c>
      <c r="J84" s="1">
        <v>450.88544244969103</v>
      </c>
      <c r="K84" s="1">
        <v>0.40421286416115221</v>
      </c>
      <c r="L84" s="1">
        <v>1.9111162146874336</v>
      </c>
      <c r="M84" s="1">
        <v>450.88544244969103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 s="1">
        <v>83</v>
      </c>
      <c r="C85" s="1" t="s">
        <v>43</v>
      </c>
      <c r="D85" s="1" t="s">
        <v>16</v>
      </c>
      <c r="E85" s="1">
        <v>19</v>
      </c>
      <c r="F85" s="1">
        <v>114</v>
      </c>
      <c r="G85" s="1">
        <v>15</v>
      </c>
      <c r="H85" s="1">
        <v>0.40709263127795453</v>
      </c>
      <c r="I85" s="1">
        <v>1.9205189045120914</v>
      </c>
      <c r="J85" s="1">
        <v>449.16010376971724</v>
      </c>
      <c r="K85" s="1">
        <v>0.40709263127795453</v>
      </c>
      <c r="L85" s="1">
        <v>1.9205189045120914</v>
      </c>
      <c r="M85" s="1">
        <v>449.16010376971724</v>
      </c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">
      <c r="A86" s="1">
        <v>84</v>
      </c>
      <c r="C86" s="1" t="s">
        <v>43</v>
      </c>
      <c r="D86" s="1" t="s">
        <v>16</v>
      </c>
      <c r="E86" s="1">
        <v>19</v>
      </c>
      <c r="F86" s="1">
        <v>115</v>
      </c>
      <c r="G86" s="1">
        <v>30</v>
      </c>
      <c r="H86" s="1">
        <v>0.40202385199466395</v>
      </c>
      <c r="I86" s="1">
        <v>1.8466406273183511</v>
      </c>
      <c r="J86" s="1">
        <v>443.6257176127242</v>
      </c>
      <c r="K86" s="1">
        <v>0.40202385199466395</v>
      </c>
      <c r="L86" s="1">
        <v>1.8466406273183511</v>
      </c>
      <c r="M86" s="1">
        <v>443.6257176127242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 s="1">
        <v>85</v>
      </c>
      <c r="C87" s="1" t="s">
        <v>43</v>
      </c>
      <c r="D87" s="1" t="s">
        <v>16</v>
      </c>
      <c r="E87" s="1">
        <v>19</v>
      </c>
      <c r="F87" s="1">
        <v>116</v>
      </c>
      <c r="G87" s="1">
        <v>45</v>
      </c>
      <c r="H87" s="1">
        <v>3.3098297824139342</v>
      </c>
      <c r="I87" s="1">
        <v>1.8332082132831256</v>
      </c>
      <c r="J87" s="1">
        <v>513.17930177479775</v>
      </c>
      <c r="K87" s="1">
        <v>3.3098297824139342</v>
      </c>
      <c r="L87" s="1">
        <v>1.8332082132831256</v>
      </c>
      <c r="M87" s="1">
        <v>513.17930177479775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">
      <c r="A88" s="1">
        <v>86</v>
      </c>
      <c r="C88" s="1" t="s">
        <v>43</v>
      </c>
      <c r="D88" s="1" t="s">
        <v>16</v>
      </c>
      <c r="E88" s="1">
        <v>19</v>
      </c>
      <c r="F88" s="1">
        <v>117</v>
      </c>
      <c r="G88" s="1">
        <v>0</v>
      </c>
      <c r="H88" s="1">
        <v>0.39646862556326495</v>
      </c>
      <c r="I88" s="1">
        <v>1.915145938898001</v>
      </c>
      <c r="J88" s="1">
        <v>432.73067042474236</v>
      </c>
      <c r="K88" s="1">
        <v>0.39646862556326495</v>
      </c>
      <c r="L88" s="1">
        <v>1.915145938898001</v>
      </c>
      <c r="M88" s="1">
        <v>432.73067042474236</v>
      </c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">
      <c r="A89" s="1">
        <v>87</v>
      </c>
      <c r="C89" s="1" t="s">
        <v>43</v>
      </c>
      <c r="D89" s="1" t="s">
        <v>16</v>
      </c>
      <c r="E89" s="1">
        <v>19</v>
      </c>
      <c r="F89" s="1">
        <v>118</v>
      </c>
      <c r="G89" s="1">
        <v>15</v>
      </c>
      <c r="H89" s="1">
        <v>0.4011871628999174</v>
      </c>
      <c r="I89" s="1">
        <v>1.9044000076698209</v>
      </c>
      <c r="J89" s="1">
        <v>445.4890436784957</v>
      </c>
      <c r="K89" s="1">
        <v>0.4011871628999174</v>
      </c>
      <c r="L89" s="1">
        <v>1.9044000076698209</v>
      </c>
      <c r="M89" s="1">
        <v>445.4890436784957</v>
      </c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">
      <c r="A90" s="1">
        <v>88</v>
      </c>
      <c r="C90" s="1" t="s">
        <v>43</v>
      </c>
      <c r="D90" s="1" t="s">
        <v>16</v>
      </c>
      <c r="E90" s="1">
        <v>19</v>
      </c>
      <c r="F90" s="1">
        <v>119</v>
      </c>
      <c r="G90" s="1">
        <v>30</v>
      </c>
      <c r="H90" s="1">
        <v>0.40564301877659126</v>
      </c>
      <c r="I90" s="1">
        <v>1.8533568343359639</v>
      </c>
      <c r="J90" s="1">
        <v>451.07703644579857</v>
      </c>
      <c r="K90" s="1">
        <v>0.40564301877659126</v>
      </c>
      <c r="L90" s="1">
        <v>1.8533568343359639</v>
      </c>
      <c r="M90" s="1">
        <v>451.07703644579857</v>
      </c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">
      <c r="A91" s="1">
        <v>89</v>
      </c>
      <c r="C91" s="1" t="s">
        <v>43</v>
      </c>
      <c r="D91" s="1" t="s">
        <v>16</v>
      </c>
      <c r="E91" s="1">
        <v>19</v>
      </c>
      <c r="F91" s="1">
        <v>120</v>
      </c>
      <c r="G91" s="1">
        <v>45</v>
      </c>
      <c r="H91" s="1">
        <v>0.40424205099003874</v>
      </c>
      <c r="I91" s="1">
        <v>1.8802216624064148</v>
      </c>
      <c r="J91" s="1">
        <v>454.26067346920246</v>
      </c>
      <c r="K91" s="1">
        <v>0.40424205099003874</v>
      </c>
      <c r="L91" s="1">
        <v>1.8802216624064148</v>
      </c>
      <c r="M91" s="1">
        <v>454.26067346920246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">
      <c r="A92" s="1">
        <v>90</v>
      </c>
      <c r="C92" s="1" t="s">
        <v>43</v>
      </c>
      <c r="D92" s="1" t="s">
        <v>16</v>
      </c>
      <c r="E92" s="1">
        <v>19</v>
      </c>
      <c r="F92" s="1">
        <v>121</v>
      </c>
      <c r="G92" s="1">
        <v>0</v>
      </c>
      <c r="H92" s="1">
        <v>0.39181819082734776</v>
      </c>
      <c r="I92" s="1">
        <v>1.9702188364424256</v>
      </c>
      <c r="J92" s="1">
        <v>425.51958862305673</v>
      </c>
      <c r="K92" s="1">
        <v>0.39181819082734776</v>
      </c>
      <c r="L92" s="1">
        <v>1.9702188364424256</v>
      </c>
      <c r="M92" s="1">
        <v>425.51958862305673</v>
      </c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A93" s="1">
        <v>91</v>
      </c>
      <c r="C93" s="1" t="s">
        <v>43</v>
      </c>
      <c r="D93" s="1" t="s">
        <v>16</v>
      </c>
      <c r="E93" s="1">
        <v>19</v>
      </c>
      <c r="F93" s="1">
        <v>122</v>
      </c>
      <c r="G93" s="1">
        <v>15</v>
      </c>
      <c r="H93" s="1">
        <v>0.40059369737922501</v>
      </c>
      <c r="I93" s="1">
        <v>1.9138026974944786</v>
      </c>
      <c r="J93" s="1">
        <v>448.01451065309476</v>
      </c>
      <c r="K93" s="1">
        <v>0.40059369737922501</v>
      </c>
      <c r="L93" s="1">
        <v>1.9138026974944786</v>
      </c>
      <c r="M93" s="1">
        <v>448.01451065309476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">
      <c r="A94" s="1">
        <v>92</v>
      </c>
      <c r="C94" s="1" t="s">
        <v>43</v>
      </c>
      <c r="D94" s="1" t="s">
        <v>16</v>
      </c>
      <c r="E94" s="1">
        <v>19</v>
      </c>
      <c r="F94" s="1">
        <v>123</v>
      </c>
      <c r="G94" s="1">
        <v>30</v>
      </c>
      <c r="H94" s="1">
        <v>0.40455337716482814</v>
      </c>
      <c r="I94" s="1">
        <v>1.8372379374936934</v>
      </c>
      <c r="J94" s="1">
        <v>459.39598819388851</v>
      </c>
      <c r="K94" s="1">
        <v>0.40455337716482814</v>
      </c>
      <c r="L94" s="1">
        <v>1.8372379374936934</v>
      </c>
      <c r="M94" s="1">
        <v>459.39598819388851</v>
      </c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">
      <c r="A95" s="1">
        <v>93</v>
      </c>
      <c r="C95" s="1" t="s">
        <v>43</v>
      </c>
      <c r="D95" s="1" t="s">
        <v>16</v>
      </c>
      <c r="E95" s="1">
        <v>19</v>
      </c>
      <c r="F95" s="1">
        <v>124</v>
      </c>
      <c r="G95" s="1">
        <v>45</v>
      </c>
      <c r="H95" s="1">
        <v>0.4041544905033792</v>
      </c>
      <c r="I95" s="1">
        <v>1.8506703515289189</v>
      </c>
      <c r="J95" s="1">
        <v>455.31295137528548</v>
      </c>
      <c r="K95" s="1">
        <v>0.4041544905033792</v>
      </c>
      <c r="L95" s="1">
        <v>1.8506703515289189</v>
      </c>
      <c r="M95" s="1">
        <v>455.31295137528548</v>
      </c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">
      <c r="A96" s="1">
        <v>94</v>
      </c>
      <c r="C96" s="1" t="s">
        <v>43</v>
      </c>
      <c r="D96" s="1" t="s">
        <v>17</v>
      </c>
      <c r="E96" s="1">
        <v>19</v>
      </c>
      <c r="F96" s="1">
        <v>125</v>
      </c>
      <c r="G96" s="1">
        <v>0</v>
      </c>
      <c r="H96" s="1">
        <v>0.39049505458449257</v>
      </c>
      <c r="I96" s="1">
        <v>1.9272351115297042</v>
      </c>
      <c r="J96" s="1">
        <v>440.49965805965314</v>
      </c>
      <c r="K96" s="1">
        <v>0.39049505458449257</v>
      </c>
      <c r="L96" s="1">
        <v>1.9272351115297042</v>
      </c>
      <c r="M96" s="1">
        <v>440.49965805965314</v>
      </c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">
      <c r="A97" s="1">
        <v>95</v>
      </c>
      <c r="C97" s="1" t="s">
        <v>43</v>
      </c>
      <c r="D97" s="1" t="s">
        <v>17</v>
      </c>
      <c r="E97" s="1">
        <v>19</v>
      </c>
      <c r="F97" s="1">
        <v>126</v>
      </c>
      <c r="G97" s="1">
        <v>15</v>
      </c>
      <c r="H97" s="1">
        <v>0.39566112329740488</v>
      </c>
      <c r="I97" s="1">
        <v>1.9070864904768658</v>
      </c>
      <c r="J97" s="1">
        <v>472.841320231613</v>
      </c>
      <c r="K97" s="1">
        <v>0.39566112329740488</v>
      </c>
      <c r="L97" s="1">
        <v>1.9070864904768658</v>
      </c>
      <c r="M97" s="1">
        <v>472.841320231613</v>
      </c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">
      <c r="A98" s="1">
        <v>96</v>
      </c>
      <c r="C98" s="1" t="s">
        <v>43</v>
      </c>
      <c r="D98" s="1" t="s">
        <v>17</v>
      </c>
      <c r="E98" s="1">
        <v>19</v>
      </c>
      <c r="F98" s="1">
        <v>127</v>
      </c>
      <c r="G98" s="1">
        <v>30</v>
      </c>
      <c r="H98" s="1">
        <v>0.39349156901684096</v>
      </c>
      <c r="I98" s="1">
        <v>1.8949973178451629</v>
      </c>
      <c r="J98" s="1">
        <v>441.76934055199285</v>
      </c>
      <c r="K98" s="1">
        <v>0.39349156901684096</v>
      </c>
      <c r="L98" s="1">
        <v>1.8949973178451629</v>
      </c>
      <c r="M98" s="1">
        <v>441.76934055199285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">
      <c r="A99" s="1">
        <v>97</v>
      </c>
      <c r="C99" s="1" t="s">
        <v>43</v>
      </c>
      <c r="D99" s="1" t="s">
        <v>17</v>
      </c>
      <c r="E99" s="1">
        <v>19</v>
      </c>
      <c r="F99" s="1">
        <v>128</v>
      </c>
      <c r="G99" s="1">
        <v>45</v>
      </c>
      <c r="H99" s="1">
        <v>0.39318024284205155</v>
      </c>
      <c r="I99" s="1">
        <v>1.8815649038099374</v>
      </c>
      <c r="J99" s="1">
        <v>448.71834559216353</v>
      </c>
      <c r="K99" s="1">
        <v>0.39318024284205155</v>
      </c>
      <c r="L99" s="1">
        <v>1.8815649038099374</v>
      </c>
      <c r="M99" s="1">
        <v>448.71834559216353</v>
      </c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">
      <c r="A100" s="1">
        <v>98</v>
      </c>
      <c r="C100" s="1" t="s">
        <v>43</v>
      </c>
      <c r="D100" s="1" t="s">
        <v>17</v>
      </c>
      <c r="E100" s="1">
        <v>19</v>
      </c>
      <c r="F100" s="1">
        <v>129</v>
      </c>
      <c r="G100" s="1">
        <v>0</v>
      </c>
      <c r="H100" s="1">
        <v>0.39151659359552043</v>
      </c>
      <c r="I100" s="1">
        <v>2.1703618055672855</v>
      </c>
      <c r="J100" s="1">
        <v>433.60922320482109</v>
      </c>
      <c r="K100" s="1">
        <v>0.39151659359552043</v>
      </c>
      <c r="L100" s="1">
        <v>2.1703618055672855</v>
      </c>
      <c r="M100" s="1">
        <v>433.60922320482109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">
      <c r="A101" s="1">
        <v>99</v>
      </c>
      <c r="C101" s="1" t="s">
        <v>43</v>
      </c>
      <c r="D101" s="1" t="s">
        <v>17</v>
      </c>
      <c r="E101" s="1">
        <v>19</v>
      </c>
      <c r="F101" s="1">
        <v>130</v>
      </c>
      <c r="G101" s="1">
        <v>15</v>
      </c>
      <c r="H101" s="1">
        <v>0.39630323353290808</v>
      </c>
      <c r="I101" s="1">
        <v>1.8949973178451629</v>
      </c>
      <c r="J101" s="1">
        <v>496.07085136589762</v>
      </c>
      <c r="K101" s="1">
        <v>0.39630323353290808</v>
      </c>
      <c r="L101" s="1">
        <v>1.8949973178451629</v>
      </c>
      <c r="M101" s="1">
        <v>496.07085136589762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">
      <c r="A102" s="1">
        <v>100</v>
      </c>
      <c r="C102" s="1" t="s">
        <v>43</v>
      </c>
      <c r="D102" s="1" t="s">
        <v>17</v>
      </c>
      <c r="E102" s="1">
        <v>19</v>
      </c>
      <c r="F102" s="1">
        <v>131</v>
      </c>
      <c r="G102" s="1">
        <v>30</v>
      </c>
      <c r="H102" s="1">
        <v>0.39435744494047414</v>
      </c>
      <c r="I102" s="1">
        <v>1.8547000757394863</v>
      </c>
      <c r="J102" s="1">
        <v>444.42088233232084</v>
      </c>
      <c r="K102" s="1">
        <v>0.39435744494047414</v>
      </c>
      <c r="L102" s="1">
        <v>1.8547000757394863</v>
      </c>
      <c r="M102" s="1">
        <v>444.42088233232084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">
      <c r="A103" s="1">
        <v>101</v>
      </c>
      <c r="C103" s="1" t="s">
        <v>43</v>
      </c>
      <c r="D103" s="1" t="s">
        <v>17</v>
      </c>
      <c r="E103" s="1">
        <v>19</v>
      </c>
      <c r="F103" s="1">
        <v>132</v>
      </c>
      <c r="G103" s="1">
        <v>45</v>
      </c>
      <c r="H103" s="1">
        <v>0.39526223663595583</v>
      </c>
      <c r="I103" s="1">
        <v>1.8479838687218735</v>
      </c>
      <c r="J103" s="1">
        <v>449.53535004188643</v>
      </c>
      <c r="K103" s="1">
        <v>0.39526223663595583</v>
      </c>
      <c r="L103" s="1">
        <v>1.8479838687218735</v>
      </c>
      <c r="M103" s="1">
        <v>449.53535004188643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">
      <c r="A104" s="1">
        <v>102</v>
      </c>
      <c r="C104" s="1" t="s">
        <v>43</v>
      </c>
      <c r="E104" s="1">
        <v>19</v>
      </c>
      <c r="F104" s="1" t="s">
        <v>54</v>
      </c>
      <c r="H104" s="1">
        <v>0.3931705138990893</v>
      </c>
      <c r="I104" s="1">
        <v>1.8305217304760806</v>
      </c>
      <c r="J104" s="1">
        <v>426.53116521390444</v>
      </c>
      <c r="K104" s="1">
        <v>0.3931705138990893</v>
      </c>
      <c r="L104" s="1">
        <v>1.8305217304760806</v>
      </c>
      <c r="M104" s="1">
        <v>426.53116521390444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">
      <c r="A105" s="1">
        <v>103</v>
      </c>
      <c r="C105" s="1" t="s">
        <v>43</v>
      </c>
      <c r="E105" s="1">
        <v>19</v>
      </c>
      <c r="F105" s="1" t="s">
        <v>55</v>
      </c>
      <c r="H105" s="1">
        <v>0.39007671003711936</v>
      </c>
      <c r="I105" s="1">
        <v>1.8627595241606216</v>
      </c>
      <c r="J105" s="1">
        <v>413.35684437274665</v>
      </c>
      <c r="K105" s="1">
        <v>0.39007671003711936</v>
      </c>
      <c r="L105" s="1">
        <v>1.8627595241606216</v>
      </c>
      <c r="M105" s="1">
        <v>413.35684437274665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">
      <c r="A106" s="1">
        <v>104</v>
      </c>
      <c r="B106" s="1" t="s">
        <v>56</v>
      </c>
      <c r="C106" s="1" t="s">
        <v>43</v>
      </c>
      <c r="D106" s="1" t="s">
        <v>16</v>
      </c>
      <c r="E106" s="1">
        <v>19.600000000000001</v>
      </c>
      <c r="F106" s="1">
        <v>301</v>
      </c>
      <c r="G106" s="1">
        <v>0</v>
      </c>
      <c r="H106" s="1">
        <v>0.41459945221406336</v>
      </c>
      <c r="I106" s="1">
        <v>1.9865335154205064</v>
      </c>
      <c r="J106" s="1">
        <v>474.35747098550064</v>
      </c>
      <c r="K106" s="1">
        <v>0.41459945221406336</v>
      </c>
      <c r="L106" s="1">
        <v>1.9865335154205064</v>
      </c>
      <c r="M106" s="1">
        <v>474.35747098550064</v>
      </c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">
      <c r="A107" s="1">
        <v>105</v>
      </c>
      <c r="B107" s="1" t="s">
        <v>57</v>
      </c>
      <c r="C107" s="1" t="s">
        <v>43</v>
      </c>
      <c r="D107" s="1" t="s">
        <v>16</v>
      </c>
      <c r="E107" s="1">
        <v>19.600000000000001</v>
      </c>
      <c r="F107" s="1">
        <v>302</v>
      </c>
      <c r="G107" s="1">
        <v>15</v>
      </c>
      <c r="H107" s="1">
        <v>0.55636355020862882</v>
      </c>
      <c r="I107" s="1">
        <v>1.9919202609916153</v>
      </c>
      <c r="J107" s="1">
        <v>537.43940256668213</v>
      </c>
      <c r="K107" s="1">
        <v>0.55636355020862882</v>
      </c>
      <c r="L107" s="1">
        <v>1.9919202609916153</v>
      </c>
      <c r="M107" s="1">
        <v>537.43940256668213</v>
      </c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">
      <c r="A108" s="1">
        <v>106</v>
      </c>
      <c r="C108" s="1" t="s">
        <v>43</v>
      </c>
      <c r="D108" s="1" t="s">
        <v>16</v>
      </c>
      <c r="E108" s="1">
        <v>19.600000000000001</v>
      </c>
      <c r="F108" s="1">
        <v>303</v>
      </c>
      <c r="G108" s="1">
        <v>30</v>
      </c>
      <c r="H108" s="1">
        <v>0.43923546430206878</v>
      </c>
      <c r="I108" s="1">
        <v>2.1238955274837816</v>
      </c>
      <c r="J108" s="1">
        <v>452.53393060317916</v>
      </c>
      <c r="K108" s="1">
        <v>0.43923546430206878</v>
      </c>
      <c r="L108" s="1">
        <v>2.1238955274837816</v>
      </c>
      <c r="M108" s="1">
        <v>452.53393060317916</v>
      </c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">
      <c r="A109" s="1">
        <v>107</v>
      </c>
      <c r="C109" s="1" t="s">
        <v>43</v>
      </c>
      <c r="D109" s="1" t="s">
        <v>16</v>
      </c>
      <c r="E109" s="1">
        <v>19.600000000000001</v>
      </c>
      <c r="F109" s="1">
        <v>304</v>
      </c>
      <c r="G109" s="1">
        <v>45</v>
      </c>
      <c r="H109" s="1">
        <v>0.43522676091334123</v>
      </c>
      <c r="I109" s="1">
        <v>1.9595997875649622</v>
      </c>
      <c r="J109" s="1">
        <v>449.96611352638257</v>
      </c>
      <c r="K109" s="1">
        <v>0.43522676091334123</v>
      </c>
      <c r="L109" s="1">
        <v>1.9595997875649622</v>
      </c>
      <c r="M109" s="1">
        <v>449.96611352638257</v>
      </c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">
      <c r="A110" s="1">
        <v>108</v>
      </c>
      <c r="C110" s="1" t="s">
        <v>43</v>
      </c>
      <c r="D110" s="1" t="s">
        <v>16</v>
      </c>
      <c r="E110" s="1">
        <v>19.600000000000001</v>
      </c>
      <c r="F110" s="1">
        <v>305</v>
      </c>
      <c r="G110" s="1">
        <v>0</v>
      </c>
      <c r="H110" s="1">
        <v>0.45036642710960373</v>
      </c>
      <c r="I110" s="1">
        <v>1.9676799059216254</v>
      </c>
      <c r="J110" s="1">
        <v>463.55366142935605</v>
      </c>
      <c r="K110" s="1">
        <v>0.45036642710960373</v>
      </c>
      <c r="L110" s="1">
        <v>1.9676799059216254</v>
      </c>
      <c r="M110" s="1">
        <v>463.55366142935605</v>
      </c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">
      <c r="A111" s="1">
        <v>109</v>
      </c>
      <c r="C111" s="1" t="s">
        <v>43</v>
      </c>
      <c r="D111" s="1" t="s">
        <v>16</v>
      </c>
      <c r="E111" s="1">
        <v>19.600000000000001</v>
      </c>
      <c r="F111" s="1">
        <v>306</v>
      </c>
      <c r="G111" s="1">
        <v>15</v>
      </c>
      <c r="H111" s="1">
        <v>0.46437742924496228</v>
      </c>
      <c r="I111" s="1">
        <v>2.055214521452144</v>
      </c>
      <c r="J111" s="1">
        <v>467.29210099704511</v>
      </c>
      <c r="K111" s="1">
        <v>0.46437742924496228</v>
      </c>
      <c r="L111" s="1">
        <v>2.055214521452144</v>
      </c>
      <c r="M111" s="1">
        <v>467.29210099704511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">
      <c r="A112" s="1">
        <v>110</v>
      </c>
      <c r="C112" s="1" t="s">
        <v>43</v>
      </c>
      <c r="D112" s="1" t="s">
        <v>16</v>
      </c>
      <c r="E112" s="1">
        <v>19.600000000000001</v>
      </c>
      <c r="F112" s="1">
        <v>307</v>
      </c>
      <c r="G112" s="1">
        <v>30</v>
      </c>
      <c r="H112" s="1">
        <v>0.50174010160591842</v>
      </c>
      <c r="I112" s="1">
        <v>2.0781081901293565</v>
      </c>
      <c r="J112" s="1">
        <v>510.10938567012909</v>
      </c>
      <c r="K112" s="1">
        <v>0.50174010160591842</v>
      </c>
      <c r="L112" s="1">
        <v>2.0781081901293565</v>
      </c>
      <c r="M112" s="1">
        <v>510.10938567012909</v>
      </c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">
      <c r="A113" s="1">
        <v>111</v>
      </c>
      <c r="C113" s="1" t="s">
        <v>43</v>
      </c>
      <c r="D113" s="1" t="s">
        <v>16</v>
      </c>
      <c r="E113" s="1">
        <v>19.600000000000001</v>
      </c>
      <c r="F113" s="1">
        <v>308</v>
      </c>
      <c r="G113" s="1">
        <v>45</v>
      </c>
      <c r="H113" s="1">
        <v>0.51906898688583059</v>
      </c>
      <c r="I113" s="1">
        <v>1.9717199650999573</v>
      </c>
      <c r="J113" s="1">
        <v>526.56200549249957</v>
      </c>
      <c r="K113" s="1">
        <v>0.51906898688583059</v>
      </c>
      <c r="L113" s="1">
        <v>1.9717199650999573</v>
      </c>
      <c r="M113" s="1">
        <v>526.56200549249957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">
      <c r="A114" s="1">
        <v>112</v>
      </c>
      <c r="C114" s="1" t="s">
        <v>43</v>
      </c>
      <c r="D114" s="1" t="s">
        <v>16</v>
      </c>
      <c r="E114" s="1">
        <v>19.600000000000001</v>
      </c>
      <c r="F114" s="1">
        <v>309</v>
      </c>
      <c r="G114" s="1">
        <v>0</v>
      </c>
      <c r="H114" s="1">
        <v>0.40363389707062647</v>
      </c>
      <c r="I114" s="1">
        <v>2.2060433974431914</v>
      </c>
      <c r="J114" s="1">
        <v>439.41114597202403</v>
      </c>
      <c r="K114" s="1">
        <v>0.40363389707062647</v>
      </c>
      <c r="L114" s="1">
        <v>2.2060433974431914</v>
      </c>
      <c r="M114" s="1">
        <v>439.41114597202403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">
      <c r="A115" s="1">
        <v>113</v>
      </c>
      <c r="C115" s="1" t="s">
        <v>43</v>
      </c>
      <c r="D115" s="1" t="s">
        <v>16</v>
      </c>
      <c r="E115" s="1">
        <v>19.600000000000001</v>
      </c>
      <c r="F115" s="1">
        <v>310</v>
      </c>
      <c r="G115" s="1">
        <v>15</v>
      </c>
      <c r="H115" s="1">
        <v>0.42013574403004872</v>
      </c>
      <c r="I115" s="1">
        <v>2.0309741663821543</v>
      </c>
      <c r="J115" s="1">
        <v>451.31489527147221</v>
      </c>
      <c r="K115" s="1">
        <v>0.42013574403004872</v>
      </c>
      <c r="L115" s="1">
        <v>2.0309741663821543</v>
      </c>
      <c r="M115" s="1">
        <v>451.31489527147221</v>
      </c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">
      <c r="A116" s="1">
        <v>114</v>
      </c>
      <c r="C116" s="1" t="s">
        <v>43</v>
      </c>
      <c r="D116" s="1" t="s">
        <v>16</v>
      </c>
      <c r="E116" s="1">
        <v>19.600000000000001</v>
      </c>
      <c r="F116" s="1">
        <v>311</v>
      </c>
      <c r="G116" s="1">
        <v>30</v>
      </c>
      <c r="H116" s="1">
        <v>0.4232006507471584</v>
      </c>
      <c r="I116" s="1">
        <v>2.0484810894882579</v>
      </c>
      <c r="J116" s="1">
        <v>450.56062321158362</v>
      </c>
      <c r="K116" s="1">
        <v>0.4232006507471584</v>
      </c>
      <c r="L116" s="1">
        <v>2.0484810894882579</v>
      </c>
      <c r="M116" s="1">
        <v>450.56062321158362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">
      <c r="A117" s="1">
        <v>115</v>
      </c>
      <c r="C117" s="1" t="s">
        <v>43</v>
      </c>
      <c r="D117" s="1" t="s">
        <v>16</v>
      </c>
      <c r="E117" s="1">
        <v>19.600000000000001</v>
      </c>
      <c r="F117" s="1">
        <v>312</v>
      </c>
      <c r="G117" s="1">
        <v>45</v>
      </c>
      <c r="H117" s="1">
        <v>0.42274334720524048</v>
      </c>
      <c r="I117" s="1">
        <v>2.0094271840977189</v>
      </c>
      <c r="J117" s="1">
        <v>450.99440226528077</v>
      </c>
      <c r="K117" s="1">
        <v>0.42274334720524048</v>
      </c>
      <c r="L117" s="1">
        <v>2.0094271840977189</v>
      </c>
      <c r="M117" s="1">
        <v>450.99440226528077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">
      <c r="A118" s="1">
        <v>116</v>
      </c>
      <c r="C118" s="1" t="s">
        <v>43</v>
      </c>
      <c r="D118" s="1" t="s">
        <v>16</v>
      </c>
      <c r="E118" s="1">
        <v>19.600000000000001</v>
      </c>
      <c r="F118" s="1">
        <v>313</v>
      </c>
      <c r="G118" s="1">
        <v>0</v>
      </c>
      <c r="H118" s="1">
        <v>0.4006857487046448</v>
      </c>
      <c r="I118" s="1">
        <v>1.9569064147794075</v>
      </c>
      <c r="J118" s="1">
        <v>434.43430593630228</v>
      </c>
      <c r="K118" s="1">
        <v>0.4006857487046448</v>
      </c>
      <c r="L118" s="1">
        <v>1.9569064147794075</v>
      </c>
      <c r="M118" s="1">
        <v>434.43430593630228</v>
      </c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">
      <c r="A119" s="1">
        <v>117</v>
      </c>
      <c r="C119" s="1" t="s">
        <v>43</v>
      </c>
      <c r="D119" s="1" t="s">
        <v>16</v>
      </c>
      <c r="E119" s="1">
        <v>19.600000000000001</v>
      </c>
      <c r="F119" s="1">
        <v>314</v>
      </c>
      <c r="G119" s="1">
        <v>15</v>
      </c>
      <c r="H119" s="1">
        <v>0.44613393688121417</v>
      </c>
      <c r="I119" s="1">
        <v>2.0323208527749319</v>
      </c>
      <c r="J119" s="1">
        <v>474.90066305943844</v>
      </c>
      <c r="K119" s="1">
        <v>0.44613393688121417</v>
      </c>
      <c r="L119" s="1">
        <v>2.0323208527749319</v>
      </c>
      <c r="M119" s="1">
        <v>474.90066305943844</v>
      </c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">
      <c r="A120" s="1">
        <v>118</v>
      </c>
      <c r="C120" s="1" t="s">
        <v>43</v>
      </c>
      <c r="D120" s="1" t="s">
        <v>16</v>
      </c>
      <c r="E120" s="1">
        <v>19.600000000000001</v>
      </c>
      <c r="F120" s="1">
        <v>315</v>
      </c>
      <c r="G120" s="1">
        <v>30</v>
      </c>
      <c r="H120" s="1">
        <v>0.43500297407367922</v>
      </c>
      <c r="I120" s="1">
        <v>2.0525211486665897</v>
      </c>
      <c r="J120" s="1">
        <v>476.08677765939154</v>
      </c>
      <c r="K120" s="1">
        <v>0.43500297407367922</v>
      </c>
      <c r="L120" s="1">
        <v>2.0525211486665897</v>
      </c>
      <c r="M120" s="1">
        <v>476.08677765939154</v>
      </c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">
      <c r="A121" s="1">
        <v>119</v>
      </c>
      <c r="C121" s="1" t="s">
        <v>43</v>
      </c>
      <c r="D121" s="1" t="s">
        <v>16</v>
      </c>
      <c r="E121" s="1">
        <v>19.600000000000001</v>
      </c>
      <c r="F121" s="1">
        <v>316</v>
      </c>
      <c r="G121" s="1">
        <v>45</v>
      </c>
      <c r="H121" s="1">
        <v>0.44061710479041666</v>
      </c>
      <c r="I121" s="1">
        <v>2.0053871249193875</v>
      </c>
      <c r="J121" s="1">
        <v>488.35943280584553</v>
      </c>
      <c r="K121" s="1">
        <v>0.44061710479041666</v>
      </c>
      <c r="L121" s="1">
        <v>2.0053871249193875</v>
      </c>
      <c r="M121" s="1">
        <v>488.35943280584553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3">
      <c r="A122" s="1">
        <v>120</v>
      </c>
      <c r="C122" s="1" t="s">
        <v>43</v>
      </c>
      <c r="D122" s="1" t="s">
        <v>16</v>
      </c>
      <c r="E122" s="1">
        <v>19.600000000000001</v>
      </c>
      <c r="F122" s="1">
        <v>317</v>
      </c>
      <c r="G122" s="1">
        <v>0</v>
      </c>
      <c r="H122" s="1">
        <v>0.40949127435221389</v>
      </c>
      <c r="I122" s="1">
        <v>1.9474796100299672</v>
      </c>
      <c r="J122" s="1">
        <v>432.05142591141686</v>
      </c>
      <c r="K122" s="1">
        <v>0.40949127435221389</v>
      </c>
      <c r="L122" s="1">
        <v>1.9474796100299672</v>
      </c>
      <c r="M122" s="1">
        <v>432.05142591141686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">
      <c r="A123" s="1">
        <v>121</v>
      </c>
      <c r="C123" s="1" t="s">
        <v>43</v>
      </c>
      <c r="D123" s="1" t="s">
        <v>16</v>
      </c>
      <c r="E123" s="1">
        <v>19.600000000000001</v>
      </c>
      <c r="F123" s="1">
        <v>318</v>
      </c>
      <c r="G123" s="1">
        <v>15</v>
      </c>
      <c r="H123" s="1">
        <v>0.4719180727553115</v>
      </c>
      <c r="I123" s="1">
        <v>2.0646413262015844</v>
      </c>
      <c r="J123" s="1">
        <v>496.95368030722028</v>
      </c>
      <c r="K123" s="1">
        <v>0.4719180727553115</v>
      </c>
      <c r="L123" s="1">
        <v>2.0646413262015844</v>
      </c>
      <c r="M123" s="1">
        <v>496.95368030722028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3">
      <c r="A124" s="1">
        <v>122</v>
      </c>
      <c r="C124" s="1" t="s">
        <v>43</v>
      </c>
      <c r="D124" s="1" t="s">
        <v>16</v>
      </c>
      <c r="E124" s="1">
        <v>19.600000000000001</v>
      </c>
      <c r="F124" s="1">
        <v>319</v>
      </c>
      <c r="G124" s="1">
        <v>30</v>
      </c>
      <c r="H124" s="1">
        <v>0.4672769282979739</v>
      </c>
      <c r="I124" s="1">
        <v>2.1050419179849009</v>
      </c>
      <c r="J124" s="1">
        <v>483.68759366725459</v>
      </c>
      <c r="K124" s="1">
        <v>0.4672769282979739</v>
      </c>
      <c r="L124" s="1">
        <v>2.1050419179849009</v>
      </c>
      <c r="M124" s="1">
        <v>483.68759366725459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">
      <c r="A125" s="1">
        <v>123</v>
      </c>
      <c r="C125" s="1" t="s">
        <v>43</v>
      </c>
      <c r="D125" s="1" t="s">
        <v>16</v>
      </c>
      <c r="E125" s="1">
        <v>19.600000000000001</v>
      </c>
      <c r="F125" s="1">
        <v>320</v>
      </c>
      <c r="G125" s="1">
        <v>45</v>
      </c>
      <c r="H125" s="1">
        <v>0.47577109834253506</v>
      </c>
      <c r="I125" s="1">
        <v>2.0404009711315947</v>
      </c>
      <c r="J125" s="1">
        <v>520.97225889206732</v>
      </c>
      <c r="K125" s="1">
        <v>0.47577109834253506</v>
      </c>
      <c r="L125" s="1">
        <v>2.0404009711315947</v>
      </c>
      <c r="M125" s="1">
        <v>520.97225889206732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3">
      <c r="A126" s="1">
        <v>124</v>
      </c>
      <c r="C126" s="1" t="s">
        <v>43</v>
      </c>
      <c r="D126" s="1" t="s">
        <v>16</v>
      </c>
      <c r="E126" s="1">
        <v>19.600000000000001</v>
      </c>
      <c r="F126" s="1">
        <v>321</v>
      </c>
      <c r="G126" s="1">
        <v>0</v>
      </c>
      <c r="H126" s="1">
        <v>0.3978738184149791</v>
      </c>
      <c r="I126" s="1">
        <v>2.0511744622738122</v>
      </c>
      <c r="J126" s="1">
        <v>457.89420033815105</v>
      </c>
      <c r="K126" s="1">
        <v>0.3978738184149791</v>
      </c>
      <c r="L126" s="1">
        <v>2.0511744622738122</v>
      </c>
      <c r="M126" s="1">
        <v>457.89420033815105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">
      <c r="A127" s="1">
        <v>125</v>
      </c>
      <c r="C127" s="1" t="s">
        <v>43</v>
      </c>
      <c r="D127" s="1" t="s">
        <v>16</v>
      </c>
      <c r="E127" s="1">
        <v>19.600000000000001</v>
      </c>
      <c r="F127" s="1">
        <v>322</v>
      </c>
      <c r="G127" s="1">
        <v>15</v>
      </c>
      <c r="H127" s="1">
        <v>0.42042763990786869</v>
      </c>
      <c r="I127" s="1">
        <v>2.0430943439171489</v>
      </c>
      <c r="J127" s="1">
        <v>478.09687881000605</v>
      </c>
      <c r="K127" s="1">
        <v>0.42042763990786869</v>
      </c>
      <c r="L127" s="1">
        <v>2.0430943439171489</v>
      </c>
      <c r="M127" s="1">
        <v>478.09687881000605</v>
      </c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3">
      <c r="A128" s="1">
        <v>126</v>
      </c>
      <c r="C128" s="1" t="s">
        <v>43</v>
      </c>
      <c r="D128" s="1" t="s">
        <v>16</v>
      </c>
      <c r="E128" s="1">
        <v>19.600000000000001</v>
      </c>
      <c r="F128" s="1">
        <v>323</v>
      </c>
      <c r="G128" s="1">
        <v>30</v>
      </c>
      <c r="H128" s="1">
        <v>0.41670110253436715</v>
      </c>
      <c r="I128" s="1">
        <v>2.0457877167027037</v>
      </c>
      <c r="J128" s="1">
        <v>477.41425775452279</v>
      </c>
      <c r="K128" s="1">
        <v>0.41670110253436715</v>
      </c>
      <c r="L128" s="1">
        <v>2.0457877167027037</v>
      </c>
      <c r="M128" s="1">
        <v>477.41425775452279</v>
      </c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A129" s="1">
        <v>127</v>
      </c>
      <c r="C129" s="1" t="s">
        <v>43</v>
      </c>
      <c r="D129" s="1" t="s">
        <v>16</v>
      </c>
      <c r="E129" s="1">
        <v>19.600000000000001</v>
      </c>
      <c r="F129" s="1">
        <v>324</v>
      </c>
      <c r="G129" s="1">
        <v>45</v>
      </c>
      <c r="H129" s="1">
        <v>0.41668164280917908</v>
      </c>
      <c r="I129" s="1">
        <v>2.1427491369826628</v>
      </c>
      <c r="J129" s="1">
        <v>480.65791808908853</v>
      </c>
      <c r="K129" s="1">
        <v>0.41668164280917908</v>
      </c>
      <c r="L129" s="1">
        <v>2.1427491369826628</v>
      </c>
      <c r="M129" s="1">
        <v>480.65791808908853</v>
      </c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">
      <c r="A130" s="1">
        <v>128</v>
      </c>
      <c r="C130" s="1" t="s">
        <v>43</v>
      </c>
      <c r="D130" s="1" t="s">
        <v>17</v>
      </c>
      <c r="E130" s="1">
        <v>19.600000000000001</v>
      </c>
      <c r="F130" s="1">
        <v>325</v>
      </c>
      <c r="G130" s="1">
        <v>0</v>
      </c>
      <c r="H130" s="1">
        <v>0.40891721245916796</v>
      </c>
      <c r="I130" s="1">
        <v>2.0377075983460404</v>
      </c>
      <c r="J130" s="1">
        <v>452.14759613348014</v>
      </c>
      <c r="K130" s="1">
        <v>0.40891721245916796</v>
      </c>
      <c r="L130" s="1">
        <v>2.0377075983460404</v>
      </c>
      <c r="M130" s="1">
        <v>452.14759613348014</v>
      </c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A131" s="1">
        <v>129</v>
      </c>
      <c r="C131" s="1" t="s">
        <v>43</v>
      </c>
      <c r="D131" s="1" t="s">
        <v>17</v>
      </c>
      <c r="E131" s="1">
        <v>19.600000000000001</v>
      </c>
      <c r="F131" s="1">
        <v>326</v>
      </c>
      <c r="G131" s="1">
        <v>15</v>
      </c>
      <c r="H131" s="1">
        <v>0.41922113694621288</v>
      </c>
      <c r="I131" s="1">
        <v>2.0417476575243718</v>
      </c>
      <c r="J131" s="1">
        <v>455.58781260175232</v>
      </c>
      <c r="K131" s="1">
        <v>0.41922113694621288</v>
      </c>
      <c r="L131" s="1">
        <v>2.0417476575243718</v>
      </c>
      <c r="M131" s="1">
        <v>455.58781260175232</v>
      </c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A132" s="1">
        <v>130</v>
      </c>
      <c r="C132" s="1" t="s">
        <v>43</v>
      </c>
      <c r="D132" s="1" t="s">
        <v>17</v>
      </c>
      <c r="E132" s="1">
        <v>19.600000000000001</v>
      </c>
      <c r="F132" s="1">
        <v>327</v>
      </c>
      <c r="G132" s="1">
        <v>30</v>
      </c>
      <c r="H132" s="1">
        <v>0.40767179004713605</v>
      </c>
      <c r="I132" s="1">
        <v>2.072721444558248</v>
      </c>
      <c r="J132" s="1">
        <v>477.56143279059859</v>
      </c>
      <c r="K132" s="1">
        <v>0.40767179004713605</v>
      </c>
      <c r="L132" s="1">
        <v>2.072721444558248</v>
      </c>
      <c r="M132" s="1">
        <v>477.56143279059859</v>
      </c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A133" s="1">
        <v>131</v>
      </c>
      <c r="C133" s="1" t="s">
        <v>43</v>
      </c>
      <c r="D133" s="1" t="s">
        <v>17</v>
      </c>
      <c r="E133" s="1">
        <v>19.600000000000001</v>
      </c>
      <c r="F133" s="1">
        <v>328</v>
      </c>
      <c r="G133" s="1">
        <v>45</v>
      </c>
      <c r="H133" s="1">
        <v>0.42082656427422271</v>
      </c>
      <c r="I133" s="1">
        <v>2.1710295512309843</v>
      </c>
      <c r="J133" s="1">
        <v>461.97540281880617</v>
      </c>
      <c r="K133" s="1">
        <v>0.42082656427422271</v>
      </c>
      <c r="L133" s="1">
        <v>2.1710295512309843</v>
      </c>
      <c r="M133" s="1">
        <v>461.97540281880617</v>
      </c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A134" s="1">
        <v>132</v>
      </c>
      <c r="C134" s="1" t="s">
        <v>43</v>
      </c>
      <c r="D134" s="1" t="s">
        <v>17</v>
      </c>
      <c r="E134" s="1">
        <v>19.600000000000001</v>
      </c>
      <c r="F134" s="1">
        <v>329</v>
      </c>
      <c r="G134" s="1">
        <v>0</v>
      </c>
      <c r="H134" s="1">
        <v>0.417781117282301</v>
      </c>
      <c r="I134" s="1">
        <v>2.1063886043776785</v>
      </c>
      <c r="J134" s="1">
        <v>447.69942431945174</v>
      </c>
      <c r="K134" s="1">
        <v>0.417781117282301</v>
      </c>
      <c r="L134" s="1">
        <v>2.1063886043776785</v>
      </c>
      <c r="M134" s="1">
        <v>447.69942431945174</v>
      </c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A135" s="1">
        <v>133</v>
      </c>
      <c r="C135" s="1" t="s">
        <v>43</v>
      </c>
      <c r="D135" s="1" t="s">
        <v>17</v>
      </c>
      <c r="E135" s="1">
        <v>19.600000000000001</v>
      </c>
      <c r="F135" s="1">
        <v>330</v>
      </c>
      <c r="G135" s="1">
        <v>15</v>
      </c>
      <c r="H135" s="1">
        <v>0.43253158897480354</v>
      </c>
      <c r="I135" s="1">
        <v>2.2154702021926322</v>
      </c>
      <c r="J135" s="1">
        <v>463.75409059032768</v>
      </c>
      <c r="K135" s="1">
        <v>0.43253158897480354</v>
      </c>
      <c r="L135" s="1">
        <v>2.2154702021926322</v>
      </c>
      <c r="M135" s="1">
        <v>463.75409059032768</v>
      </c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>
        <v>134</v>
      </c>
      <c r="C136" s="1" t="s">
        <v>43</v>
      </c>
      <c r="D136" s="1" t="s">
        <v>17</v>
      </c>
      <c r="E136" s="1">
        <v>19.600000000000001</v>
      </c>
      <c r="F136" s="1">
        <v>331</v>
      </c>
      <c r="G136" s="1">
        <v>30</v>
      </c>
      <c r="H136" s="1">
        <v>0.45238050866656149</v>
      </c>
      <c r="I136" s="1">
        <v>2.1158154091271189</v>
      </c>
      <c r="J136" s="1">
        <v>482.14225578845839</v>
      </c>
      <c r="K136" s="1">
        <v>0.45238050866656149</v>
      </c>
      <c r="L136" s="1">
        <v>2.1158154091271189</v>
      </c>
      <c r="M136" s="1">
        <v>482.14225578845839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>
        <v>135</v>
      </c>
      <c r="C137" s="1" t="s">
        <v>43</v>
      </c>
      <c r="D137" s="1" t="s">
        <v>17</v>
      </c>
      <c r="E137" s="1">
        <v>19.600000000000001</v>
      </c>
      <c r="F137" s="1">
        <v>332</v>
      </c>
      <c r="G137" s="1">
        <v>45</v>
      </c>
      <c r="H137" s="1">
        <v>0.45096967859043163</v>
      </c>
      <c r="I137" s="1">
        <v>2.0915750540571287</v>
      </c>
      <c r="J137" s="1">
        <v>500.37840466643189</v>
      </c>
      <c r="K137" s="1">
        <v>0.45096967859043163</v>
      </c>
      <c r="L137" s="1">
        <v>2.0915750540571287</v>
      </c>
      <c r="M137" s="1">
        <v>500.37840466643189</v>
      </c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>
        <v>136</v>
      </c>
      <c r="C138" s="1" t="s">
        <v>43</v>
      </c>
      <c r="E138" s="1">
        <v>19.600000000000001</v>
      </c>
      <c r="F138" s="1" t="s">
        <v>58</v>
      </c>
      <c r="H138" s="1">
        <v>0.37728542916607716</v>
      </c>
      <c r="I138" s="1">
        <v>1.9905735745988378</v>
      </c>
      <c r="J138" s="1">
        <v>454.63601615134098</v>
      </c>
      <c r="K138" s="1">
        <v>0.37728542916607716</v>
      </c>
      <c r="L138" s="1">
        <v>1.9905735745988378</v>
      </c>
      <c r="M138" s="1">
        <v>454.63601615134098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>
        <v>137</v>
      </c>
      <c r="C139" s="1" t="s">
        <v>43</v>
      </c>
      <c r="E139" s="1">
        <v>19.600000000000001</v>
      </c>
      <c r="F139" s="1" t="s">
        <v>59</v>
      </c>
      <c r="H139" s="1">
        <v>0.3642474132901185</v>
      </c>
      <c r="I139" s="1">
        <v>2.1185087819126731</v>
      </c>
      <c r="J139" s="1">
        <v>437.15220281962348</v>
      </c>
      <c r="K139" s="1">
        <v>0.3642474132901185</v>
      </c>
      <c r="L139" s="1">
        <v>2.1185087819126731</v>
      </c>
      <c r="M139" s="1">
        <v>437.15220281962348</v>
      </c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>
        <v>138</v>
      </c>
      <c r="B140" s="1" t="s">
        <v>25</v>
      </c>
      <c r="C140" s="1" t="s">
        <v>43</v>
      </c>
      <c r="D140" s="1" t="s">
        <v>16</v>
      </c>
      <c r="E140" s="1">
        <v>16.2</v>
      </c>
      <c r="F140" s="1">
        <v>301</v>
      </c>
      <c r="G140" s="1">
        <v>0</v>
      </c>
      <c r="H140" s="1">
        <v>0.56321914034019827</v>
      </c>
      <c r="I140" s="1">
        <v>2.1906810078160048</v>
      </c>
      <c r="J140" s="1">
        <v>403.99123741723054</v>
      </c>
      <c r="K140" s="1">
        <v>0.56321914034019827</v>
      </c>
      <c r="L140" s="1">
        <v>2.1906810078160048</v>
      </c>
      <c r="M140" s="1">
        <v>403.99123741723054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>
        <v>139</v>
      </c>
      <c r="B141" s="1" t="s">
        <v>60</v>
      </c>
      <c r="C141" s="1" t="s">
        <v>43</v>
      </c>
      <c r="D141" s="1" t="s">
        <v>16</v>
      </c>
      <c r="E141" s="1">
        <v>16.2</v>
      </c>
      <c r="F141" s="1">
        <v>302</v>
      </c>
      <c r="G141" s="1">
        <v>15</v>
      </c>
      <c r="H141" s="1">
        <v>0.41952946301993027</v>
      </c>
      <c r="I141" s="1">
        <v>1.9441694018748963</v>
      </c>
      <c r="J141" s="1">
        <v>454.73288521763595</v>
      </c>
      <c r="K141" s="1">
        <v>0.41952946301993027</v>
      </c>
      <c r="L141" s="1">
        <v>1.9441694018748963</v>
      </c>
      <c r="M141" s="1">
        <v>454.73288521763595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>
        <v>140</v>
      </c>
      <c r="C142" s="1" t="s">
        <v>43</v>
      </c>
      <c r="D142" s="1" t="s">
        <v>16</v>
      </c>
      <c r="E142" s="1">
        <v>16.2</v>
      </c>
      <c r="F142" s="1">
        <v>303</v>
      </c>
      <c r="G142" s="1">
        <v>30</v>
      </c>
      <c r="H142" s="1">
        <v>0.40771987779921176</v>
      </c>
      <c r="I142" s="1">
        <v>1.9441694018748963</v>
      </c>
      <c r="J142" s="1">
        <v>421.4211823741914</v>
      </c>
      <c r="K142" s="1">
        <v>0.40771987779921176</v>
      </c>
      <c r="L142" s="1">
        <v>1.9441694018748963</v>
      </c>
      <c r="M142" s="1">
        <v>421.4211823741914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>
        <v>141</v>
      </c>
      <c r="C143" s="1" t="s">
        <v>43</v>
      </c>
      <c r="D143" s="1" t="s">
        <v>16</v>
      </c>
      <c r="E143" s="1">
        <v>16.2</v>
      </c>
      <c r="F143" s="1">
        <v>304</v>
      </c>
      <c r="G143" s="1">
        <v>45</v>
      </c>
      <c r="H143" s="1">
        <v>0.41677836646283106</v>
      </c>
      <c r="I143" s="1">
        <v>1.8967236534510845</v>
      </c>
      <c r="J143" s="1">
        <v>465.74812616338954</v>
      </c>
      <c r="K143" s="1">
        <v>0.41677836646283106</v>
      </c>
      <c r="L143" s="1">
        <v>1.8967236534510845</v>
      </c>
      <c r="M143" s="1">
        <v>465.74812616338954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>
        <v>142</v>
      </c>
      <c r="C144" s="1" t="s">
        <v>43</v>
      </c>
      <c r="D144" s="1" t="s">
        <v>16</v>
      </c>
      <c r="E144" s="1">
        <v>16.2</v>
      </c>
      <c r="F144" s="1">
        <v>305</v>
      </c>
      <c r="G144" s="1">
        <v>0</v>
      </c>
      <c r="H144" s="1">
        <v>0.40664627914278284</v>
      </c>
      <c r="I144" s="1">
        <v>1.9101322345273792</v>
      </c>
      <c r="J144" s="1">
        <v>407.88463440430161</v>
      </c>
      <c r="K144" s="1">
        <v>0.40664627914278284</v>
      </c>
      <c r="L144" s="1">
        <v>1.9101322345273792</v>
      </c>
      <c r="M144" s="1">
        <v>407.88463440430161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>
        <v>143</v>
      </c>
      <c r="C145" s="1" t="s">
        <v>43</v>
      </c>
      <c r="D145" s="1" t="s">
        <v>16</v>
      </c>
      <c r="E145" s="1">
        <v>16.2</v>
      </c>
      <c r="F145" s="1">
        <v>306</v>
      </c>
      <c r="G145" s="1">
        <v>15</v>
      </c>
      <c r="H145" s="1">
        <v>0.42427438565325465</v>
      </c>
      <c r="I145" s="1">
        <v>2.0555637677394976</v>
      </c>
      <c r="J145" s="1">
        <v>493.42839025521653</v>
      </c>
      <c r="K145" s="1">
        <v>0.42427438565325465</v>
      </c>
      <c r="L145" s="1">
        <v>2.0555637677394976</v>
      </c>
      <c r="M145" s="1">
        <v>493.42839025521653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>
        <v>144</v>
      </c>
      <c r="C146" s="1" t="s">
        <v>43</v>
      </c>
      <c r="D146" s="1" t="s">
        <v>16</v>
      </c>
      <c r="E146" s="1">
        <v>16.2</v>
      </c>
      <c r="F146" s="1">
        <v>307</v>
      </c>
      <c r="G146" s="1">
        <v>30</v>
      </c>
      <c r="H146" s="1">
        <v>0.41728640868417693</v>
      </c>
      <c r="I146" s="1">
        <v>2.2783524994687006</v>
      </c>
      <c r="J146" s="1">
        <v>488.00698399124076</v>
      </c>
      <c r="K146" s="1">
        <v>0.41728640868417693</v>
      </c>
      <c r="L146" s="1">
        <v>2.2783524994687006</v>
      </c>
      <c r="M146" s="1">
        <v>488.00698399124076</v>
      </c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>
        <v>145</v>
      </c>
      <c r="C147" s="1" t="s">
        <v>43</v>
      </c>
      <c r="D147" s="1" t="s">
        <v>16</v>
      </c>
      <c r="E147" s="1">
        <v>16.2</v>
      </c>
      <c r="F147" s="1">
        <v>308</v>
      </c>
      <c r="G147" s="1">
        <v>45</v>
      </c>
      <c r="H147" s="1">
        <v>0.42142743207326</v>
      </c>
      <c r="I147" s="1">
        <v>1.957577982951191</v>
      </c>
      <c r="J147" s="1">
        <v>494.248342412211</v>
      </c>
      <c r="K147" s="1">
        <v>0.42142743207326</v>
      </c>
      <c r="L147" s="1">
        <v>1.957577982951191</v>
      </c>
      <c r="M147" s="1">
        <v>494.248342412211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>
        <v>146</v>
      </c>
      <c r="C148" s="1" t="s">
        <v>43</v>
      </c>
      <c r="D148" s="1" t="s">
        <v>16</v>
      </c>
      <c r="E148" s="1">
        <v>16.2</v>
      </c>
      <c r="F148" s="1">
        <v>309</v>
      </c>
      <c r="G148" s="1">
        <v>0</v>
      </c>
      <c r="H148" s="1">
        <v>0.41419022684465412</v>
      </c>
      <c r="I148" s="1">
        <v>1.8647493447306898</v>
      </c>
      <c r="J148" s="1">
        <v>413.95631592477525</v>
      </c>
      <c r="K148" s="1">
        <v>0.41419022684465412</v>
      </c>
      <c r="L148" s="1">
        <v>1.8647493447306898</v>
      </c>
      <c r="M148" s="1">
        <v>413.95631592477525</v>
      </c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>
        <v>147</v>
      </c>
      <c r="C149" s="1" t="s">
        <v>43</v>
      </c>
      <c r="D149" s="1" t="s">
        <v>16</v>
      </c>
      <c r="E149" s="1">
        <v>16.2</v>
      </c>
      <c r="F149" s="1">
        <v>310</v>
      </c>
      <c r="G149" s="1">
        <v>15</v>
      </c>
      <c r="H149" s="1">
        <v>0.68188054898246619</v>
      </c>
      <c r="I149" s="1">
        <v>2.0318408935275918</v>
      </c>
      <c r="J149" s="1">
        <v>614.34932127345928</v>
      </c>
      <c r="K149" s="1">
        <v>0.68188054898246619</v>
      </c>
      <c r="L149" s="1">
        <v>2.0318408935275918</v>
      </c>
      <c r="M149" s="1">
        <v>614.34932127345928</v>
      </c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>
        <v>148</v>
      </c>
      <c r="C150" s="1" t="s">
        <v>43</v>
      </c>
      <c r="D150" s="1" t="s">
        <v>16</v>
      </c>
      <c r="E150" s="1">
        <v>16.2</v>
      </c>
      <c r="F150" s="1">
        <v>311</v>
      </c>
      <c r="G150" s="1">
        <v>30</v>
      </c>
      <c r="H150" s="1">
        <v>0.6805768934710883</v>
      </c>
      <c r="I150" s="1">
        <v>2.0184323124512971</v>
      </c>
      <c r="J150" s="1">
        <v>688.5256419635358</v>
      </c>
      <c r="K150" s="1">
        <v>0.6805768934710883</v>
      </c>
      <c r="L150" s="1">
        <v>2.0184323124512971</v>
      </c>
      <c r="M150" s="1">
        <v>688.5256419635358</v>
      </c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3">
      <c r="A151" s="1">
        <v>149</v>
      </c>
      <c r="C151" s="1" t="s">
        <v>43</v>
      </c>
      <c r="D151" s="1" t="s">
        <v>16</v>
      </c>
      <c r="E151" s="1">
        <v>16.2</v>
      </c>
      <c r="F151" s="1">
        <v>312</v>
      </c>
      <c r="G151" s="1">
        <v>45</v>
      </c>
      <c r="H151" s="1">
        <v>0.73033627405611223</v>
      </c>
      <c r="I151" s="1">
        <v>2.1669581336040991</v>
      </c>
      <c r="J151" s="1">
        <v>711.63563581117546</v>
      </c>
      <c r="K151" s="1">
        <v>0.73033627405611223</v>
      </c>
      <c r="L151" s="1">
        <v>2.1669581336040991</v>
      </c>
      <c r="M151" s="1">
        <v>711.63563581117546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3">
      <c r="A152" s="1">
        <v>150</v>
      </c>
      <c r="C152" s="1" t="s">
        <v>43</v>
      </c>
      <c r="D152" s="1" t="s">
        <v>16</v>
      </c>
      <c r="E152" s="1">
        <v>16.2</v>
      </c>
      <c r="F152" s="1">
        <v>313</v>
      </c>
      <c r="G152" s="1">
        <v>0</v>
      </c>
      <c r="H152" s="1">
        <v>0.40628202245578016</v>
      </c>
      <c r="I152" s="1">
        <v>1.8575293395357622</v>
      </c>
      <c r="J152" s="1">
        <v>410.32431308171249</v>
      </c>
      <c r="K152" s="1">
        <v>0.40628202245578016</v>
      </c>
      <c r="L152" s="1">
        <v>1.8575293395357622</v>
      </c>
      <c r="M152" s="1">
        <v>410.32431308171249</v>
      </c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3">
      <c r="A153" s="1">
        <v>151</v>
      </c>
      <c r="C153" s="1" t="s">
        <v>43</v>
      </c>
      <c r="D153" s="1" t="s">
        <v>16</v>
      </c>
      <c r="E153" s="1">
        <v>16.2</v>
      </c>
      <c r="F153" s="1">
        <v>314</v>
      </c>
      <c r="G153" s="1">
        <v>15</v>
      </c>
      <c r="H153" s="1">
        <v>0.45908965636887927</v>
      </c>
      <c r="I153" s="1">
        <v>2.0328723228411532</v>
      </c>
      <c r="J153" s="1">
        <v>605.12806961079423</v>
      </c>
      <c r="K153" s="1">
        <v>0.45908965636887927</v>
      </c>
      <c r="L153" s="1">
        <v>2.0328723228411532</v>
      </c>
      <c r="M153" s="1">
        <v>605.12806961079423</v>
      </c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3">
      <c r="A154" s="1">
        <v>152</v>
      </c>
      <c r="C154" s="1" t="s">
        <v>43</v>
      </c>
      <c r="D154" s="1" t="s">
        <v>16</v>
      </c>
      <c r="E154" s="1">
        <v>16.2</v>
      </c>
      <c r="F154" s="1">
        <v>315</v>
      </c>
      <c r="G154" s="1">
        <v>30</v>
      </c>
      <c r="H154" s="1">
        <v>0.44696374297260583</v>
      </c>
      <c r="I154" s="1">
        <v>2.0204951710784194</v>
      </c>
      <c r="J154" s="1">
        <v>598.83534953345747</v>
      </c>
      <c r="K154" s="1">
        <v>0.44696374297260583</v>
      </c>
      <c r="L154" s="1">
        <v>2.0204951710784194</v>
      </c>
      <c r="M154" s="1">
        <v>598.83534953345747</v>
      </c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3">
      <c r="A155" s="1">
        <v>153</v>
      </c>
      <c r="C155" s="1" t="s">
        <v>43</v>
      </c>
      <c r="D155" s="1" t="s">
        <v>16</v>
      </c>
      <c r="E155" s="1">
        <v>16.2</v>
      </c>
      <c r="F155" s="1">
        <v>316</v>
      </c>
      <c r="G155" s="1">
        <v>45</v>
      </c>
      <c r="H155" s="1">
        <v>0.46052751171231088</v>
      </c>
      <c r="I155" s="1">
        <v>1.9390122553070905</v>
      </c>
      <c r="J155" s="1">
        <v>651.97815476899893</v>
      </c>
      <c r="K155" s="1">
        <v>0.46052751171231088</v>
      </c>
      <c r="L155" s="1">
        <v>1.9390122553070905</v>
      </c>
      <c r="M155" s="1">
        <v>651.97815476899893</v>
      </c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3">
      <c r="A156" s="1">
        <v>154</v>
      </c>
      <c r="C156" s="1" t="s">
        <v>43</v>
      </c>
      <c r="D156" s="1" t="s">
        <v>16</v>
      </c>
      <c r="E156" s="1">
        <v>16.2</v>
      </c>
      <c r="F156" s="1">
        <v>317</v>
      </c>
      <c r="G156" s="1">
        <v>0</v>
      </c>
      <c r="H156" s="1">
        <v>0.40609989411227876</v>
      </c>
      <c r="I156" s="1">
        <v>1.9245722449172351</v>
      </c>
      <c r="J156" s="1">
        <v>412.51360368433643</v>
      </c>
      <c r="K156" s="1">
        <v>0.40609989411227876</v>
      </c>
      <c r="L156" s="1">
        <v>1.9245722449172351</v>
      </c>
      <c r="M156" s="1">
        <v>412.51360368433643</v>
      </c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3">
      <c r="A157" s="1">
        <v>155</v>
      </c>
      <c r="C157" s="1" t="s">
        <v>43</v>
      </c>
      <c r="D157" s="1" t="s">
        <v>16</v>
      </c>
      <c r="E157" s="1">
        <v>16.2</v>
      </c>
      <c r="F157" s="1">
        <v>318</v>
      </c>
      <c r="G157" s="1">
        <v>15</v>
      </c>
      <c r="H157" s="1">
        <v>0.42882759424078815</v>
      </c>
      <c r="I157" s="1">
        <v>2.0875380764598925</v>
      </c>
      <c r="J157" s="1">
        <v>547.84881669287574</v>
      </c>
      <c r="K157" s="1">
        <v>0.42882759424078815</v>
      </c>
      <c r="L157" s="1">
        <v>2.0875380764598925</v>
      </c>
      <c r="M157" s="1">
        <v>547.84881669287574</v>
      </c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3">
      <c r="A158" s="1">
        <v>156</v>
      </c>
      <c r="C158" s="1" t="s">
        <v>43</v>
      </c>
      <c r="D158" s="1" t="s">
        <v>16</v>
      </c>
      <c r="E158" s="1">
        <v>16.2</v>
      </c>
      <c r="F158" s="1">
        <v>319</v>
      </c>
      <c r="G158" s="1">
        <v>30</v>
      </c>
      <c r="H158" s="1">
        <v>0.42962320753082034</v>
      </c>
      <c r="I158" s="1">
        <v>2.1267323903752153</v>
      </c>
      <c r="J158" s="1">
        <v>554.00946393955576</v>
      </c>
      <c r="K158" s="1">
        <v>0.42962320753082034</v>
      </c>
      <c r="L158" s="1">
        <v>2.1267323903752153</v>
      </c>
      <c r="M158" s="1">
        <v>554.00946393955576</v>
      </c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3">
      <c r="A159" s="1">
        <v>157</v>
      </c>
      <c r="C159" s="1" t="s">
        <v>43</v>
      </c>
      <c r="D159" s="1" t="s">
        <v>16</v>
      </c>
      <c r="E159" s="1">
        <v>16.2</v>
      </c>
      <c r="F159" s="1">
        <v>320</v>
      </c>
      <c r="G159" s="1">
        <v>45</v>
      </c>
      <c r="H159" s="1">
        <v>0.43007373553842887</v>
      </c>
      <c r="I159" s="1">
        <v>1.9369493966799685</v>
      </c>
      <c r="J159" s="1">
        <v>564.75230467207962</v>
      </c>
      <c r="K159" s="1">
        <v>0.43007373553842887</v>
      </c>
      <c r="L159" s="1">
        <v>1.9369493966799685</v>
      </c>
      <c r="M159" s="1">
        <v>564.75230467207962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3">
      <c r="A160" s="1">
        <v>158</v>
      </c>
      <c r="C160" s="1" t="s">
        <v>43</v>
      </c>
      <c r="D160" s="1" t="s">
        <v>16</v>
      </c>
      <c r="E160" s="1">
        <v>16.2</v>
      </c>
      <c r="F160" s="1">
        <v>321</v>
      </c>
      <c r="G160" s="1">
        <v>0</v>
      </c>
      <c r="H160" s="1">
        <v>0.40371305424218229</v>
      </c>
      <c r="I160" s="1">
        <v>1.8668122033578121</v>
      </c>
      <c r="J160" s="1">
        <v>424.15435623083965</v>
      </c>
      <c r="K160" s="1">
        <v>0.40371305424218229</v>
      </c>
      <c r="L160" s="1">
        <v>1.8668122033578121</v>
      </c>
      <c r="M160" s="1">
        <v>424.15435623083965</v>
      </c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3">
      <c r="A161" s="1">
        <v>159</v>
      </c>
      <c r="C161" s="1" t="s">
        <v>43</v>
      </c>
      <c r="D161" s="1" t="s">
        <v>16</v>
      </c>
      <c r="E161" s="1">
        <v>16.2</v>
      </c>
      <c r="F161" s="1">
        <v>322</v>
      </c>
      <c r="G161" s="1">
        <v>15</v>
      </c>
      <c r="H161" s="1">
        <v>0.41408478411946908</v>
      </c>
      <c r="I161" s="1">
        <v>2.2804153580958229</v>
      </c>
      <c r="J161" s="1">
        <v>530.17215235086849</v>
      </c>
      <c r="K161" s="1">
        <v>0.41408478411946908</v>
      </c>
      <c r="L161" s="1">
        <v>2.2804153580958229</v>
      </c>
      <c r="M161" s="1">
        <v>530.17215235086849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">
      <c r="A162" s="1">
        <v>160</v>
      </c>
      <c r="C162" s="1" t="s">
        <v>43</v>
      </c>
      <c r="D162" s="1" t="s">
        <v>16</v>
      </c>
      <c r="E162" s="1">
        <v>16.2</v>
      </c>
      <c r="F162" s="1">
        <v>323</v>
      </c>
      <c r="G162" s="1">
        <v>30</v>
      </c>
      <c r="H162" s="1">
        <v>0.41082564534102406</v>
      </c>
      <c r="I162" s="1">
        <v>2.0596894849937422</v>
      </c>
      <c r="J162" s="1">
        <v>521.54064256398362</v>
      </c>
      <c r="K162" s="1">
        <v>0.41082564534102406</v>
      </c>
      <c r="L162" s="1">
        <v>2.0596894849937422</v>
      </c>
      <c r="M162" s="1">
        <v>521.54064256398362</v>
      </c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3">
      <c r="A163" s="1">
        <v>161</v>
      </c>
      <c r="C163" s="1" t="s">
        <v>43</v>
      </c>
      <c r="D163" s="1" t="s">
        <v>16</v>
      </c>
      <c r="E163" s="1">
        <v>16.2</v>
      </c>
      <c r="F163" s="1">
        <v>324</v>
      </c>
      <c r="G163" s="1">
        <v>45</v>
      </c>
      <c r="H163" s="1">
        <v>0.41764107966889003</v>
      </c>
      <c r="I163" s="1">
        <v>1.8874407896290344</v>
      </c>
      <c r="J163" s="1">
        <v>577.73304614628864</v>
      </c>
      <c r="K163" s="1">
        <v>0.41764107966889003</v>
      </c>
      <c r="L163" s="1">
        <v>1.8874407896290344</v>
      </c>
      <c r="M163" s="1">
        <v>577.73304614628864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3">
      <c r="A164" s="1">
        <v>162</v>
      </c>
      <c r="C164" s="1" t="s">
        <v>43</v>
      </c>
      <c r="D164" s="1" t="s">
        <v>17</v>
      </c>
      <c r="E164" s="1">
        <v>16.2</v>
      </c>
      <c r="F164" s="1">
        <v>325</v>
      </c>
      <c r="G164" s="1">
        <v>0</v>
      </c>
      <c r="H164" s="1">
        <v>0.40496878124211261</v>
      </c>
      <c r="I164" s="1">
        <v>1.9070379465866958</v>
      </c>
      <c r="J164" s="1">
        <v>426.41977214557829</v>
      </c>
      <c r="K164" s="1">
        <v>0.40496878124211261</v>
      </c>
      <c r="L164" s="1">
        <v>1.9070379465866958</v>
      </c>
      <c r="M164" s="1">
        <v>426.41977214557829</v>
      </c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3">
      <c r="A165" s="1">
        <v>163</v>
      </c>
      <c r="C165" s="1" t="s">
        <v>43</v>
      </c>
      <c r="D165" s="1" t="s">
        <v>17</v>
      </c>
      <c r="E165" s="1">
        <v>16.2</v>
      </c>
      <c r="F165" s="1">
        <v>326</v>
      </c>
      <c r="G165" s="1">
        <v>15</v>
      </c>
      <c r="H165" s="1">
        <v>0.40731727830305092</v>
      </c>
      <c r="I165" s="1">
        <v>1.9709865640274857</v>
      </c>
      <c r="J165" s="1">
        <v>419.11265935500228</v>
      </c>
      <c r="K165" s="1">
        <v>0.40731727830305092</v>
      </c>
      <c r="L165" s="1">
        <v>1.9709865640274857</v>
      </c>
      <c r="M165" s="1">
        <v>419.11265935500228</v>
      </c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3">
      <c r="A166" s="1">
        <v>164</v>
      </c>
      <c r="C166" s="1" t="s">
        <v>43</v>
      </c>
      <c r="D166" s="1" t="s">
        <v>17</v>
      </c>
      <c r="E166" s="1">
        <v>16.2</v>
      </c>
      <c r="F166" s="1">
        <v>327</v>
      </c>
      <c r="G166" s="1">
        <v>30</v>
      </c>
      <c r="H166" s="1">
        <v>0.40628202245578016</v>
      </c>
      <c r="I166" s="1">
        <v>1.8771264964934231</v>
      </c>
      <c r="J166" s="1">
        <v>422.37687605158322</v>
      </c>
      <c r="K166" s="1">
        <v>0.40628202245578016</v>
      </c>
      <c r="L166" s="1">
        <v>1.8771264964934231</v>
      </c>
      <c r="M166" s="1">
        <v>422.37687605158322</v>
      </c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3">
      <c r="A167" s="1">
        <v>165</v>
      </c>
      <c r="C167" s="1" t="s">
        <v>43</v>
      </c>
      <c r="D167" s="1" t="s">
        <v>17</v>
      </c>
      <c r="E167" s="1">
        <v>16.2</v>
      </c>
      <c r="F167" s="1">
        <v>328</v>
      </c>
      <c r="G167" s="1">
        <v>45</v>
      </c>
      <c r="H167" s="1">
        <v>0.40994376073038602</v>
      </c>
      <c r="I167" s="1">
        <v>1.8369007532645396</v>
      </c>
      <c r="J167" s="1">
        <v>426.38491959304389</v>
      </c>
      <c r="K167" s="1">
        <v>0.40994376073038602</v>
      </c>
      <c r="L167" s="1">
        <v>1.8369007532645396</v>
      </c>
      <c r="M167" s="1">
        <v>426.38491959304389</v>
      </c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3">
      <c r="A168" s="1">
        <v>166</v>
      </c>
      <c r="C168" s="1" t="s">
        <v>43</v>
      </c>
      <c r="D168" s="1" t="s">
        <v>17</v>
      </c>
      <c r="E168" s="1">
        <v>16.2</v>
      </c>
      <c r="F168" s="1">
        <v>329</v>
      </c>
      <c r="G168" s="1">
        <v>0</v>
      </c>
      <c r="H168" s="1">
        <v>0.40626285105120108</v>
      </c>
      <c r="I168" s="1">
        <v>1.8451521877730284</v>
      </c>
      <c r="J168" s="1">
        <v>408.33588324237911</v>
      </c>
      <c r="K168" s="1">
        <v>0.40626285105120108</v>
      </c>
      <c r="L168" s="1">
        <v>1.8451521877730284</v>
      </c>
      <c r="M168" s="1">
        <v>408.33588324237911</v>
      </c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3">
      <c r="A169" s="1">
        <v>167</v>
      </c>
      <c r="C169" s="1" t="s">
        <v>43</v>
      </c>
      <c r="D169" s="1" t="s">
        <v>17</v>
      </c>
      <c r="E169" s="1">
        <v>16.2</v>
      </c>
      <c r="F169" s="1">
        <v>330</v>
      </c>
      <c r="G169" s="1">
        <v>15</v>
      </c>
      <c r="H169" s="1">
        <v>0.43187584756886321</v>
      </c>
      <c r="I169" s="1">
        <v>1.9091008052138183</v>
      </c>
      <c r="J169" s="1">
        <v>437.05071784101796</v>
      </c>
      <c r="K169" s="1">
        <v>0.43187584756886321</v>
      </c>
      <c r="L169" s="1">
        <v>1.9091008052138183</v>
      </c>
      <c r="M169" s="1">
        <v>437.05071784101796</v>
      </c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3">
      <c r="A170" s="1">
        <v>168</v>
      </c>
      <c r="C170" s="1" t="s">
        <v>43</v>
      </c>
      <c r="D170" s="1" t="s">
        <v>17</v>
      </c>
      <c r="E170" s="1">
        <v>16.2</v>
      </c>
      <c r="F170" s="1">
        <v>331</v>
      </c>
      <c r="G170" s="1">
        <v>30</v>
      </c>
      <c r="H170" s="1">
        <v>0.42509875605015546</v>
      </c>
      <c r="I170" s="1">
        <v>1.9111636638409404</v>
      </c>
      <c r="J170" s="1">
        <v>443.07837508460597</v>
      </c>
      <c r="K170" s="1">
        <v>0.42509875605015546</v>
      </c>
      <c r="L170" s="1">
        <v>1.9111636638409404</v>
      </c>
      <c r="M170" s="1">
        <v>443.07837508460597</v>
      </c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3">
      <c r="A171" s="1">
        <v>169</v>
      </c>
      <c r="C171" s="1" t="s">
        <v>43</v>
      </c>
      <c r="D171" s="1" t="s">
        <v>17</v>
      </c>
      <c r="E171" s="1">
        <v>16.2</v>
      </c>
      <c r="F171" s="1">
        <v>332</v>
      </c>
      <c r="G171" s="1">
        <v>45</v>
      </c>
      <c r="H171" s="1">
        <v>0.44195042067517415</v>
      </c>
      <c r="I171" s="1">
        <v>1.8265864601289283</v>
      </c>
      <c r="J171" s="1">
        <v>437.24148970752225</v>
      </c>
      <c r="K171" s="1">
        <v>0.44195042067517415</v>
      </c>
      <c r="L171" s="1">
        <v>1.8265864601289283</v>
      </c>
      <c r="M171" s="1">
        <v>437.24148970752225</v>
      </c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3">
      <c r="A172" s="1">
        <v>170</v>
      </c>
      <c r="C172" s="1" t="s">
        <v>43</v>
      </c>
      <c r="E172" s="1">
        <v>16.2</v>
      </c>
      <c r="F172" s="1" t="s">
        <v>50</v>
      </c>
      <c r="H172" s="1">
        <v>0.3973098051127667</v>
      </c>
      <c r="I172" s="1">
        <v>1.7946121514085334</v>
      </c>
      <c r="J172" s="1">
        <v>399.30540344621846</v>
      </c>
      <c r="K172" s="1">
        <v>0.3973098051127667</v>
      </c>
      <c r="L172" s="1">
        <v>1.7946121514085334</v>
      </c>
      <c r="M172" s="1">
        <v>399.30540344621846</v>
      </c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3">
      <c r="A173" s="1">
        <v>171</v>
      </c>
      <c r="C173" s="1" t="s">
        <v>43</v>
      </c>
      <c r="E173" s="1">
        <v>16.2</v>
      </c>
      <c r="F173" s="1" t="s">
        <v>51</v>
      </c>
      <c r="H173" s="1">
        <v>0.40018551579962997</v>
      </c>
      <c r="I173" s="1">
        <v>1.7956435807220947</v>
      </c>
      <c r="J173" s="1">
        <v>406.6033445124433</v>
      </c>
      <c r="K173" s="1">
        <v>0.40018551579962997</v>
      </c>
      <c r="L173" s="1">
        <v>1.7956435807220947</v>
      </c>
      <c r="M173" s="1">
        <v>406.6033445124433</v>
      </c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3">
      <c r="A174" s="1">
        <v>172</v>
      </c>
      <c r="B174" s="1" t="s">
        <v>26</v>
      </c>
      <c r="C174" s="1" t="s">
        <v>43</v>
      </c>
      <c r="D174" s="1" t="s">
        <v>16</v>
      </c>
      <c r="E174" s="1">
        <v>15.7</v>
      </c>
      <c r="F174" s="1">
        <v>901</v>
      </c>
      <c r="G174" s="1">
        <v>0</v>
      </c>
      <c r="H174" s="1">
        <v>1.3285128540305409</v>
      </c>
      <c r="I174" s="1">
        <v>1.8121464497390727</v>
      </c>
      <c r="J174" s="1">
        <v>413.78113598966792</v>
      </c>
      <c r="K174" s="1">
        <v>1.3285128540305409</v>
      </c>
      <c r="L174" s="1">
        <v>1.8121464497390727</v>
      </c>
      <c r="M174" s="1">
        <v>413.78113598966792</v>
      </c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3">
      <c r="A175" s="1">
        <v>173</v>
      </c>
      <c r="B175" s="1" t="s">
        <v>61</v>
      </c>
      <c r="C175" s="1" t="s">
        <v>43</v>
      </c>
      <c r="D175" s="1" t="s">
        <v>16</v>
      </c>
      <c r="E175" s="1">
        <v>15.7</v>
      </c>
      <c r="F175" s="1">
        <v>902</v>
      </c>
      <c r="G175" s="1">
        <v>15</v>
      </c>
      <c r="H175" s="1">
        <v>0.42206967412665947</v>
      </c>
      <c r="I175" s="1">
        <v>1.7997692979763389</v>
      </c>
      <c r="J175" s="1">
        <v>650.23094128010132</v>
      </c>
      <c r="K175" s="1">
        <v>0.42206967412665947</v>
      </c>
      <c r="L175" s="1">
        <v>1.7997692979763389</v>
      </c>
      <c r="M175" s="1">
        <v>650.23094128010132</v>
      </c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>
        <v>174</v>
      </c>
      <c r="C176" s="1" t="s">
        <v>43</v>
      </c>
      <c r="D176" s="1" t="s">
        <v>16</v>
      </c>
      <c r="E176" s="1">
        <v>15.7</v>
      </c>
      <c r="F176" s="1">
        <v>903</v>
      </c>
      <c r="G176" s="1">
        <v>30</v>
      </c>
      <c r="H176" s="1">
        <v>0.41956780582908837</v>
      </c>
      <c r="I176" s="1">
        <v>1.8276178894424895</v>
      </c>
      <c r="J176" s="1">
        <v>736.57538866687321</v>
      </c>
      <c r="K176" s="1">
        <v>0.41956780582908837</v>
      </c>
      <c r="L176" s="1">
        <v>1.8276178894424895</v>
      </c>
      <c r="M176" s="1">
        <v>736.57538866687321</v>
      </c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">
      <c r="A177" s="1">
        <v>175</v>
      </c>
      <c r="C177" s="1" t="s">
        <v>43</v>
      </c>
      <c r="D177" s="1" t="s">
        <v>16</v>
      </c>
      <c r="E177" s="1">
        <v>15.7</v>
      </c>
      <c r="F177" s="1">
        <v>904</v>
      </c>
      <c r="G177" s="1">
        <v>45</v>
      </c>
      <c r="H177" s="1">
        <v>0.43224968995815544</v>
      </c>
      <c r="I177" s="1">
        <v>1.8008007272899003</v>
      </c>
      <c r="J177" s="1">
        <v>796.29890612437816</v>
      </c>
      <c r="K177" s="1">
        <v>0.43224968995815544</v>
      </c>
      <c r="L177" s="1">
        <v>1.8008007272899003</v>
      </c>
      <c r="M177" s="1">
        <v>796.29890612437816</v>
      </c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3">
      <c r="A178" s="1">
        <v>176</v>
      </c>
      <c r="C178" s="1" t="s">
        <v>43</v>
      </c>
      <c r="D178" s="1" t="s">
        <v>16</v>
      </c>
      <c r="E178" s="1">
        <v>15.7</v>
      </c>
      <c r="F178" s="1">
        <v>905</v>
      </c>
      <c r="G178" s="1">
        <v>0</v>
      </c>
      <c r="H178" s="1">
        <v>0.40469079587571577</v>
      </c>
      <c r="I178" s="1">
        <v>1.8069893031712669</v>
      </c>
      <c r="J178" s="1">
        <v>469.91025467394985</v>
      </c>
      <c r="K178" s="1">
        <v>0.40469079587571577</v>
      </c>
      <c r="L178" s="1">
        <v>1.8069893031712669</v>
      </c>
      <c r="M178" s="1">
        <v>469.91025467394985</v>
      </c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3">
      <c r="A179" s="1">
        <v>177</v>
      </c>
      <c r="C179" s="1" t="s">
        <v>43</v>
      </c>
      <c r="D179" s="1" t="s">
        <v>16</v>
      </c>
      <c r="E179" s="1">
        <v>15.7</v>
      </c>
      <c r="F179" s="1">
        <v>906</v>
      </c>
      <c r="G179" s="1">
        <v>15</v>
      </c>
      <c r="H179" s="1">
        <v>0.44111646457598386</v>
      </c>
      <c r="I179" s="1">
        <v>1.825555030815367</v>
      </c>
      <c r="J179" s="1">
        <v>845.70606803168869</v>
      </c>
      <c r="K179" s="1">
        <v>0.44111646457598386</v>
      </c>
      <c r="L179" s="1">
        <v>1.825555030815367</v>
      </c>
      <c r="M179" s="1">
        <v>845.70606803168869</v>
      </c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3">
      <c r="A180" s="1">
        <v>178</v>
      </c>
      <c r="C180" s="1" t="s">
        <v>43</v>
      </c>
      <c r="D180" s="1" t="s">
        <v>16</v>
      </c>
      <c r="E180" s="1">
        <v>15.7</v>
      </c>
      <c r="F180" s="1">
        <v>907</v>
      </c>
      <c r="G180" s="1">
        <v>30</v>
      </c>
      <c r="H180" s="1">
        <v>0.43458860131680427</v>
      </c>
      <c r="I180" s="1">
        <v>1.8008007272899003</v>
      </c>
      <c r="J180" s="1">
        <v>924.38753972305915</v>
      </c>
      <c r="K180" s="1">
        <v>0.43458860131680427</v>
      </c>
      <c r="L180" s="1">
        <v>1.8008007272899003</v>
      </c>
      <c r="M180" s="1">
        <v>924.38753972305915</v>
      </c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3">
      <c r="A181" s="1">
        <v>179</v>
      </c>
      <c r="C181" s="1" t="s">
        <v>43</v>
      </c>
      <c r="D181" s="1" t="s">
        <v>16</v>
      </c>
      <c r="E181" s="1">
        <v>15.7</v>
      </c>
      <c r="F181" s="1">
        <v>908</v>
      </c>
      <c r="G181" s="1">
        <v>45</v>
      </c>
      <c r="H181" s="1">
        <v>0.4472033855298444</v>
      </c>
      <c r="I181" s="1">
        <v>1.7946121514085334</v>
      </c>
      <c r="J181" s="1">
        <v>1036.1569241837058</v>
      </c>
      <c r="K181" s="1">
        <v>0.4472033855298444</v>
      </c>
      <c r="L181" s="1">
        <v>1.7946121514085334</v>
      </c>
      <c r="M181" s="1">
        <v>1036.1569241837058</v>
      </c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3">
      <c r="A182" s="1">
        <v>180</v>
      </c>
      <c r="C182" s="1" t="s">
        <v>43</v>
      </c>
      <c r="D182" s="1" t="s">
        <v>16</v>
      </c>
      <c r="E182" s="1">
        <v>15.7</v>
      </c>
      <c r="F182" s="1">
        <v>909</v>
      </c>
      <c r="G182" s="1">
        <v>0</v>
      </c>
      <c r="H182" s="1">
        <v>0.40071272942555491</v>
      </c>
      <c r="I182" s="1">
        <v>1.8121464497390727</v>
      </c>
      <c r="J182" s="1">
        <v>409.61167009962662</v>
      </c>
      <c r="K182" s="1">
        <v>0.40071272942555491</v>
      </c>
      <c r="L182" s="1">
        <v>1.8121464497390727</v>
      </c>
      <c r="M182" s="1">
        <v>409.61167009962662</v>
      </c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3">
      <c r="A183" s="1">
        <v>181</v>
      </c>
      <c r="C183" s="1" t="s">
        <v>43</v>
      </c>
      <c r="D183" s="1" t="s">
        <v>16</v>
      </c>
      <c r="E183" s="1">
        <v>15.7</v>
      </c>
      <c r="F183" s="1">
        <v>910</v>
      </c>
      <c r="G183" s="1">
        <v>15</v>
      </c>
      <c r="H183" s="1">
        <v>0.40843880547092759</v>
      </c>
      <c r="I183" s="1">
        <v>1.7946121514085334</v>
      </c>
      <c r="J183" s="1">
        <v>799.69152696187552</v>
      </c>
      <c r="K183" s="1">
        <v>0.40843880547092759</v>
      </c>
      <c r="L183" s="1">
        <v>1.7946121514085334</v>
      </c>
      <c r="M183" s="1">
        <v>799.69152696187552</v>
      </c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3">
      <c r="A184" s="1">
        <v>182</v>
      </c>
      <c r="C184" s="1" t="s">
        <v>43</v>
      </c>
      <c r="D184" s="1" t="s">
        <v>16</v>
      </c>
      <c r="E184" s="1">
        <v>15.7</v>
      </c>
      <c r="F184" s="1">
        <v>911</v>
      </c>
      <c r="G184" s="1">
        <v>30</v>
      </c>
      <c r="H184" s="1">
        <v>0.41067227410439139</v>
      </c>
      <c r="I184" s="1">
        <v>1.7966750100356557</v>
      </c>
      <c r="J184" s="1">
        <v>825.31640762660561</v>
      </c>
      <c r="K184" s="1">
        <v>0.41067227410439139</v>
      </c>
      <c r="L184" s="1">
        <v>1.7966750100356557</v>
      </c>
      <c r="M184" s="1">
        <v>825.31640762660561</v>
      </c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3">
      <c r="A185" s="1">
        <v>183</v>
      </c>
      <c r="C185" s="1" t="s">
        <v>43</v>
      </c>
      <c r="D185" s="1" t="s">
        <v>16</v>
      </c>
      <c r="E185" s="1">
        <v>15.7</v>
      </c>
      <c r="F185" s="1">
        <v>912</v>
      </c>
      <c r="G185" s="1">
        <v>45</v>
      </c>
      <c r="H185" s="1">
        <v>0.95047192713549544</v>
      </c>
      <c r="I185" s="1">
        <v>1.7956435807220947</v>
      </c>
      <c r="J185" s="1">
        <v>874.31359345541875</v>
      </c>
      <c r="K185" s="1">
        <v>0.95047192713549544</v>
      </c>
      <c r="L185" s="1">
        <v>1.7956435807220947</v>
      </c>
      <c r="M185" s="1">
        <v>874.31359345541875</v>
      </c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3">
      <c r="A186" s="1">
        <v>184</v>
      </c>
      <c r="C186" s="1" t="s">
        <v>43</v>
      </c>
      <c r="D186" s="1" t="s">
        <v>16</v>
      </c>
      <c r="E186" s="1">
        <v>15.7</v>
      </c>
      <c r="F186" s="1">
        <v>913</v>
      </c>
      <c r="G186" s="1">
        <v>0</v>
      </c>
      <c r="H186" s="1">
        <v>0.40298454086817687</v>
      </c>
      <c r="I186" s="1">
        <v>1.849277905027273</v>
      </c>
      <c r="J186" s="1">
        <v>410.3004665983994</v>
      </c>
      <c r="K186" s="1">
        <v>0.40298454086817687</v>
      </c>
      <c r="L186" s="1">
        <v>1.849277905027273</v>
      </c>
      <c r="M186" s="1">
        <v>410.3004665983994</v>
      </c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3">
      <c r="A187" s="1">
        <v>185</v>
      </c>
      <c r="C187" s="1" t="s">
        <v>43</v>
      </c>
      <c r="D187" s="1" t="s">
        <v>16</v>
      </c>
      <c r="E187" s="1">
        <v>15.7</v>
      </c>
      <c r="F187" s="1">
        <v>914</v>
      </c>
      <c r="G187" s="1">
        <v>15</v>
      </c>
      <c r="H187" s="1">
        <v>0.41872426402760854</v>
      </c>
      <c r="I187" s="1">
        <v>1.8018321566034614</v>
      </c>
      <c r="J187" s="1">
        <v>878.25193189181061</v>
      </c>
      <c r="K187" s="1">
        <v>0.41872426402760854</v>
      </c>
      <c r="L187" s="1">
        <v>1.8018321566034614</v>
      </c>
      <c r="M187" s="1">
        <v>878.25193189181061</v>
      </c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3">
      <c r="A188" s="1">
        <v>186</v>
      </c>
      <c r="C188" s="1" t="s">
        <v>43</v>
      </c>
      <c r="D188" s="1" t="s">
        <v>16</v>
      </c>
      <c r="E188" s="1">
        <v>15.7</v>
      </c>
      <c r="F188" s="1">
        <v>915</v>
      </c>
      <c r="G188" s="1">
        <v>30</v>
      </c>
      <c r="H188" s="1">
        <v>0.43419558752293291</v>
      </c>
      <c r="I188" s="1">
        <v>1.790486434154289</v>
      </c>
      <c r="J188" s="1">
        <v>1101.7017350868975</v>
      </c>
      <c r="K188" s="1">
        <v>0.43419558752293291</v>
      </c>
      <c r="L188" s="1">
        <v>1.790486434154289</v>
      </c>
      <c r="M188" s="1">
        <v>1101.7017350868975</v>
      </c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3">
      <c r="A189" s="1">
        <v>187</v>
      </c>
      <c r="C189" s="1" t="s">
        <v>43</v>
      </c>
      <c r="D189" s="1" t="s">
        <v>16</v>
      </c>
      <c r="E189" s="1">
        <v>15.7</v>
      </c>
      <c r="F189" s="1">
        <v>916</v>
      </c>
      <c r="G189" s="1">
        <v>45</v>
      </c>
      <c r="H189" s="1">
        <v>0.45953059867419832</v>
      </c>
      <c r="I189" s="1">
        <v>1.848246475713712</v>
      </c>
      <c r="J189" s="1">
        <v>1632.739071984952</v>
      </c>
      <c r="K189" s="1">
        <v>0.45953059867419832</v>
      </c>
      <c r="L189" s="1">
        <v>1.848246475713712</v>
      </c>
      <c r="M189" s="1">
        <v>1632.739071984952</v>
      </c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>
        <v>188</v>
      </c>
      <c r="C190" s="1" t="s">
        <v>43</v>
      </c>
      <c r="D190" s="1" t="s">
        <v>16</v>
      </c>
      <c r="E190" s="1">
        <v>15.7</v>
      </c>
      <c r="F190" s="1">
        <v>917</v>
      </c>
      <c r="G190" s="1">
        <v>0</v>
      </c>
      <c r="H190" s="1">
        <v>0.39938990250959777</v>
      </c>
      <c r="I190" s="1">
        <v>1.8049264445441446</v>
      </c>
      <c r="J190" s="1">
        <v>409.56397713300061</v>
      </c>
      <c r="K190" s="1">
        <v>0.39938990250959777</v>
      </c>
      <c r="L190" s="1">
        <v>1.8049264445441446</v>
      </c>
      <c r="M190" s="1">
        <v>409.56397713300061</v>
      </c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>
        <v>189</v>
      </c>
      <c r="C191" s="1" t="s">
        <v>43</v>
      </c>
      <c r="D191" s="1" t="s">
        <v>16</v>
      </c>
      <c r="E191" s="1">
        <v>15.7</v>
      </c>
      <c r="F191" s="1">
        <v>918</v>
      </c>
      <c r="G191" s="1">
        <v>15</v>
      </c>
      <c r="H191" s="1">
        <v>0.41658665241704018</v>
      </c>
      <c r="I191" s="1">
        <v>1.7946121514085334</v>
      </c>
      <c r="J191" s="1">
        <v>1265.0758266093947</v>
      </c>
      <c r="K191" s="1">
        <v>0.41658665241704018</v>
      </c>
      <c r="L191" s="1">
        <v>1.7946121514085334</v>
      </c>
      <c r="M191" s="1">
        <v>1265.0758266093947</v>
      </c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>
        <v>190</v>
      </c>
      <c r="C192" s="1" t="s">
        <v>43</v>
      </c>
      <c r="D192" s="1" t="s">
        <v>16</v>
      </c>
      <c r="E192" s="1">
        <v>15.7</v>
      </c>
      <c r="F192" s="1">
        <v>919</v>
      </c>
      <c r="G192" s="1">
        <v>30</v>
      </c>
      <c r="H192" s="1">
        <v>0.43979363766002671</v>
      </c>
      <c r="I192" s="1">
        <v>1.7935807220949722</v>
      </c>
      <c r="J192" s="1">
        <v>2398.0690246060449</v>
      </c>
      <c r="K192" s="1">
        <v>0.43979363766002671</v>
      </c>
      <c r="L192" s="1">
        <v>1.7935807220949722</v>
      </c>
      <c r="M192" s="1">
        <v>2398.0690246060449</v>
      </c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>
        <v>191</v>
      </c>
      <c r="C193" s="1" t="s">
        <v>43</v>
      </c>
      <c r="D193" s="1" t="s">
        <v>16</v>
      </c>
      <c r="E193" s="1">
        <v>15.7</v>
      </c>
      <c r="F193" s="1">
        <v>920</v>
      </c>
      <c r="G193" s="1">
        <v>45</v>
      </c>
      <c r="H193" s="1">
        <v>0.48444383892472376</v>
      </c>
      <c r="I193" s="1">
        <v>1.8008007272899003</v>
      </c>
      <c r="J193" s="1">
        <v>2587.7100174978541</v>
      </c>
      <c r="K193" s="1">
        <v>0.48444383892472376</v>
      </c>
      <c r="L193" s="1">
        <v>1.8008007272899003</v>
      </c>
      <c r="M193" s="1">
        <v>2587.7100174978541</v>
      </c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>
        <v>192</v>
      </c>
      <c r="C194" s="1" t="s">
        <v>43</v>
      </c>
      <c r="D194" s="1" t="s">
        <v>16</v>
      </c>
      <c r="E194" s="1">
        <v>15.7</v>
      </c>
      <c r="F194" s="1">
        <v>921</v>
      </c>
      <c r="G194" s="1">
        <v>0</v>
      </c>
      <c r="H194" s="1">
        <v>0.41461199774539403</v>
      </c>
      <c r="I194" s="1">
        <v>1.8224607428746837</v>
      </c>
      <c r="J194" s="1">
        <v>410.68476184871338</v>
      </c>
      <c r="K194" s="1">
        <v>0.41461199774539403</v>
      </c>
      <c r="L194" s="1">
        <v>1.8224607428746837</v>
      </c>
      <c r="M194" s="1">
        <v>410.68476184871338</v>
      </c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>
        <v>193</v>
      </c>
      <c r="C195" s="1" t="s">
        <v>43</v>
      </c>
      <c r="D195" s="1" t="s">
        <v>16</v>
      </c>
      <c r="E195" s="1">
        <v>15.7</v>
      </c>
      <c r="F195" s="1">
        <v>922</v>
      </c>
      <c r="G195" s="1">
        <v>15</v>
      </c>
      <c r="H195" s="1">
        <v>0.45055838133118492</v>
      </c>
      <c r="I195" s="1">
        <v>2.3113582375026565</v>
      </c>
      <c r="J195" s="1">
        <v>415.3522523710231</v>
      </c>
      <c r="K195" s="1">
        <v>0.45055838133118492</v>
      </c>
      <c r="L195" s="1">
        <v>2.3113582375026565</v>
      </c>
      <c r="M195" s="1">
        <v>415.3522523710231</v>
      </c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>
        <v>194</v>
      </c>
      <c r="C196" s="1" t="s">
        <v>43</v>
      </c>
      <c r="D196" s="1" t="s">
        <v>16</v>
      </c>
      <c r="E196" s="1">
        <v>15.7</v>
      </c>
      <c r="F196" s="1">
        <v>923</v>
      </c>
      <c r="G196" s="1">
        <v>30</v>
      </c>
      <c r="H196" s="1">
        <v>0.4614764962389758</v>
      </c>
      <c r="I196" s="1">
        <v>1.7801721410186779</v>
      </c>
      <c r="J196" s="1">
        <v>439.65273603944451</v>
      </c>
      <c r="K196" s="1">
        <v>0.4614764962389758</v>
      </c>
      <c r="L196" s="1">
        <v>1.7801721410186779</v>
      </c>
      <c r="M196" s="1">
        <v>439.65273603944451</v>
      </c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>
        <v>195</v>
      </c>
      <c r="C197" s="1" t="s">
        <v>43</v>
      </c>
      <c r="D197" s="1" t="s">
        <v>16</v>
      </c>
      <c r="E197" s="1">
        <v>15.7</v>
      </c>
      <c r="F197" s="1">
        <v>924</v>
      </c>
      <c r="G197" s="1">
        <v>45</v>
      </c>
      <c r="H197" s="1">
        <v>1.5373182070036828</v>
      </c>
      <c r="I197" s="1">
        <v>1.7801721410186779</v>
      </c>
      <c r="J197" s="1">
        <v>1433.0302772728655</v>
      </c>
      <c r="K197" s="1">
        <v>1.5373182070036828</v>
      </c>
      <c r="L197" s="1">
        <v>1.7801721410186779</v>
      </c>
      <c r="M197" s="1">
        <v>1433.0302772728655</v>
      </c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>
        <v>196</v>
      </c>
      <c r="C198" s="1" t="s">
        <v>43</v>
      </c>
      <c r="D198" s="1" t="s">
        <v>17</v>
      </c>
      <c r="E198" s="1">
        <v>15.7</v>
      </c>
      <c r="F198" s="1">
        <v>925</v>
      </c>
      <c r="G198" s="1">
        <v>0</v>
      </c>
      <c r="H198" s="1">
        <v>0.41515838277589806</v>
      </c>
      <c r="I198" s="1">
        <v>1.805957873857706</v>
      </c>
      <c r="J198" s="1">
        <v>429.98665574574784</v>
      </c>
      <c r="K198" s="1">
        <v>0.41515838277589806</v>
      </c>
      <c r="L198" s="1">
        <v>1.805957873857706</v>
      </c>
      <c r="M198" s="1">
        <v>429.98665574574784</v>
      </c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>
        <v>197</v>
      </c>
      <c r="C199" s="1" t="s">
        <v>43</v>
      </c>
      <c r="D199" s="1" t="s">
        <v>17</v>
      </c>
      <c r="E199" s="1">
        <v>15.7</v>
      </c>
      <c r="F199" s="1">
        <v>926</v>
      </c>
      <c r="G199" s="1">
        <v>15</v>
      </c>
      <c r="H199" s="1">
        <v>0.40434571059329222</v>
      </c>
      <c r="I199" s="1">
        <v>1.7832664289593609</v>
      </c>
      <c r="J199" s="1">
        <v>455.53265958105789</v>
      </c>
      <c r="K199" s="1">
        <v>0.40434571059329222</v>
      </c>
      <c r="L199" s="1">
        <v>1.7832664289593609</v>
      </c>
      <c r="M199" s="1">
        <v>455.53265958105789</v>
      </c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>
        <v>198</v>
      </c>
      <c r="C200" s="1" t="s">
        <v>43</v>
      </c>
      <c r="D200" s="1" t="s">
        <v>17</v>
      </c>
      <c r="E200" s="1">
        <v>15.7</v>
      </c>
      <c r="F200" s="1">
        <v>927</v>
      </c>
      <c r="G200" s="1">
        <v>30</v>
      </c>
      <c r="H200" s="1">
        <v>0.41640452407353878</v>
      </c>
      <c r="I200" s="1">
        <v>1.7812035703322389</v>
      </c>
      <c r="J200" s="1">
        <v>411.62578076714328</v>
      </c>
      <c r="K200" s="1">
        <v>0.41640452407353878</v>
      </c>
      <c r="L200" s="1">
        <v>1.7812035703322389</v>
      </c>
      <c r="M200" s="1">
        <v>411.62578076714328</v>
      </c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>
        <v>199</v>
      </c>
      <c r="C201" s="1" t="s">
        <v>43</v>
      </c>
      <c r="D201" s="1" t="s">
        <v>17</v>
      </c>
      <c r="E201" s="1">
        <v>15.7</v>
      </c>
      <c r="F201" s="1">
        <v>928</v>
      </c>
      <c r="G201" s="1">
        <v>45</v>
      </c>
      <c r="H201" s="1">
        <v>0.40563978040238069</v>
      </c>
      <c r="I201" s="1">
        <v>1.7884235755271667</v>
      </c>
      <c r="J201" s="1">
        <v>457.14413154955821</v>
      </c>
      <c r="K201" s="1">
        <v>0.40563978040238069</v>
      </c>
      <c r="L201" s="1">
        <v>1.7884235755271667</v>
      </c>
      <c r="M201" s="1">
        <v>457.14413154955821</v>
      </c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>
        <v>200</v>
      </c>
      <c r="C202" s="1" t="s">
        <v>43</v>
      </c>
      <c r="D202" s="1" t="s">
        <v>17</v>
      </c>
      <c r="E202" s="1">
        <v>15.7</v>
      </c>
      <c r="F202" s="1">
        <v>929</v>
      </c>
      <c r="G202" s="1">
        <v>0</v>
      </c>
      <c r="H202" s="1">
        <v>0.40411565373834313</v>
      </c>
      <c r="I202" s="1">
        <v>1.7873921462136055</v>
      </c>
      <c r="J202" s="1">
        <v>431.59445902450773</v>
      </c>
      <c r="K202" s="1">
        <v>0.40411565373834313</v>
      </c>
      <c r="L202" s="1">
        <v>1.7873921462136055</v>
      </c>
      <c r="M202" s="1">
        <v>431.59445902450773</v>
      </c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>
        <v>201</v>
      </c>
      <c r="C203" s="1" t="s">
        <v>43</v>
      </c>
      <c r="D203" s="1" t="s">
        <v>17</v>
      </c>
      <c r="E203" s="1">
        <v>15.7</v>
      </c>
      <c r="F203" s="1">
        <v>930</v>
      </c>
      <c r="G203" s="1">
        <v>15</v>
      </c>
      <c r="H203" s="1">
        <v>0.40181508518885251</v>
      </c>
      <c r="I203" s="1">
        <v>1.7946121514085334</v>
      </c>
      <c r="J203" s="1">
        <v>432.66663360115933</v>
      </c>
      <c r="K203" s="1">
        <v>0.40181508518885251</v>
      </c>
      <c r="L203" s="1">
        <v>1.7946121514085334</v>
      </c>
      <c r="M203" s="1">
        <v>432.66663360115933</v>
      </c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>
        <v>202</v>
      </c>
      <c r="C204" s="1" t="s">
        <v>43</v>
      </c>
      <c r="D204" s="1" t="s">
        <v>17</v>
      </c>
      <c r="E204" s="1">
        <v>15.7</v>
      </c>
      <c r="F204" s="1">
        <v>931</v>
      </c>
      <c r="G204" s="1">
        <v>30</v>
      </c>
      <c r="H204" s="1">
        <v>0.40682840748628413</v>
      </c>
      <c r="I204" s="1">
        <v>1.7966750100356557</v>
      </c>
      <c r="J204" s="1">
        <v>415.47423630489368</v>
      </c>
      <c r="K204" s="1">
        <v>0.40682840748628413</v>
      </c>
      <c r="L204" s="1">
        <v>1.7966750100356557</v>
      </c>
      <c r="M204" s="1">
        <v>415.47423630489368</v>
      </c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>
        <v>203</v>
      </c>
      <c r="C205" s="1" t="s">
        <v>43</v>
      </c>
      <c r="D205" s="1" t="s">
        <v>17</v>
      </c>
      <c r="E205" s="1">
        <v>15.7</v>
      </c>
      <c r="F205" s="1">
        <v>932</v>
      </c>
      <c r="G205" s="1">
        <v>45</v>
      </c>
      <c r="H205" s="1">
        <v>0.43758892613343153</v>
      </c>
      <c r="I205" s="1">
        <v>1.9018808000188903</v>
      </c>
      <c r="J205" s="1">
        <v>1228.5998788647969</v>
      </c>
      <c r="K205" s="1">
        <v>0.43758892613343153</v>
      </c>
      <c r="L205" s="1">
        <v>1.9018808000188903</v>
      </c>
      <c r="M205" s="1">
        <v>1228.5998788647969</v>
      </c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>
        <v>204</v>
      </c>
      <c r="C206" s="1" t="s">
        <v>43</v>
      </c>
      <c r="E206" s="1">
        <v>15.7</v>
      </c>
      <c r="F206" s="1" t="s">
        <v>50</v>
      </c>
      <c r="H206" s="1">
        <v>0.38159096497003359</v>
      </c>
      <c r="I206" s="1">
        <v>1.8057916951265454</v>
      </c>
      <c r="J206" s="1">
        <v>411.94617965385436</v>
      </c>
      <c r="K206" s="1">
        <v>0.38159096497003359</v>
      </c>
      <c r="L206" s="1">
        <v>1.8057916951265454</v>
      </c>
      <c r="M206" s="1">
        <v>411.94617965385436</v>
      </c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>
        <v>205</v>
      </c>
      <c r="B207" s="1" t="s">
        <v>62</v>
      </c>
      <c r="C207" s="1" t="s">
        <v>63</v>
      </c>
      <c r="D207" s="1" t="s">
        <v>17</v>
      </c>
      <c r="E207" s="1">
        <v>21.2</v>
      </c>
      <c r="F207" s="1">
        <v>101</v>
      </c>
      <c r="G207" s="1">
        <v>0</v>
      </c>
      <c r="H207" s="1">
        <v>0.39278107983801108</v>
      </c>
      <c r="I207" s="1">
        <v>1.9423985016065151</v>
      </c>
      <c r="J207" s="1">
        <v>450.95672392842488</v>
      </c>
      <c r="K207" s="1">
        <v>0.39278107983801108</v>
      </c>
      <c r="L207" s="1">
        <v>1.9423985016065151</v>
      </c>
      <c r="M207" s="1">
        <v>450.95672392842488</v>
      </c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>
        <v>206</v>
      </c>
      <c r="B208" s="1" t="s">
        <v>64</v>
      </c>
      <c r="C208" s="1" t="s">
        <v>63</v>
      </c>
      <c r="D208" s="1" t="s">
        <v>17</v>
      </c>
      <c r="E208" s="1">
        <v>21.2</v>
      </c>
      <c r="F208" s="1">
        <v>102</v>
      </c>
      <c r="G208" s="1">
        <v>15</v>
      </c>
      <c r="H208" s="1">
        <v>0.4109555010946751</v>
      </c>
      <c r="I208" s="1">
        <v>1.9379560038348087</v>
      </c>
      <c r="J208" s="1">
        <v>681.78245466747876</v>
      </c>
      <c r="K208" s="1">
        <v>0.4109555010946751</v>
      </c>
      <c r="L208" s="1">
        <v>1.9379560038348087</v>
      </c>
      <c r="M208" s="1">
        <v>681.78245466747876</v>
      </c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>
        <v>207</v>
      </c>
      <c r="C209" s="1" t="s">
        <v>63</v>
      </c>
      <c r="D209" s="1" t="s">
        <v>17</v>
      </c>
      <c r="E209" s="1">
        <v>21.2</v>
      </c>
      <c r="F209" s="1">
        <v>103</v>
      </c>
      <c r="G209" s="1">
        <v>30</v>
      </c>
      <c r="H209" s="1">
        <v>0.42987212384768464</v>
      </c>
      <c r="I209" s="1">
        <v>1.9090797683187175</v>
      </c>
      <c r="J209" s="1">
        <v>871.17474406452391</v>
      </c>
      <c r="K209" s="1">
        <v>0.42987212384768464</v>
      </c>
      <c r="L209" s="1">
        <v>1.9090797683187175</v>
      </c>
      <c r="M209" s="1">
        <v>871.17474406452391</v>
      </c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>
        <v>208</v>
      </c>
      <c r="C210" s="1" t="s">
        <v>63</v>
      </c>
      <c r="D210" s="1" t="s">
        <v>17</v>
      </c>
      <c r="E210" s="1">
        <v>21.2</v>
      </c>
      <c r="F210" s="1">
        <v>104</v>
      </c>
      <c r="G210" s="1">
        <v>45</v>
      </c>
      <c r="H210" s="1">
        <v>0.44576284819251649</v>
      </c>
      <c r="I210" s="1">
        <v>1.8879779039031124</v>
      </c>
      <c r="J210" s="1">
        <v>1049.9697360443442</v>
      </c>
      <c r="K210" s="1">
        <v>0.44576284819251649</v>
      </c>
      <c r="L210" s="1">
        <v>1.8879779039031124</v>
      </c>
      <c r="M210" s="1">
        <v>1049.9697360443442</v>
      </c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>
        <v>209</v>
      </c>
      <c r="C211" s="1" t="s">
        <v>63</v>
      </c>
      <c r="D211" s="1" t="s">
        <v>16</v>
      </c>
      <c r="E211" s="1">
        <v>21.2</v>
      </c>
      <c r="F211" s="1">
        <v>105</v>
      </c>
      <c r="G211" s="1">
        <v>0</v>
      </c>
      <c r="H211" s="1">
        <v>0.42185063844487425</v>
      </c>
      <c r="I211" s="1">
        <v>1.9312922571772493</v>
      </c>
      <c r="J211" s="1">
        <v>822.14135215245153</v>
      </c>
      <c r="K211" s="1">
        <v>0.42185063844487425</v>
      </c>
      <c r="L211" s="1">
        <v>1.9312922571772493</v>
      </c>
      <c r="M211" s="1">
        <v>822.14135215245153</v>
      </c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>
        <v>210</v>
      </c>
      <c r="C212" s="1" t="s">
        <v>63</v>
      </c>
      <c r="D212" s="1" t="s">
        <v>16</v>
      </c>
      <c r="E212" s="1">
        <v>21.2</v>
      </c>
      <c r="F212" s="1">
        <v>106</v>
      </c>
      <c r="G212" s="1">
        <v>15</v>
      </c>
      <c r="H212" s="1">
        <v>0.42748375749406015</v>
      </c>
      <c r="I212" s="1">
        <v>1.9257391349626163</v>
      </c>
      <c r="J212" s="1">
        <v>918.15352726967751</v>
      </c>
      <c r="K212" s="1">
        <v>0.42748375749406015</v>
      </c>
      <c r="L212" s="1">
        <v>1.9257391349626163</v>
      </c>
      <c r="M212" s="1">
        <v>918.15352726967751</v>
      </c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>
        <v>211</v>
      </c>
      <c r="C213" s="1" t="s">
        <v>63</v>
      </c>
      <c r="D213" s="1" t="s">
        <v>16</v>
      </c>
      <c r="E213" s="1">
        <v>21.2</v>
      </c>
      <c r="F213" s="1">
        <v>107</v>
      </c>
      <c r="G213" s="1">
        <v>30</v>
      </c>
      <c r="H213" s="1">
        <v>0.43975862839515784</v>
      </c>
      <c r="I213" s="1">
        <v>1.9046372705470112</v>
      </c>
      <c r="J213" s="1">
        <v>934.10501688466934</v>
      </c>
      <c r="K213" s="1">
        <v>0.43975862839515784</v>
      </c>
      <c r="L213" s="1">
        <v>1.9046372705470112</v>
      </c>
      <c r="M213" s="1">
        <v>934.10501688466934</v>
      </c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>
        <v>212</v>
      </c>
      <c r="C214" s="1" t="s">
        <v>63</v>
      </c>
      <c r="D214" s="1" t="s">
        <v>16</v>
      </c>
      <c r="E214" s="1">
        <v>21.2</v>
      </c>
      <c r="F214" s="1">
        <v>108</v>
      </c>
      <c r="G214" s="1">
        <v>45</v>
      </c>
      <c r="H214" s="1">
        <v>0.49362532930299824</v>
      </c>
      <c r="I214" s="1">
        <v>1.9712747371226063</v>
      </c>
      <c r="J214" s="1">
        <v>1223.9579644492346</v>
      </c>
      <c r="K214" s="1">
        <v>0.49362532930299824</v>
      </c>
      <c r="L214" s="1">
        <v>1.9712747371226063</v>
      </c>
      <c r="M214" s="1">
        <v>1223.9579644492346</v>
      </c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>
        <v>213</v>
      </c>
      <c r="C215" s="1" t="s">
        <v>63</v>
      </c>
      <c r="D215" s="1" t="s">
        <v>16</v>
      </c>
      <c r="E215" s="1">
        <v>21.2</v>
      </c>
      <c r="F215" s="1">
        <v>109</v>
      </c>
      <c r="G215" s="1">
        <v>0</v>
      </c>
      <c r="H215" s="1">
        <v>0.56815948726291932</v>
      </c>
      <c r="I215" s="1">
        <v>1.9301816327343229</v>
      </c>
      <c r="J215" s="1">
        <v>611.29026105362743</v>
      </c>
      <c r="K215" s="1">
        <v>0.56815948726291932</v>
      </c>
      <c r="L215" s="1">
        <v>1.9301816327343229</v>
      </c>
      <c r="M215" s="1">
        <v>611.29026105362743</v>
      </c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>
        <v>214</v>
      </c>
      <c r="C216" s="1" t="s">
        <v>63</v>
      </c>
      <c r="D216" s="1" t="s">
        <v>16</v>
      </c>
      <c r="E216" s="1">
        <v>21.2</v>
      </c>
      <c r="F216" s="1">
        <v>110</v>
      </c>
      <c r="G216" s="1">
        <v>15</v>
      </c>
      <c r="H216" s="1">
        <v>0.7833503441841011</v>
      </c>
      <c r="I216" s="1">
        <v>1.9257391349626163</v>
      </c>
      <c r="J216" s="1">
        <v>826.94111024226277</v>
      </c>
      <c r="K216" s="1">
        <v>0.7833503441841011</v>
      </c>
      <c r="L216" s="1">
        <v>1.9257391349626163</v>
      </c>
      <c r="M216" s="1">
        <v>826.94111024226277</v>
      </c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>
        <v>215</v>
      </c>
      <c r="C217" s="1" t="s">
        <v>63</v>
      </c>
      <c r="D217" s="1" t="s">
        <v>16</v>
      </c>
      <c r="E217" s="1">
        <v>21.2</v>
      </c>
      <c r="F217" s="1">
        <v>111</v>
      </c>
      <c r="G217" s="1">
        <v>30</v>
      </c>
      <c r="H217" s="1">
        <v>0.91046662353895702</v>
      </c>
      <c r="I217" s="1">
        <v>1.8979735238894517</v>
      </c>
      <c r="J217" s="1">
        <v>957.22612012672676</v>
      </c>
      <c r="K217" s="1">
        <v>0.91046662353895702</v>
      </c>
      <c r="L217" s="1">
        <v>1.8979735238894517</v>
      </c>
      <c r="M217" s="1">
        <v>957.22612012672676</v>
      </c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>
        <v>216</v>
      </c>
      <c r="C218" s="1" t="s">
        <v>63</v>
      </c>
      <c r="D218" s="1" t="s">
        <v>16</v>
      </c>
      <c r="E218" s="1">
        <v>21.2</v>
      </c>
      <c r="F218" s="1">
        <v>112</v>
      </c>
      <c r="G218" s="1">
        <v>45</v>
      </c>
      <c r="H218" s="1">
        <v>1.1468197385097834</v>
      </c>
      <c r="I218" s="1">
        <v>1.9068585194328644</v>
      </c>
      <c r="J218" s="1">
        <v>1190.4437236419792</v>
      </c>
      <c r="K218" s="1">
        <v>1.1468197385097834</v>
      </c>
      <c r="L218" s="1">
        <v>1.9068585194328644</v>
      </c>
      <c r="M218" s="1">
        <v>1190.4437236419792</v>
      </c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>
        <v>217</v>
      </c>
      <c r="C219" s="1" t="s">
        <v>63</v>
      </c>
      <c r="D219" s="1" t="s">
        <v>16</v>
      </c>
      <c r="E219" s="1">
        <v>21.2</v>
      </c>
      <c r="F219" s="1">
        <v>113</v>
      </c>
      <c r="G219" s="1">
        <v>0</v>
      </c>
      <c r="H219" s="1">
        <v>0.42831159762459925</v>
      </c>
      <c r="I219" s="1">
        <v>1.9301816327343229</v>
      </c>
      <c r="J219" s="1">
        <v>632.27669290169672</v>
      </c>
      <c r="K219" s="1">
        <v>0.42831159762459925</v>
      </c>
      <c r="L219" s="1">
        <v>1.9301816327343229</v>
      </c>
      <c r="M219" s="1">
        <v>632.27669290169672</v>
      </c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>
        <v>218</v>
      </c>
      <c r="C220" s="1" t="s">
        <v>63</v>
      </c>
      <c r="D220" s="1" t="s">
        <v>16</v>
      </c>
      <c r="E220" s="1">
        <v>21.2</v>
      </c>
      <c r="F220" s="1">
        <v>114</v>
      </c>
      <c r="G220" s="1">
        <v>15</v>
      </c>
      <c r="H220" s="1">
        <v>0.47525108456654885</v>
      </c>
      <c r="I220" s="1">
        <v>1.9290710082913962</v>
      </c>
      <c r="J220" s="1">
        <v>897.31421060909815</v>
      </c>
      <c r="K220" s="1">
        <v>0.47525108456654885</v>
      </c>
      <c r="L220" s="1">
        <v>1.9290710082913962</v>
      </c>
      <c r="M220" s="1">
        <v>897.31421060909815</v>
      </c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>
        <v>219</v>
      </c>
      <c r="C221" s="1" t="s">
        <v>63</v>
      </c>
      <c r="D221" s="1" t="s">
        <v>16</v>
      </c>
      <c r="E221" s="1">
        <v>21.2</v>
      </c>
      <c r="F221" s="1">
        <v>115</v>
      </c>
      <c r="G221" s="1">
        <v>30</v>
      </c>
      <c r="H221" s="1">
        <v>0.52872765391861787</v>
      </c>
      <c r="I221" s="1">
        <v>1.9257391349626163</v>
      </c>
      <c r="J221" s="1">
        <v>1188.2810303075169</v>
      </c>
      <c r="K221" s="1">
        <v>0.52872765391861787</v>
      </c>
      <c r="L221" s="1">
        <v>1.9257391349626163</v>
      </c>
      <c r="M221" s="1">
        <v>1188.2810303075169</v>
      </c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>
        <v>220</v>
      </c>
      <c r="C222" s="1" t="s">
        <v>63</v>
      </c>
      <c r="D222" s="1" t="s">
        <v>16</v>
      </c>
      <c r="E222" s="1">
        <v>21.2</v>
      </c>
      <c r="F222" s="1">
        <v>116</v>
      </c>
      <c r="G222" s="1">
        <v>45</v>
      </c>
      <c r="H222" s="1">
        <v>0.56236460634914531</v>
      </c>
      <c r="I222" s="1">
        <v>1.9068585194328644</v>
      </c>
      <c r="J222" s="1">
        <v>1459.2171664847574</v>
      </c>
      <c r="K222" s="1">
        <v>0.56236460634914531</v>
      </c>
      <c r="L222" s="1">
        <v>1.9068585194328644</v>
      </c>
      <c r="M222" s="1">
        <v>1459.2171664847574</v>
      </c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>
        <v>221</v>
      </c>
      <c r="C223" s="1" t="s">
        <v>63</v>
      </c>
      <c r="D223" s="1" t="s">
        <v>16</v>
      </c>
      <c r="E223" s="1">
        <v>21.2</v>
      </c>
      <c r="F223" s="1">
        <v>117</v>
      </c>
      <c r="G223" s="1">
        <v>0</v>
      </c>
      <c r="H223" s="1">
        <v>0.39098266851994323</v>
      </c>
      <c r="I223" s="1">
        <v>1.9324028816201757</v>
      </c>
      <c r="J223" s="1">
        <v>412.17135596123711</v>
      </c>
      <c r="K223" s="1">
        <v>0.39098266851994323</v>
      </c>
      <c r="L223" s="1">
        <v>1.9324028816201757</v>
      </c>
      <c r="M223" s="1">
        <v>412.17135596123711</v>
      </c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>
        <v>222</v>
      </c>
      <c r="C224" s="1" t="s">
        <v>63</v>
      </c>
      <c r="D224" s="1" t="s">
        <v>16</v>
      </c>
      <c r="E224" s="1">
        <v>21.2</v>
      </c>
      <c r="F224" s="1">
        <v>118</v>
      </c>
      <c r="G224" s="1">
        <v>15</v>
      </c>
      <c r="H224" s="1">
        <v>0.41455232373081075</v>
      </c>
      <c r="I224" s="1">
        <v>1.9246285105196899</v>
      </c>
      <c r="J224" s="1">
        <v>529.17096371012087</v>
      </c>
      <c r="K224" s="1">
        <v>0.41455232373081075</v>
      </c>
      <c r="L224" s="1">
        <v>1.9246285105196899</v>
      </c>
      <c r="M224" s="1">
        <v>529.17096371012087</v>
      </c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>
        <v>223</v>
      </c>
      <c r="C225" s="1" t="s">
        <v>63</v>
      </c>
      <c r="D225" s="1" t="s">
        <v>16</v>
      </c>
      <c r="E225" s="1">
        <v>21.2</v>
      </c>
      <c r="F225" s="1">
        <v>119</v>
      </c>
      <c r="G225" s="1">
        <v>30</v>
      </c>
      <c r="H225" s="1">
        <v>0.41711196735282258</v>
      </c>
      <c r="I225" s="1">
        <v>1.9157435149762769</v>
      </c>
      <c r="J225" s="1">
        <v>577.52382278210337</v>
      </c>
      <c r="K225" s="1">
        <v>0.41711196735282258</v>
      </c>
      <c r="L225" s="1">
        <v>1.9157435149762769</v>
      </c>
      <c r="M225" s="1">
        <v>577.52382278210337</v>
      </c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>
        <v>224</v>
      </c>
      <c r="C226" s="1" t="s">
        <v>63</v>
      </c>
      <c r="D226" s="1" t="s">
        <v>16</v>
      </c>
      <c r="E226" s="1">
        <v>21.2</v>
      </c>
      <c r="F226" s="1">
        <v>120</v>
      </c>
      <c r="G226" s="1">
        <v>45</v>
      </c>
      <c r="H226" s="1">
        <v>0.42924410719693074</v>
      </c>
      <c r="I226" s="1">
        <v>1.9446197504923686</v>
      </c>
      <c r="J226" s="1">
        <v>620.64658682127651</v>
      </c>
      <c r="K226" s="1">
        <v>0.42924410719693074</v>
      </c>
      <c r="L226" s="1">
        <v>1.9446197504923686</v>
      </c>
      <c r="M226" s="1">
        <v>620.64658682127651</v>
      </c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>
        <v>225</v>
      </c>
      <c r="C227" s="1" t="s">
        <v>63</v>
      </c>
      <c r="D227" s="1" t="s">
        <v>16</v>
      </c>
      <c r="E227" s="1">
        <v>21.2</v>
      </c>
      <c r="F227" s="1">
        <v>121</v>
      </c>
      <c r="G227" s="1">
        <v>0</v>
      </c>
      <c r="H227" s="1">
        <v>0.48436684140627878</v>
      </c>
      <c r="I227" s="1">
        <v>1.9423985016065151</v>
      </c>
      <c r="J227" s="1">
        <v>820.45002788811018</v>
      </c>
      <c r="K227" s="1">
        <v>0.48436684140627878</v>
      </c>
      <c r="L227" s="1">
        <v>1.9423985016065151</v>
      </c>
      <c r="M227" s="1">
        <v>820.45002788811018</v>
      </c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>
        <v>226</v>
      </c>
      <c r="C228" s="1" t="s">
        <v>63</v>
      </c>
      <c r="D228" s="1" t="s">
        <v>16</v>
      </c>
      <c r="E228" s="1">
        <v>21.2</v>
      </c>
      <c r="F228" s="1">
        <v>122</v>
      </c>
      <c r="G228" s="1">
        <v>15</v>
      </c>
      <c r="H228" s="1">
        <v>1.087985996818708</v>
      </c>
      <c r="I228" s="1">
        <v>1.9101903927616442</v>
      </c>
      <c r="J228" s="1">
        <v>835.00242204656399</v>
      </c>
      <c r="K228" s="1">
        <v>1.087985996818708</v>
      </c>
      <c r="L228" s="1">
        <v>1.9101903927616442</v>
      </c>
      <c r="M228" s="1">
        <v>835.00242204656399</v>
      </c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>
        <v>227</v>
      </c>
      <c r="C229" s="1" t="s">
        <v>63</v>
      </c>
      <c r="D229" s="1" t="s">
        <v>16</v>
      </c>
      <c r="E229" s="1">
        <v>21.2</v>
      </c>
      <c r="F229" s="1">
        <v>123</v>
      </c>
      <c r="G229" s="1">
        <v>30</v>
      </c>
      <c r="H229" s="1">
        <v>1.3968179425288063</v>
      </c>
      <c r="I229" s="1">
        <v>1.9379560038348087</v>
      </c>
      <c r="J229" s="1">
        <v>1025.0802482016411</v>
      </c>
      <c r="K229" s="1">
        <v>1.3968179425288063</v>
      </c>
      <c r="L229" s="1">
        <v>1.9379560038348087</v>
      </c>
      <c r="M229" s="1">
        <v>1025.0802482016411</v>
      </c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>
        <v>228</v>
      </c>
      <c r="C230" s="1" t="s">
        <v>63</v>
      </c>
      <c r="D230" s="1" t="s">
        <v>16</v>
      </c>
      <c r="E230" s="1">
        <v>21.2</v>
      </c>
      <c r="F230" s="1">
        <v>124</v>
      </c>
      <c r="G230" s="1">
        <v>45</v>
      </c>
      <c r="H230" s="1">
        <v>1.4315396509924541</v>
      </c>
      <c r="I230" s="1">
        <v>1.9268497594055429</v>
      </c>
      <c r="J230" s="1">
        <v>1126.6557792866029</v>
      </c>
      <c r="K230" s="1">
        <v>1.4315396509924541</v>
      </c>
      <c r="L230" s="1">
        <v>1.9268497594055429</v>
      </c>
      <c r="M230" s="1">
        <v>1126.6557792866029</v>
      </c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>
        <v>229</v>
      </c>
      <c r="C231" s="1" t="s">
        <v>63</v>
      </c>
      <c r="D231" s="1" t="s">
        <v>16</v>
      </c>
      <c r="E231" s="1">
        <v>21.2</v>
      </c>
      <c r="F231" s="1">
        <v>125</v>
      </c>
      <c r="G231" s="1">
        <v>0</v>
      </c>
      <c r="H231" s="1">
        <v>0.43327863840783415</v>
      </c>
      <c r="I231" s="1">
        <v>1.9368453793918823</v>
      </c>
      <c r="J231" s="1">
        <v>433.53408243853266</v>
      </c>
      <c r="K231" s="1">
        <v>0.43327863840783415</v>
      </c>
      <c r="L231" s="1">
        <v>1.9368453793918823</v>
      </c>
      <c r="M231" s="1">
        <v>433.53408243853266</v>
      </c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>
        <v>230</v>
      </c>
      <c r="C232" s="1" t="s">
        <v>63</v>
      </c>
      <c r="D232" s="1" t="s">
        <v>16</v>
      </c>
      <c r="E232" s="1">
        <v>21.2</v>
      </c>
      <c r="F232" s="1">
        <v>126</v>
      </c>
      <c r="G232" s="1">
        <v>15</v>
      </c>
      <c r="H232" s="1">
        <v>0.78060990788990259</v>
      </c>
      <c r="I232" s="1">
        <v>1.9224072616338368</v>
      </c>
      <c r="J232" s="1">
        <v>1338.6167393849264</v>
      </c>
      <c r="K232" s="1">
        <v>0.78060990788990259</v>
      </c>
      <c r="L232" s="1">
        <v>1.9224072616338368</v>
      </c>
      <c r="M232" s="1">
        <v>1338.6167393849264</v>
      </c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>
        <v>231</v>
      </c>
      <c r="C233" s="1" t="s">
        <v>63</v>
      </c>
      <c r="D233" s="1" t="s">
        <v>16</v>
      </c>
      <c r="E233" s="1">
        <v>21.2</v>
      </c>
      <c r="F233" s="1">
        <v>127</v>
      </c>
      <c r="G233" s="1">
        <v>30</v>
      </c>
      <c r="H233" s="1">
        <v>1.0589640152308413</v>
      </c>
      <c r="I233" s="1">
        <v>1.9046372705470112</v>
      </c>
      <c r="J233" s="1">
        <v>1126.5637071964729</v>
      </c>
      <c r="K233" s="1">
        <v>1.0589640152308413</v>
      </c>
      <c r="L233" s="1">
        <v>1.9046372705470112</v>
      </c>
      <c r="M233" s="1">
        <v>1126.5637071964729</v>
      </c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>
        <v>232</v>
      </c>
      <c r="C234" s="1" t="s">
        <v>63</v>
      </c>
      <c r="D234" s="1" t="s">
        <v>16</v>
      </c>
      <c r="E234" s="1">
        <v>21.2</v>
      </c>
      <c r="F234" s="1">
        <v>128</v>
      </c>
      <c r="G234" s="1">
        <v>45</v>
      </c>
      <c r="H234" s="1">
        <v>1.3000653166975185</v>
      </c>
      <c r="I234" s="1">
        <v>2.0456865747986877</v>
      </c>
      <c r="J234" s="1">
        <v>2135.4186152042953</v>
      </c>
      <c r="K234" s="1">
        <v>1.3000653166975185</v>
      </c>
      <c r="L234" s="1">
        <v>2.0456865747986877</v>
      </c>
      <c r="M234" s="1">
        <v>2135.4186152042953</v>
      </c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>
        <v>233</v>
      </c>
      <c r="C235" s="1" t="s">
        <v>63</v>
      </c>
      <c r="D235" s="1" t="s">
        <v>17</v>
      </c>
      <c r="E235" s="1">
        <v>21.2</v>
      </c>
      <c r="F235" s="1">
        <v>129</v>
      </c>
      <c r="G235" s="1">
        <v>0</v>
      </c>
      <c r="H235" s="1">
        <v>53.163573901305327</v>
      </c>
      <c r="I235" s="1">
        <v>1.9501728727070013</v>
      </c>
      <c r="J235" s="1">
        <v>1224.1721321371454</v>
      </c>
      <c r="K235" s="1">
        <v>53.163573901305327</v>
      </c>
      <c r="L235" s="1">
        <v>1.9501728727070013</v>
      </c>
      <c r="M235" s="1">
        <v>1224.1721321371454</v>
      </c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>
        <v>234</v>
      </c>
      <c r="C236" s="1" t="s">
        <v>63</v>
      </c>
      <c r="D236" s="1" t="s">
        <v>17</v>
      </c>
      <c r="E236" s="1">
        <v>21.2</v>
      </c>
      <c r="F236" s="1">
        <v>130</v>
      </c>
      <c r="G236" s="1">
        <v>15</v>
      </c>
      <c r="H236" s="1">
        <v>43.455540267491756</v>
      </c>
      <c r="I236" s="1">
        <v>1.9101903927616442</v>
      </c>
      <c r="J236" s="1">
        <v>1397.9652077423043</v>
      </c>
      <c r="K236" s="1">
        <v>43.455540267491756</v>
      </c>
      <c r="L236" s="1">
        <v>1.9101903927616442</v>
      </c>
      <c r="M236" s="1">
        <v>1397.9652077423043</v>
      </c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>
        <v>235</v>
      </c>
      <c r="C237" s="1" t="s">
        <v>63</v>
      </c>
      <c r="D237" s="1" t="s">
        <v>17</v>
      </c>
      <c r="E237" s="1">
        <v>21.2</v>
      </c>
      <c r="F237" s="1">
        <v>131</v>
      </c>
      <c r="G237" s="1">
        <v>30</v>
      </c>
      <c r="H237" s="1">
        <v>1.1273321915288157</v>
      </c>
      <c r="I237" s="1">
        <v>1.8835354061314062</v>
      </c>
      <c r="J237" s="1">
        <v>1127.633544852438</v>
      </c>
      <c r="K237" s="1">
        <v>1.1273321915288157</v>
      </c>
      <c r="L237" s="1">
        <v>1.8835354061314062</v>
      </c>
      <c r="M237" s="1">
        <v>1127.633544852438</v>
      </c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>
        <v>236</v>
      </c>
      <c r="C238" s="1" t="s">
        <v>63</v>
      </c>
      <c r="D238" s="1" t="s">
        <v>17</v>
      </c>
      <c r="E238" s="1">
        <v>21.2</v>
      </c>
      <c r="F238" s="1">
        <v>132</v>
      </c>
      <c r="G238" s="1">
        <v>45</v>
      </c>
      <c r="H238" s="1">
        <v>0.73606830270537671</v>
      </c>
      <c r="I238" s="1">
        <v>1.9068585194328644</v>
      </c>
      <c r="J238" s="1">
        <v>1351.9691940209277</v>
      </c>
      <c r="K238" s="1">
        <v>0.73606830270537671</v>
      </c>
      <c r="L238" s="1">
        <v>1.9068585194328644</v>
      </c>
      <c r="M238" s="1">
        <v>1351.9691940209277</v>
      </c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>
        <v>237</v>
      </c>
      <c r="C239" s="1" t="s">
        <v>63</v>
      </c>
      <c r="E239" s="1">
        <v>21.2</v>
      </c>
      <c r="F239" s="1" t="s">
        <v>65</v>
      </c>
      <c r="H239" s="1">
        <v>0.38864187918531534</v>
      </c>
      <c r="I239" s="1">
        <v>1.9757172348943126</v>
      </c>
      <c r="J239" s="1">
        <v>414.16091373491201</v>
      </c>
      <c r="K239" s="1">
        <v>0.38864187918531534</v>
      </c>
      <c r="L239" s="1">
        <v>1.9757172348943126</v>
      </c>
      <c r="M239" s="1">
        <v>414.16091373491201</v>
      </c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>
        <v>238</v>
      </c>
      <c r="C240" s="1" t="s">
        <v>63</v>
      </c>
      <c r="E240" s="1">
        <v>21.2</v>
      </c>
      <c r="F240" s="1" t="s">
        <v>66</v>
      </c>
      <c r="H240" s="1">
        <v>0.38610126637090214</v>
      </c>
      <c r="I240" s="1">
        <v>1.9212966371909099</v>
      </c>
      <c r="J240" s="1">
        <v>483.1078974883236</v>
      </c>
      <c r="K240" s="1">
        <v>0.38610126637090214</v>
      </c>
      <c r="L240" s="1">
        <v>1.9212966371909099</v>
      </c>
      <c r="M240" s="1">
        <v>483.1078974883236</v>
      </c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>
        <v>239</v>
      </c>
      <c r="C241" s="1" t="s">
        <v>63</v>
      </c>
      <c r="E241" s="1">
        <v>21.2</v>
      </c>
      <c r="F241" s="1" t="s">
        <v>67</v>
      </c>
      <c r="H241" s="1">
        <v>0.38781403905477624</v>
      </c>
      <c r="I241" s="1">
        <v>1.945730374935295</v>
      </c>
      <c r="J241" s="1">
        <v>414.71334627569092</v>
      </c>
      <c r="K241" s="1">
        <v>0.38781403905477624</v>
      </c>
      <c r="L241" s="1">
        <v>1.945730374935295</v>
      </c>
      <c r="M241" s="1">
        <v>414.71334627569092</v>
      </c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>
        <v>240</v>
      </c>
      <c r="B242" s="1" t="s">
        <v>68</v>
      </c>
      <c r="C242" s="1" t="s">
        <v>63</v>
      </c>
      <c r="D242" s="1" t="s">
        <v>17</v>
      </c>
      <c r="E242" s="1">
        <v>22.5</v>
      </c>
      <c r="F242" s="1">
        <v>601</v>
      </c>
      <c r="G242" s="1">
        <v>0</v>
      </c>
      <c r="H242" s="1">
        <v>0.39425596742690266</v>
      </c>
      <c r="I242" s="1">
        <v>1.8913097772318923</v>
      </c>
      <c r="J242" s="5">
        <v>461.15170634312608</v>
      </c>
      <c r="K242" s="1">
        <v>0.39425596742690266</v>
      </c>
      <c r="L242" s="1">
        <v>1.8913097772318923</v>
      </c>
      <c r="M242" s="5">
        <v>461.15170634312608</v>
      </c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>
        <v>241</v>
      </c>
      <c r="B243" s="1" t="s">
        <v>69</v>
      </c>
      <c r="C243" s="1" t="s">
        <v>63</v>
      </c>
      <c r="D243" s="1" t="s">
        <v>17</v>
      </c>
      <c r="E243" s="1">
        <v>22.5</v>
      </c>
      <c r="F243" s="1">
        <v>602</v>
      </c>
      <c r="G243" s="1">
        <v>15</v>
      </c>
      <c r="H243" s="1">
        <v>0.47648808706045792</v>
      </c>
      <c r="I243" s="1">
        <v>1.8724291617021405</v>
      </c>
      <c r="J243" s="1">
        <v>1372.9866501602362</v>
      </c>
      <c r="K243" s="1">
        <v>0.47648808706045792</v>
      </c>
      <c r="L243" s="1">
        <v>1.8724291617021405</v>
      </c>
      <c r="M243" s="1">
        <v>1372.9866501602362</v>
      </c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>
        <v>242</v>
      </c>
      <c r="C244" s="1" t="s">
        <v>63</v>
      </c>
      <c r="D244" s="1" t="s">
        <v>17</v>
      </c>
      <c r="E244" s="1">
        <v>22.5</v>
      </c>
      <c r="F244" s="1">
        <v>603</v>
      </c>
      <c r="G244" s="1">
        <v>30</v>
      </c>
      <c r="H244" s="1">
        <v>0.53732006354938633</v>
      </c>
      <c r="I244" s="1">
        <v>1.87576103503092</v>
      </c>
      <c r="J244" s="1">
        <v>2013.9004695539318</v>
      </c>
      <c r="K244" s="1">
        <v>0.53732006354938633</v>
      </c>
      <c r="L244" s="1">
        <v>1.87576103503092</v>
      </c>
      <c r="M244" s="1">
        <v>2013.9004695539318</v>
      </c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>
        <v>243</v>
      </c>
      <c r="C245" s="1" t="s">
        <v>63</v>
      </c>
      <c r="D245" s="1" t="s">
        <v>17</v>
      </c>
      <c r="E245" s="1">
        <v>22.5</v>
      </c>
      <c r="F245" s="1">
        <v>604</v>
      </c>
      <c r="G245" s="1">
        <v>45</v>
      </c>
      <c r="H245" s="1">
        <v>0.55884390694340413</v>
      </c>
      <c r="I245" s="1">
        <v>1.8391104284143429</v>
      </c>
      <c r="J245" s="1">
        <v>2295.6660849408981</v>
      </c>
      <c r="K245" s="1">
        <v>0.55884390694340413</v>
      </c>
      <c r="L245" s="1">
        <v>1.8391104284143429</v>
      </c>
      <c r="M245" s="1">
        <v>2295.6660849408981</v>
      </c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>
        <v>244</v>
      </c>
      <c r="C246" s="1" t="s">
        <v>63</v>
      </c>
      <c r="D246" s="1" t="s">
        <v>16</v>
      </c>
      <c r="E246" s="1">
        <v>22.5</v>
      </c>
      <c r="F246" s="1">
        <v>605</v>
      </c>
      <c r="G246" s="1">
        <v>0</v>
      </c>
      <c r="H246" s="1">
        <v>0.3923433712632432</v>
      </c>
      <c r="I246" s="1">
        <v>1.8979735238894517</v>
      </c>
      <c r="J246" s="5">
        <v>395.78552626889382</v>
      </c>
      <c r="K246" s="1">
        <v>0.3923433712632432</v>
      </c>
      <c r="L246" s="1">
        <v>1.8979735238894517</v>
      </c>
      <c r="M246" s="5">
        <v>395.78552626889382</v>
      </c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>
        <v>245</v>
      </c>
      <c r="C247" s="1" t="s">
        <v>63</v>
      </c>
      <c r="D247" s="1" t="s">
        <v>16</v>
      </c>
      <c r="E247" s="1">
        <v>22.5</v>
      </c>
      <c r="F247" s="1">
        <v>606</v>
      </c>
      <c r="G247" s="1">
        <v>15</v>
      </c>
      <c r="H247" s="1">
        <v>0.42196482329046581</v>
      </c>
      <c r="I247" s="1">
        <v>1.8790929083596999</v>
      </c>
      <c r="J247" s="1">
        <v>1559.9700534600806</v>
      </c>
      <c r="K247" s="1">
        <v>0.42196482329046581</v>
      </c>
      <c r="L247" s="1">
        <v>1.8790929083596999</v>
      </c>
      <c r="M247" s="1">
        <v>1559.9700534600806</v>
      </c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>
        <v>246</v>
      </c>
      <c r="C248" s="1" t="s">
        <v>63</v>
      </c>
      <c r="D248" s="1" t="s">
        <v>16</v>
      </c>
      <c r="E248" s="1">
        <v>22.5</v>
      </c>
      <c r="F248" s="1">
        <v>607</v>
      </c>
      <c r="G248" s="1">
        <v>30</v>
      </c>
      <c r="H248" s="1">
        <v>0.44251809549695498</v>
      </c>
      <c r="I248" s="1">
        <v>1.8779822839167735</v>
      </c>
      <c r="J248" s="1">
        <v>2129.3188392331945</v>
      </c>
      <c r="K248" s="1">
        <v>0.44251809549695498</v>
      </c>
      <c r="L248" s="1">
        <v>1.8779822839167735</v>
      </c>
      <c r="M248" s="1">
        <v>2129.3188392331945</v>
      </c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>
        <v>247</v>
      </c>
      <c r="C249" s="1" t="s">
        <v>63</v>
      </c>
      <c r="D249" s="1" t="s">
        <v>16</v>
      </c>
      <c r="E249" s="1">
        <v>22.5</v>
      </c>
      <c r="F249" s="1">
        <v>608</v>
      </c>
      <c r="G249" s="1">
        <v>45</v>
      </c>
      <c r="H249" s="1">
        <v>0.45236653842923108</v>
      </c>
      <c r="I249" s="1">
        <v>1.843552926186049</v>
      </c>
      <c r="J249" s="1">
        <v>2523.5745315198606</v>
      </c>
      <c r="K249" s="1">
        <v>0.45236653842923108</v>
      </c>
      <c r="L249" s="1">
        <v>1.843552926186049</v>
      </c>
      <c r="M249" s="1">
        <v>2523.5745315198606</v>
      </c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>
        <v>248</v>
      </c>
      <c r="C250" s="1" t="s">
        <v>63</v>
      </c>
      <c r="D250" s="1" t="s">
        <v>16</v>
      </c>
      <c r="E250" s="1">
        <v>22.5</v>
      </c>
      <c r="F250" s="1">
        <v>609</v>
      </c>
      <c r="G250" s="1">
        <v>0</v>
      </c>
      <c r="H250" s="1">
        <v>0.39220064020625373</v>
      </c>
      <c r="I250" s="1">
        <v>1.8890885283460392</v>
      </c>
      <c r="J250" s="5">
        <v>487.29217367128877</v>
      </c>
      <c r="K250" s="1">
        <v>0.39220064020625373</v>
      </c>
      <c r="L250" s="1">
        <v>1.8890885283460392</v>
      </c>
      <c r="M250" s="5">
        <v>487.29217367128877</v>
      </c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>
        <v>249</v>
      </c>
      <c r="C251" s="1" t="s">
        <v>63</v>
      </c>
      <c r="D251" s="1" t="s">
        <v>16</v>
      </c>
      <c r="E251" s="1">
        <v>22.5</v>
      </c>
      <c r="F251" s="1">
        <v>610</v>
      </c>
      <c r="G251" s="1">
        <v>15</v>
      </c>
      <c r="H251" s="1">
        <v>0.60149194677186912</v>
      </c>
      <c r="I251" s="1">
        <v>1.8890885283460392</v>
      </c>
      <c r="J251" s="1">
        <v>1413.2151480618502</v>
      </c>
      <c r="K251" s="1">
        <v>0.60149194677186912</v>
      </c>
      <c r="L251" s="1">
        <v>1.8890885283460392</v>
      </c>
      <c r="M251" s="1">
        <v>1413.2151480618502</v>
      </c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>
        <v>250</v>
      </c>
      <c r="C252" s="1" t="s">
        <v>63</v>
      </c>
      <c r="D252" s="1" t="s">
        <v>16</v>
      </c>
      <c r="E252" s="1">
        <v>22.5</v>
      </c>
      <c r="F252" s="1">
        <v>611</v>
      </c>
      <c r="G252" s="1">
        <v>30</v>
      </c>
      <c r="H252" s="1">
        <v>0.61785844130666612</v>
      </c>
      <c r="I252" s="1">
        <v>1.8746504105879935</v>
      </c>
      <c r="J252" s="1">
        <v>1635.6332958750277</v>
      </c>
      <c r="K252" s="1">
        <v>0.61785844130666612</v>
      </c>
      <c r="L252" s="1">
        <v>1.8746504105879935</v>
      </c>
      <c r="M252" s="1">
        <v>1635.6332958750277</v>
      </c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>
        <v>251</v>
      </c>
      <c r="C253" s="1" t="s">
        <v>63</v>
      </c>
      <c r="D253" s="1" t="s">
        <v>16</v>
      </c>
      <c r="E253" s="1">
        <v>22.5</v>
      </c>
      <c r="F253" s="1">
        <v>612</v>
      </c>
      <c r="G253" s="1">
        <v>45</v>
      </c>
      <c r="H253" s="1">
        <v>0.66909889076589946</v>
      </c>
      <c r="I253" s="1">
        <v>1.8602122928299478</v>
      </c>
      <c r="J253" s="1">
        <v>1828.434254174053</v>
      </c>
      <c r="K253" s="1">
        <v>0.66909889076589946</v>
      </c>
      <c r="L253" s="1">
        <v>1.8602122928299478</v>
      </c>
      <c r="M253" s="1">
        <v>1828.434254174053</v>
      </c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>
        <v>252</v>
      </c>
      <c r="C254" s="1" t="s">
        <v>63</v>
      </c>
      <c r="D254" s="1" t="s">
        <v>16</v>
      </c>
      <c r="E254" s="1">
        <v>22.5</v>
      </c>
      <c r="F254" s="1">
        <v>613</v>
      </c>
      <c r="G254" s="1">
        <v>0</v>
      </c>
      <c r="H254" s="1">
        <v>0.39229579424424671</v>
      </c>
      <c r="I254" s="1">
        <v>1.9013053972182317</v>
      </c>
      <c r="J254" s="1">
        <v>402.47776612430818</v>
      </c>
      <c r="K254" s="1">
        <v>0.39229579424424671</v>
      </c>
      <c r="L254" s="1">
        <v>1.9013053972182317</v>
      </c>
      <c r="M254" s="1">
        <v>402.47776612430818</v>
      </c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>
        <v>253</v>
      </c>
      <c r="C255" s="1" t="s">
        <v>63</v>
      </c>
      <c r="D255" s="1" t="s">
        <v>16</v>
      </c>
      <c r="E255" s="1">
        <v>22.5</v>
      </c>
      <c r="F255" s="1">
        <v>614</v>
      </c>
      <c r="G255" s="1">
        <v>15</v>
      </c>
      <c r="H255" s="1">
        <v>0.70855927032159882</v>
      </c>
      <c r="I255" s="1">
        <v>1.8735397861450671</v>
      </c>
      <c r="J255" s="1">
        <v>1406.387802422006</v>
      </c>
      <c r="K255" s="1">
        <v>0.70855927032159882</v>
      </c>
      <c r="L255" s="1">
        <v>1.8735397861450671</v>
      </c>
      <c r="M255" s="1">
        <v>1406.387802422006</v>
      </c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>
        <v>254</v>
      </c>
      <c r="C256" s="1" t="s">
        <v>63</v>
      </c>
      <c r="D256" s="1" t="s">
        <v>16</v>
      </c>
      <c r="E256" s="1">
        <v>22.5</v>
      </c>
      <c r="F256" s="1">
        <v>615</v>
      </c>
      <c r="G256" s="1">
        <v>30</v>
      </c>
      <c r="H256" s="1">
        <v>0.82806322663701426</v>
      </c>
      <c r="I256" s="1">
        <v>1.8857566550172593</v>
      </c>
      <c r="J256" s="1">
        <v>1918.7279518673463</v>
      </c>
      <c r="K256" s="1">
        <v>0.82806322663701426</v>
      </c>
      <c r="L256" s="1">
        <v>1.8857566550172593</v>
      </c>
      <c r="M256" s="1">
        <v>1918.7279518673463</v>
      </c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>
        <v>255</v>
      </c>
      <c r="C257" s="1" t="s">
        <v>63</v>
      </c>
      <c r="D257" s="1" t="s">
        <v>16</v>
      </c>
      <c r="E257" s="1">
        <v>22.5</v>
      </c>
      <c r="F257" s="1">
        <v>616</v>
      </c>
      <c r="G257" s="1">
        <v>45</v>
      </c>
      <c r="H257" s="1">
        <v>0.99123337098742004</v>
      </c>
      <c r="I257" s="1">
        <v>1.8713185372592136</v>
      </c>
      <c r="J257" s="1">
        <v>2422.0920733086168</v>
      </c>
      <c r="K257" s="1">
        <v>0.99123337098742004</v>
      </c>
      <c r="L257" s="1">
        <v>1.8713185372592136</v>
      </c>
      <c r="M257" s="1">
        <v>2422.0920733086168</v>
      </c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>
        <v>256</v>
      </c>
      <c r="C258" s="1" t="s">
        <v>63</v>
      </c>
      <c r="D258" s="1" t="s">
        <v>16</v>
      </c>
      <c r="E258" s="1">
        <v>22.5</v>
      </c>
      <c r="F258" s="1">
        <v>617</v>
      </c>
      <c r="G258" s="1">
        <v>0</v>
      </c>
      <c r="H258" s="1">
        <v>0.39329491164317326</v>
      </c>
      <c r="I258" s="1">
        <v>1.900194772775305</v>
      </c>
      <c r="J258" s="1">
        <v>393.62483450160806</v>
      </c>
      <c r="K258" s="1">
        <v>0.39329491164317326</v>
      </c>
      <c r="L258" s="1">
        <v>1.900194772775305</v>
      </c>
      <c r="M258" s="1">
        <v>393.62483450160806</v>
      </c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>
        <v>257</v>
      </c>
      <c r="C259" s="1" t="s">
        <v>63</v>
      </c>
      <c r="D259" s="1" t="s">
        <v>16</v>
      </c>
      <c r="E259" s="1">
        <v>22.5</v>
      </c>
      <c r="F259" s="1">
        <v>618</v>
      </c>
      <c r="G259" s="1">
        <v>15</v>
      </c>
      <c r="H259" s="1">
        <v>0.44550593228993535</v>
      </c>
      <c r="I259" s="1">
        <v>1.87576103503092</v>
      </c>
      <c r="J259" s="1">
        <v>1578.4635333895264</v>
      </c>
      <c r="K259" s="1">
        <v>0.44550593228993535</v>
      </c>
      <c r="L259" s="1">
        <v>1.87576103503092</v>
      </c>
      <c r="M259" s="1">
        <v>1578.4635333895264</v>
      </c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>
        <v>258</v>
      </c>
      <c r="C260" s="1" t="s">
        <v>63</v>
      </c>
      <c r="D260" s="1" t="s">
        <v>16</v>
      </c>
      <c r="E260" s="1">
        <v>22.5</v>
      </c>
      <c r="F260" s="1">
        <v>619</v>
      </c>
      <c r="G260" s="1">
        <v>30</v>
      </c>
      <c r="H260" s="1">
        <v>0.46536458001907566</v>
      </c>
      <c r="I260" s="1">
        <v>1.8524379217294618</v>
      </c>
      <c r="J260" s="1">
        <v>2002.0581973527776</v>
      </c>
      <c r="K260" s="1">
        <v>0.46536458001907566</v>
      </c>
      <c r="L260" s="1">
        <v>1.8524379217294618</v>
      </c>
      <c r="M260" s="1">
        <v>2002.0581973527776</v>
      </c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>
        <v>259</v>
      </c>
      <c r="C261" s="1" t="s">
        <v>63</v>
      </c>
      <c r="D261" s="1" t="s">
        <v>16</v>
      </c>
      <c r="E261" s="1">
        <v>22.5</v>
      </c>
      <c r="F261" s="1">
        <v>620</v>
      </c>
      <c r="G261" s="1">
        <v>45</v>
      </c>
      <c r="H261" s="1">
        <v>0.48901987386413676</v>
      </c>
      <c r="I261" s="1">
        <v>1.8402210528572696</v>
      </c>
      <c r="J261" s="1">
        <v>2579.101007353262</v>
      </c>
      <c r="K261" s="1">
        <v>0.48901987386413676</v>
      </c>
      <c r="L261" s="1">
        <v>1.8402210528572696</v>
      </c>
      <c r="M261" s="1">
        <v>2579.101007353262</v>
      </c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3">
      <c r="A262" s="1">
        <v>260</v>
      </c>
      <c r="C262" s="1" t="s">
        <v>63</v>
      </c>
      <c r="D262" s="1" t="s">
        <v>16</v>
      </c>
      <c r="E262" s="1">
        <v>22.5</v>
      </c>
      <c r="F262" s="1">
        <v>621</v>
      </c>
      <c r="G262" s="1">
        <v>0</v>
      </c>
      <c r="H262" s="1">
        <v>0.39156310815170059</v>
      </c>
      <c r="I262" s="1">
        <v>1.9124116416474974</v>
      </c>
      <c r="J262" s="1">
        <v>398.15037788820649</v>
      </c>
      <c r="K262" s="1">
        <v>0.39156310815170059</v>
      </c>
      <c r="L262" s="1">
        <v>1.9124116416474974</v>
      </c>
      <c r="M262" s="1">
        <v>398.15037788820649</v>
      </c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3">
      <c r="A263" s="1">
        <v>261</v>
      </c>
      <c r="C263" s="1" t="s">
        <v>63</v>
      </c>
      <c r="D263" s="1" t="s">
        <v>16</v>
      </c>
      <c r="E263" s="1">
        <v>22.5</v>
      </c>
      <c r="F263" s="1">
        <v>622</v>
      </c>
      <c r="G263" s="1">
        <v>15</v>
      </c>
      <c r="H263" s="1">
        <v>0.44581994061531227</v>
      </c>
      <c r="I263" s="1">
        <v>1.8846460305743329</v>
      </c>
      <c r="J263" s="1">
        <v>1234.9595784361602</v>
      </c>
      <c r="K263" s="1">
        <v>0.44581994061531227</v>
      </c>
      <c r="L263" s="1">
        <v>1.8846460305743329</v>
      </c>
      <c r="M263" s="1">
        <v>1234.9595784361602</v>
      </c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3">
      <c r="A264" s="1">
        <v>262</v>
      </c>
      <c r="C264" s="1" t="s">
        <v>63</v>
      </c>
      <c r="D264" s="1" t="s">
        <v>16</v>
      </c>
      <c r="E264" s="1">
        <v>22.5</v>
      </c>
      <c r="F264" s="1">
        <v>623</v>
      </c>
      <c r="G264" s="1">
        <v>30</v>
      </c>
      <c r="H264" s="1">
        <v>0.46515524113549095</v>
      </c>
      <c r="I264" s="1">
        <v>1.8657654150445808</v>
      </c>
      <c r="J264" s="1">
        <v>1496.2421561200063</v>
      </c>
      <c r="K264" s="1">
        <v>0.46515524113549095</v>
      </c>
      <c r="L264" s="1">
        <v>1.8657654150445808</v>
      </c>
      <c r="M264" s="1">
        <v>1496.2421561200063</v>
      </c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3">
      <c r="A265" s="1">
        <v>263</v>
      </c>
      <c r="C265" s="1" t="s">
        <v>63</v>
      </c>
      <c r="D265" s="1" t="s">
        <v>16</v>
      </c>
      <c r="E265" s="1">
        <v>22.5</v>
      </c>
      <c r="F265" s="1">
        <v>624</v>
      </c>
      <c r="G265" s="1">
        <v>45</v>
      </c>
      <c r="H265" s="1">
        <v>0.48793511783101651</v>
      </c>
      <c r="I265" s="1">
        <v>1.8646547906016542</v>
      </c>
      <c r="J265" s="1">
        <v>1754.6324692334697</v>
      </c>
      <c r="K265" s="1">
        <v>0.48793511783101651</v>
      </c>
      <c r="L265" s="1">
        <v>1.8646547906016542</v>
      </c>
      <c r="M265" s="1">
        <v>1754.6324692334697</v>
      </c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3">
      <c r="A266" s="1">
        <v>264</v>
      </c>
      <c r="C266" s="1" t="s">
        <v>63</v>
      </c>
      <c r="D266" s="1" t="s">
        <v>16</v>
      </c>
      <c r="E266" s="1">
        <v>22.5</v>
      </c>
      <c r="F266" s="1">
        <v>625</v>
      </c>
      <c r="G266" s="1">
        <v>0</v>
      </c>
      <c r="H266" s="1">
        <v>0.39223870182145099</v>
      </c>
      <c r="I266" s="1">
        <v>1.9068585194328644</v>
      </c>
      <c r="J266" s="1">
        <v>397.0565214261207</v>
      </c>
      <c r="K266" s="1">
        <v>0.39223870182145099</v>
      </c>
      <c r="L266" s="1">
        <v>1.9068585194328644</v>
      </c>
      <c r="M266" s="1">
        <v>397.0565214261207</v>
      </c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3">
      <c r="A267" s="1">
        <v>265</v>
      </c>
      <c r="C267" s="1" t="s">
        <v>63</v>
      </c>
      <c r="D267" s="1" t="s">
        <v>16</v>
      </c>
      <c r="E267" s="1">
        <v>22.5</v>
      </c>
      <c r="F267" s="1">
        <v>626</v>
      </c>
      <c r="G267" s="1">
        <v>15</v>
      </c>
      <c r="H267" s="1">
        <v>0.41906262513167913</v>
      </c>
      <c r="I267" s="1">
        <v>1.8957522750035987</v>
      </c>
      <c r="J267" s="1">
        <v>1014.419901418349</v>
      </c>
      <c r="K267" s="1">
        <v>0.41906262513167913</v>
      </c>
      <c r="L267" s="1">
        <v>1.8957522750035987</v>
      </c>
      <c r="M267" s="1">
        <v>1014.419901418349</v>
      </c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3">
      <c r="A268" s="1">
        <v>266</v>
      </c>
      <c r="C268" s="1" t="s">
        <v>63</v>
      </c>
      <c r="D268" s="1" t="s">
        <v>16</v>
      </c>
      <c r="E268" s="1">
        <v>22.5</v>
      </c>
      <c r="F268" s="1">
        <v>627</v>
      </c>
      <c r="G268" s="1">
        <v>30</v>
      </c>
      <c r="H268" s="1">
        <v>0.44072919958268647</v>
      </c>
      <c r="I268" s="1">
        <v>1.886867279460186</v>
      </c>
      <c r="J268" s="1">
        <v>1420.2516574716633</v>
      </c>
      <c r="K268" s="1">
        <v>0.44072919958268647</v>
      </c>
      <c r="L268" s="1">
        <v>1.886867279460186</v>
      </c>
      <c r="M268" s="1">
        <v>1420.2516574716633</v>
      </c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3">
      <c r="A269" s="1">
        <v>267</v>
      </c>
      <c r="C269" s="1" t="s">
        <v>63</v>
      </c>
      <c r="D269" s="1" t="s">
        <v>16</v>
      </c>
      <c r="E269" s="1">
        <v>22.5</v>
      </c>
      <c r="F269" s="1">
        <v>628</v>
      </c>
      <c r="G269" s="1">
        <v>45</v>
      </c>
      <c r="H269" s="1">
        <v>0.44655262670785839</v>
      </c>
      <c r="I269" s="1">
        <v>1.9268497594055429</v>
      </c>
      <c r="J269" s="1">
        <v>1602.5133638015889</v>
      </c>
      <c r="K269" s="1">
        <v>0.44655262670785839</v>
      </c>
      <c r="L269" s="1">
        <v>1.9268497594055429</v>
      </c>
      <c r="M269" s="1">
        <v>1602.5133638015889</v>
      </c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3">
      <c r="A270" s="1">
        <v>268</v>
      </c>
      <c r="C270" s="1" t="s">
        <v>63</v>
      </c>
      <c r="E270" s="1">
        <v>22.5</v>
      </c>
      <c r="F270" s="1" t="s">
        <v>65</v>
      </c>
      <c r="H270" s="1">
        <v>0.39691076508690748</v>
      </c>
      <c r="I270" s="1">
        <v>1.9212966371909099</v>
      </c>
      <c r="J270" s="1">
        <v>405.5351599867713</v>
      </c>
      <c r="K270" s="1">
        <v>0.39691076508690748</v>
      </c>
      <c r="L270" s="1">
        <v>1.9212966371909099</v>
      </c>
      <c r="M270" s="1">
        <v>405.5351599867713</v>
      </c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3">
      <c r="A271" s="1">
        <v>269</v>
      </c>
      <c r="C271" s="1" t="s">
        <v>63</v>
      </c>
      <c r="E271" s="1">
        <v>22.5</v>
      </c>
      <c r="F271" s="1" t="s">
        <v>66</v>
      </c>
      <c r="H271" s="1">
        <v>0.39159165436309851</v>
      </c>
      <c r="I271" s="1">
        <v>1.9101903927616442</v>
      </c>
      <c r="J271" s="1">
        <v>430.60178652461548</v>
      </c>
      <c r="K271" s="1">
        <v>0.39159165436309851</v>
      </c>
      <c r="L271" s="1">
        <v>1.9101903927616442</v>
      </c>
      <c r="M271" s="1">
        <v>430.60178652461548</v>
      </c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3">
      <c r="A272" s="1">
        <v>270</v>
      </c>
      <c r="C272" s="1" t="s">
        <v>63</v>
      </c>
      <c r="E272" s="1">
        <v>22.5</v>
      </c>
      <c r="F272" s="1" t="s">
        <v>67</v>
      </c>
      <c r="H272" s="1">
        <v>0.39173438542008804</v>
      </c>
      <c r="I272" s="1">
        <v>1.9079691438757911</v>
      </c>
      <c r="J272" s="1">
        <v>397.55491165312776</v>
      </c>
      <c r="K272" s="1">
        <v>0.39173438542008804</v>
      </c>
      <c r="L272" s="1">
        <v>1.9079691438757911</v>
      </c>
      <c r="M272" s="1">
        <v>397.55491165312776</v>
      </c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3">
      <c r="A273" s="1">
        <v>271</v>
      </c>
      <c r="B273" s="1" t="s">
        <v>70</v>
      </c>
      <c r="C273" s="1" t="s">
        <v>63</v>
      </c>
      <c r="D273" s="1" t="s">
        <v>17</v>
      </c>
      <c r="E273" s="1">
        <v>21.3</v>
      </c>
      <c r="F273" s="1">
        <v>697</v>
      </c>
      <c r="G273" s="1">
        <v>0</v>
      </c>
      <c r="H273" s="1">
        <v>0.29584237093460936</v>
      </c>
      <c r="I273" s="1">
        <v>1.4266118498577247</v>
      </c>
      <c r="J273" s="1">
        <v>320.11374887092575</v>
      </c>
      <c r="K273" s="1">
        <v>0.29584237093460936</v>
      </c>
      <c r="L273" s="1">
        <v>1.4266118498577247</v>
      </c>
      <c r="M273" s="1">
        <v>320.11374887092575</v>
      </c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3">
      <c r="A274" s="1">
        <v>272</v>
      </c>
      <c r="B274" s="1" t="s">
        <v>71</v>
      </c>
      <c r="C274" s="1" t="s">
        <v>63</v>
      </c>
      <c r="D274" s="1" t="s">
        <v>17</v>
      </c>
      <c r="E274" s="1">
        <v>21.3</v>
      </c>
      <c r="F274" s="1">
        <v>698</v>
      </c>
      <c r="G274" s="1">
        <v>15</v>
      </c>
      <c r="H274" s="1">
        <v>0.39710669683041955</v>
      </c>
      <c r="I274" s="1">
        <v>1.7789663048240578</v>
      </c>
      <c r="J274" s="1">
        <v>398.67819671998058</v>
      </c>
      <c r="K274" s="1">
        <v>0.39710669683041955</v>
      </c>
      <c r="L274" s="1">
        <v>1.7789663048240578</v>
      </c>
      <c r="M274" s="1">
        <v>398.67819671998058</v>
      </c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3">
      <c r="A275" s="1">
        <v>273</v>
      </c>
      <c r="C275" s="1" t="s">
        <v>63</v>
      </c>
      <c r="D275" s="1" t="s">
        <v>17</v>
      </c>
      <c r="E275" s="1">
        <v>21.3</v>
      </c>
      <c r="F275" s="1">
        <v>699</v>
      </c>
      <c r="G275" s="1">
        <v>30</v>
      </c>
      <c r="H275" s="1">
        <v>0.4886850374283056</v>
      </c>
      <c r="I275" s="1">
        <v>1.7995654883451666</v>
      </c>
      <c r="J275" s="1">
        <v>666.06304808416598</v>
      </c>
      <c r="K275" s="1">
        <v>0.4886850374283056</v>
      </c>
      <c r="L275" s="1">
        <v>1.7995654883451666</v>
      </c>
      <c r="M275" s="1">
        <v>666.06304808416598</v>
      </c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3">
      <c r="A276" s="1">
        <v>274</v>
      </c>
      <c r="C276" s="1" t="s">
        <v>63</v>
      </c>
      <c r="D276" s="1" t="s">
        <v>17</v>
      </c>
      <c r="E276" s="1">
        <v>21.3</v>
      </c>
      <c r="F276" s="1">
        <v>700</v>
      </c>
      <c r="G276" s="1">
        <v>45</v>
      </c>
      <c r="H276" s="1">
        <v>0.6233636031528752</v>
      </c>
      <c r="I276" s="1">
        <v>1.7833029750390281</v>
      </c>
      <c r="J276" s="1">
        <v>1254.1500499285216</v>
      </c>
      <c r="K276" s="1">
        <v>0.6233636031528752</v>
      </c>
      <c r="L276" s="1">
        <v>1.7833029750390281</v>
      </c>
      <c r="M276" s="1">
        <v>1254.1500499285216</v>
      </c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3">
      <c r="A277" s="1">
        <v>275</v>
      </c>
      <c r="C277" s="1" t="s">
        <v>63</v>
      </c>
      <c r="D277" s="1" t="s">
        <v>16</v>
      </c>
      <c r="E277" s="1">
        <v>21.3</v>
      </c>
      <c r="F277" s="1">
        <v>801</v>
      </c>
      <c r="G277" s="1">
        <v>0</v>
      </c>
      <c r="H277" s="1">
        <v>0.39403223980550633</v>
      </c>
      <c r="I277" s="1">
        <v>1.773545467055345</v>
      </c>
      <c r="J277" s="1">
        <v>387.4037364015756</v>
      </c>
      <c r="K277" s="1">
        <v>0.39403223980550633</v>
      </c>
      <c r="L277" s="1">
        <v>1.773545467055345</v>
      </c>
      <c r="M277" s="1">
        <v>387.4037364015756</v>
      </c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3">
      <c r="A278" s="1">
        <v>276</v>
      </c>
      <c r="C278" s="1" t="s">
        <v>63</v>
      </c>
      <c r="D278" s="1" t="s">
        <v>16</v>
      </c>
      <c r="E278" s="1">
        <v>21.3</v>
      </c>
      <c r="F278" s="1">
        <v>802</v>
      </c>
      <c r="G278" s="1">
        <v>15</v>
      </c>
      <c r="H278" s="1">
        <v>0.45975237288664556</v>
      </c>
      <c r="I278" s="1">
        <v>1.8006496558989091</v>
      </c>
      <c r="J278" s="1">
        <v>924.26827011942021</v>
      </c>
      <c r="K278" s="1">
        <v>0.45975237288664556</v>
      </c>
      <c r="L278" s="1">
        <v>1.8006496558989091</v>
      </c>
      <c r="M278" s="1">
        <v>924.26827011942021</v>
      </c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3">
      <c r="A279" s="1">
        <v>277</v>
      </c>
      <c r="C279" s="1" t="s">
        <v>63</v>
      </c>
      <c r="D279" s="1" t="s">
        <v>16</v>
      </c>
      <c r="E279" s="1">
        <v>21.3</v>
      </c>
      <c r="F279" s="1">
        <v>803</v>
      </c>
      <c r="G279" s="1">
        <v>30</v>
      </c>
      <c r="H279" s="1">
        <v>0.53319238081717513</v>
      </c>
      <c r="I279" s="1">
        <v>1.7876396452539984</v>
      </c>
      <c r="J279" s="1">
        <v>1546.6650748192919</v>
      </c>
      <c r="K279" s="1">
        <v>0.53319238081717513</v>
      </c>
      <c r="L279" s="1">
        <v>1.7876396452539984</v>
      </c>
      <c r="M279" s="1">
        <v>1546.6650748192919</v>
      </c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3">
      <c r="A280" s="1">
        <v>278</v>
      </c>
      <c r="C280" s="1" t="s">
        <v>63</v>
      </c>
      <c r="D280" s="1" t="s">
        <v>16</v>
      </c>
      <c r="E280" s="1">
        <v>21.3</v>
      </c>
      <c r="F280" s="1">
        <v>804</v>
      </c>
      <c r="G280" s="1">
        <v>45</v>
      </c>
      <c r="H280" s="1">
        <v>0.58892775691458354</v>
      </c>
      <c r="I280" s="1">
        <v>1.7486096133192659</v>
      </c>
      <c r="J280" s="1">
        <v>1971.7188574181939</v>
      </c>
      <c r="K280" s="1">
        <v>0.58892775691458354</v>
      </c>
      <c r="L280" s="1">
        <v>1.7486096133192659</v>
      </c>
      <c r="M280" s="1">
        <v>1971.7188574181939</v>
      </c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3">
      <c r="A281" s="1">
        <v>279</v>
      </c>
      <c r="C281" s="1" t="s">
        <v>63</v>
      </c>
      <c r="D281" s="1" t="s">
        <v>16</v>
      </c>
      <c r="E281" s="1">
        <v>21.3</v>
      </c>
      <c r="F281" s="1">
        <v>805</v>
      </c>
      <c r="G281" s="1">
        <v>0</v>
      </c>
      <c r="H281" s="1">
        <v>0.39654770464407169</v>
      </c>
      <c r="I281" s="1">
        <v>1.8028179910063942</v>
      </c>
      <c r="J281" s="1">
        <v>376.53868930586907</v>
      </c>
      <c r="K281" s="1">
        <v>0.39654770464407169</v>
      </c>
      <c r="L281" s="1">
        <v>1.8028179910063942</v>
      </c>
      <c r="M281" s="1">
        <v>376.53868930586907</v>
      </c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3">
      <c r="A282" s="1">
        <v>280</v>
      </c>
      <c r="C282" s="1" t="s">
        <v>63</v>
      </c>
      <c r="D282" s="1" t="s">
        <v>16</v>
      </c>
      <c r="E282" s="1">
        <v>21.3</v>
      </c>
      <c r="F282" s="1">
        <v>806</v>
      </c>
      <c r="G282" s="1">
        <v>15</v>
      </c>
      <c r="H282" s="1">
        <v>0.41592931303623643</v>
      </c>
      <c r="I282" s="1">
        <v>1.773545467055345</v>
      </c>
      <c r="J282" s="1">
        <v>767.33335830539863</v>
      </c>
      <c r="K282" s="1">
        <v>0.41592931303623643</v>
      </c>
      <c r="L282" s="1">
        <v>1.773545467055345</v>
      </c>
      <c r="M282" s="1">
        <v>767.33335830539863</v>
      </c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3">
      <c r="A283" s="1">
        <v>281</v>
      </c>
      <c r="C283" s="1" t="s">
        <v>63</v>
      </c>
      <c r="D283" s="1" t="s">
        <v>16</v>
      </c>
      <c r="E283" s="1">
        <v>21.3</v>
      </c>
      <c r="F283" s="1">
        <v>807</v>
      </c>
      <c r="G283" s="1">
        <v>30</v>
      </c>
      <c r="H283" s="1">
        <v>0.42189510895605237</v>
      </c>
      <c r="I283" s="1">
        <v>1.7551146186417215</v>
      </c>
      <c r="J283" s="1">
        <v>980.75949650470511</v>
      </c>
      <c r="K283" s="1">
        <v>0.42189510895605237</v>
      </c>
      <c r="L283" s="1">
        <v>1.7551146186417215</v>
      </c>
      <c r="M283" s="1">
        <v>980.75949650470511</v>
      </c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3">
      <c r="A284" s="1">
        <v>282</v>
      </c>
      <c r="C284" s="1" t="s">
        <v>63</v>
      </c>
      <c r="D284" s="1" t="s">
        <v>16</v>
      </c>
      <c r="E284" s="1">
        <v>21.3</v>
      </c>
      <c r="F284" s="1">
        <v>808</v>
      </c>
      <c r="G284" s="1">
        <v>45</v>
      </c>
      <c r="H284" s="1">
        <v>0.42825605452483839</v>
      </c>
      <c r="I284" s="1">
        <v>1.7355996026743552</v>
      </c>
      <c r="J284" s="1">
        <v>1140.3019806299608</v>
      </c>
      <c r="K284" s="1">
        <v>0.42825605452483839</v>
      </c>
      <c r="L284" s="1">
        <v>1.7355996026743552</v>
      </c>
      <c r="M284" s="1">
        <v>1140.3019806299608</v>
      </c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3">
      <c r="A285" s="1">
        <v>283</v>
      </c>
      <c r="C285" s="1" t="s">
        <v>63</v>
      </c>
      <c r="D285" s="1" t="s">
        <v>16</v>
      </c>
      <c r="E285" s="1">
        <v>21.3</v>
      </c>
      <c r="F285" s="1">
        <v>809</v>
      </c>
      <c r="G285" s="1">
        <v>0</v>
      </c>
      <c r="H285" s="1">
        <v>0.39753075986833858</v>
      </c>
      <c r="I285" s="1">
        <v>1.7919763154689685</v>
      </c>
      <c r="J285" s="1">
        <v>384.2980446693918</v>
      </c>
      <c r="K285" s="1">
        <v>0.39753075986833858</v>
      </c>
      <c r="L285" s="1">
        <v>1.7919763154689685</v>
      </c>
      <c r="M285" s="1">
        <v>384.2980446693918</v>
      </c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3">
      <c r="A286" s="1">
        <v>284</v>
      </c>
      <c r="C286" s="1" t="s">
        <v>63</v>
      </c>
      <c r="D286" s="1" t="s">
        <v>16</v>
      </c>
      <c r="E286" s="1">
        <v>21.3</v>
      </c>
      <c r="F286" s="1">
        <v>810</v>
      </c>
      <c r="G286" s="1">
        <v>15</v>
      </c>
      <c r="H286" s="1">
        <v>0.99763778530171821</v>
      </c>
      <c r="I286" s="1">
        <v>1.7648721266254044</v>
      </c>
      <c r="J286" s="1">
        <v>1033.5757518195778</v>
      </c>
      <c r="K286" s="1">
        <v>0.99763778530171821</v>
      </c>
      <c r="L286" s="1">
        <v>1.7648721266254044</v>
      </c>
      <c r="M286" s="1">
        <v>1033.5757518195778</v>
      </c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3">
      <c r="A287" s="1">
        <v>285</v>
      </c>
      <c r="C287" s="1" t="s">
        <v>63</v>
      </c>
      <c r="D287" s="1" t="s">
        <v>16</v>
      </c>
      <c r="E287" s="1">
        <v>21.3</v>
      </c>
      <c r="F287" s="1">
        <v>811</v>
      </c>
      <c r="G287" s="1">
        <v>30</v>
      </c>
      <c r="H287" s="1">
        <v>1.3789571965578076</v>
      </c>
      <c r="I287" s="1">
        <v>1.77571380216283</v>
      </c>
      <c r="J287" s="1">
        <v>1518.9975141053642</v>
      </c>
      <c r="K287" s="1">
        <v>1.3789571965578076</v>
      </c>
      <c r="L287" s="1">
        <v>1.77571380216283</v>
      </c>
      <c r="M287" s="1">
        <v>1518.9975141053642</v>
      </c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3">
      <c r="A288" s="1">
        <v>286</v>
      </c>
      <c r="C288" s="1" t="s">
        <v>63</v>
      </c>
      <c r="D288" s="1" t="s">
        <v>16</v>
      </c>
      <c r="E288" s="1">
        <v>21.3</v>
      </c>
      <c r="F288" s="1">
        <v>812</v>
      </c>
      <c r="G288" s="1">
        <v>45</v>
      </c>
      <c r="H288" s="1">
        <v>1.8237800477422774</v>
      </c>
      <c r="I288" s="1">
        <v>1.7475254457655234</v>
      </c>
      <c r="J288" s="1">
        <v>2111.9136423907867</v>
      </c>
      <c r="K288" s="1">
        <v>1.8237800477422774</v>
      </c>
      <c r="L288" s="1">
        <v>1.7475254457655234</v>
      </c>
      <c r="M288" s="1">
        <v>2111.9136423907867</v>
      </c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3">
      <c r="A289" s="1">
        <v>287</v>
      </c>
      <c r="C289" s="1" t="s">
        <v>63</v>
      </c>
      <c r="D289" s="1" t="s">
        <v>16</v>
      </c>
      <c r="E289" s="1">
        <v>21.3</v>
      </c>
      <c r="F289" s="1">
        <v>813</v>
      </c>
      <c r="G289" s="1">
        <v>0</v>
      </c>
      <c r="H289" s="1">
        <v>0.4018677682106927</v>
      </c>
      <c r="I289" s="1">
        <v>1.7778821372703153</v>
      </c>
      <c r="J289" s="1">
        <v>414.74084215718256</v>
      </c>
      <c r="K289" s="1">
        <v>0.4018677682106927</v>
      </c>
      <c r="L289" s="1">
        <v>1.7778821372703153</v>
      </c>
      <c r="M289" s="1">
        <v>414.74084215718256</v>
      </c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3">
      <c r="A290" s="1">
        <v>288</v>
      </c>
      <c r="C290" s="1" t="s">
        <v>63</v>
      </c>
      <c r="D290" s="1" t="s">
        <v>16</v>
      </c>
      <c r="E290" s="1">
        <v>21.3</v>
      </c>
      <c r="F290" s="1">
        <v>814</v>
      </c>
      <c r="G290" s="1">
        <v>15</v>
      </c>
      <c r="H290" s="1">
        <v>0.60849248343675877</v>
      </c>
      <c r="I290" s="1">
        <v>1.8093229963288497</v>
      </c>
      <c r="J290" s="1">
        <v>928.85564780041739</v>
      </c>
      <c r="K290" s="1">
        <v>0.60849248343675877</v>
      </c>
      <c r="L290" s="1">
        <v>1.8093229963288497</v>
      </c>
      <c r="M290" s="1">
        <v>928.85564780041739</v>
      </c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3">
      <c r="A291" s="1">
        <v>289</v>
      </c>
      <c r="C291" s="1" t="s">
        <v>63</v>
      </c>
      <c r="D291" s="1" t="s">
        <v>16</v>
      </c>
      <c r="E291" s="1">
        <v>21.3</v>
      </c>
      <c r="F291" s="1">
        <v>815</v>
      </c>
      <c r="G291" s="1">
        <v>30</v>
      </c>
      <c r="H291" s="1">
        <v>0.79571631467802728</v>
      </c>
      <c r="I291" s="1">
        <v>1.7702929643941172</v>
      </c>
      <c r="J291" s="1">
        <v>1398.830834069824</v>
      </c>
      <c r="K291" s="1">
        <v>0.79571631467802728</v>
      </c>
      <c r="L291" s="1">
        <v>1.7702929643941172</v>
      </c>
      <c r="M291" s="1">
        <v>1398.830834069824</v>
      </c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3">
      <c r="A292" s="1">
        <v>290</v>
      </c>
      <c r="C292" s="1" t="s">
        <v>63</v>
      </c>
      <c r="D292" s="1" t="s">
        <v>16</v>
      </c>
      <c r="E292" s="1">
        <v>21.3</v>
      </c>
      <c r="F292" s="1">
        <v>816</v>
      </c>
      <c r="G292" s="1">
        <v>45</v>
      </c>
      <c r="H292" s="1">
        <v>1.0265415364544292</v>
      </c>
      <c r="I292" s="1">
        <v>1.7518621159804937</v>
      </c>
      <c r="J292" s="1">
        <v>1979.9158950126493</v>
      </c>
      <c r="K292" s="1">
        <v>1.0265415364544292</v>
      </c>
      <c r="L292" s="1">
        <v>1.7518621159804937</v>
      </c>
      <c r="M292" s="1">
        <v>1979.9158950126493</v>
      </c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3">
      <c r="A293" s="1">
        <v>291</v>
      </c>
      <c r="C293" s="1" t="s">
        <v>63</v>
      </c>
      <c r="D293" s="1" t="s">
        <v>16</v>
      </c>
      <c r="E293" s="1">
        <v>21.3</v>
      </c>
      <c r="F293" s="1">
        <v>817</v>
      </c>
      <c r="G293" s="1">
        <v>0</v>
      </c>
      <c r="H293" s="1">
        <v>0.39897642931578997</v>
      </c>
      <c r="I293" s="1">
        <v>1.7865554777002557</v>
      </c>
      <c r="J293" s="1">
        <v>380.63477111962817</v>
      </c>
      <c r="K293" s="1">
        <v>0.39897642931578997</v>
      </c>
      <c r="L293" s="1">
        <v>1.7865554777002557</v>
      </c>
      <c r="M293" s="1">
        <v>380.63477111962817</v>
      </c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3">
      <c r="A294" s="1">
        <v>292</v>
      </c>
      <c r="C294" s="1" t="s">
        <v>63</v>
      </c>
      <c r="D294" s="1" t="s">
        <v>16</v>
      </c>
      <c r="E294" s="1">
        <v>21.3</v>
      </c>
      <c r="F294" s="1">
        <v>818</v>
      </c>
      <c r="G294" s="1">
        <v>15</v>
      </c>
      <c r="H294" s="1">
        <v>0.44883274966022951</v>
      </c>
      <c r="I294" s="1">
        <v>1.7681246292866322</v>
      </c>
      <c r="J294" s="1">
        <v>1112.2727715693161</v>
      </c>
      <c r="K294" s="1">
        <v>0.44883274966022951</v>
      </c>
      <c r="L294" s="1">
        <v>1.7681246292866322</v>
      </c>
      <c r="M294" s="1">
        <v>1112.2727715693161</v>
      </c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3">
      <c r="A295" s="1">
        <v>293</v>
      </c>
      <c r="C295" s="1" t="s">
        <v>63</v>
      </c>
      <c r="D295" s="1" t="s">
        <v>16</v>
      </c>
      <c r="E295" s="1">
        <v>21.3</v>
      </c>
      <c r="F295" s="1">
        <v>819</v>
      </c>
      <c r="G295" s="1">
        <v>30</v>
      </c>
      <c r="H295" s="1">
        <v>0.58024410243355895</v>
      </c>
      <c r="I295" s="1">
        <v>1.7605354564104343</v>
      </c>
      <c r="J295" s="1">
        <v>1579.3518466848252</v>
      </c>
      <c r="K295" s="1">
        <v>0.58024410243355895</v>
      </c>
      <c r="L295" s="1">
        <v>1.7605354564104343</v>
      </c>
      <c r="M295" s="1">
        <v>1579.3518466848252</v>
      </c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3">
      <c r="A296" s="1">
        <v>294</v>
      </c>
      <c r="C296" s="1" t="s">
        <v>63</v>
      </c>
      <c r="D296" s="1" t="s">
        <v>16</v>
      </c>
      <c r="E296" s="1">
        <v>21.3</v>
      </c>
      <c r="F296" s="1">
        <v>820</v>
      </c>
      <c r="G296" s="1">
        <v>45</v>
      </c>
      <c r="H296" s="1">
        <v>0.54522998841628678</v>
      </c>
      <c r="I296" s="1">
        <v>1.7377679377818402</v>
      </c>
      <c r="J296" s="1">
        <v>2046.1862486601024</v>
      </c>
      <c r="K296" s="1">
        <v>0.54522998841628678</v>
      </c>
      <c r="L296" s="1">
        <v>1.7377679377818402</v>
      </c>
      <c r="M296" s="1">
        <v>2046.1862486601024</v>
      </c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3">
      <c r="A297" s="1">
        <v>295</v>
      </c>
      <c r="C297" s="1" t="s">
        <v>63</v>
      </c>
      <c r="D297" s="1" t="s">
        <v>16</v>
      </c>
      <c r="E297" s="1">
        <v>21.3</v>
      </c>
      <c r="F297" s="1">
        <v>821</v>
      </c>
      <c r="G297" s="1">
        <v>0</v>
      </c>
      <c r="H297" s="1">
        <v>0.39644168888459197</v>
      </c>
      <c r="I297" s="1">
        <v>1.77571380216283</v>
      </c>
      <c r="J297" s="1">
        <v>394.83458639355217</v>
      </c>
      <c r="K297" s="1">
        <v>0.39644168888459197</v>
      </c>
      <c r="L297" s="1">
        <v>1.77571380216283</v>
      </c>
      <c r="M297" s="1">
        <v>394.83458639355217</v>
      </c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3">
      <c r="A298" s="1">
        <v>296</v>
      </c>
      <c r="C298" s="1" t="s">
        <v>63</v>
      </c>
      <c r="D298" s="1" t="s">
        <v>16</v>
      </c>
      <c r="E298" s="1">
        <v>21.3</v>
      </c>
      <c r="F298" s="1">
        <v>822</v>
      </c>
      <c r="G298" s="1">
        <v>15</v>
      </c>
      <c r="H298" s="1">
        <v>0.43528200803945205</v>
      </c>
      <c r="I298" s="1">
        <v>1.7627037915179193</v>
      </c>
      <c r="J298" s="1">
        <v>797.51686075214695</v>
      </c>
      <c r="K298" s="1">
        <v>0.43528200803945205</v>
      </c>
      <c r="L298" s="1">
        <v>1.7627037915179193</v>
      </c>
      <c r="M298" s="1">
        <v>797.51686075214695</v>
      </c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3">
      <c r="A299" s="1">
        <v>297</v>
      </c>
      <c r="C299" s="1" t="s">
        <v>63</v>
      </c>
      <c r="D299" s="1" t="s">
        <v>16</v>
      </c>
      <c r="E299" s="1">
        <v>21.3</v>
      </c>
      <c r="F299" s="1">
        <v>823</v>
      </c>
      <c r="G299" s="1">
        <v>30</v>
      </c>
      <c r="H299" s="1">
        <v>0.43666985070900538</v>
      </c>
      <c r="I299" s="1">
        <v>1.7616196239641768</v>
      </c>
      <c r="J299" s="1">
        <v>836.67723550325218</v>
      </c>
      <c r="K299" s="1">
        <v>0.43666985070900538</v>
      </c>
      <c r="L299" s="1">
        <v>1.7616196239641768</v>
      </c>
      <c r="M299" s="1">
        <v>836.67723550325218</v>
      </c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3">
      <c r="A300" s="1">
        <v>298</v>
      </c>
      <c r="C300" s="1" t="s">
        <v>63</v>
      </c>
      <c r="D300" s="1" t="s">
        <v>16</v>
      </c>
      <c r="E300" s="1">
        <v>21.3</v>
      </c>
      <c r="F300" s="1">
        <v>824</v>
      </c>
      <c r="G300" s="1">
        <v>45</v>
      </c>
      <c r="H300" s="1">
        <v>0.44811955273282023</v>
      </c>
      <c r="I300" s="1">
        <v>1.7540304510879787</v>
      </c>
      <c r="J300" s="1">
        <v>912.65458170220791</v>
      </c>
      <c r="K300" s="1">
        <v>0.44811955273282023</v>
      </c>
      <c r="L300" s="1">
        <v>1.7540304510879787</v>
      </c>
      <c r="M300" s="1">
        <v>912.65458170220791</v>
      </c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3">
      <c r="A301" s="1">
        <v>299</v>
      </c>
      <c r="C301" s="1" t="s">
        <v>63</v>
      </c>
      <c r="D301" s="1" t="s">
        <v>17</v>
      </c>
      <c r="E301" s="1">
        <v>21.3</v>
      </c>
      <c r="F301" s="1">
        <v>825</v>
      </c>
      <c r="G301" s="1">
        <v>0</v>
      </c>
      <c r="H301" s="1">
        <v>0.39343469643389306</v>
      </c>
      <c r="I301" s="1">
        <v>1.77571380216283</v>
      </c>
      <c r="J301" s="1">
        <v>391.16156490991483</v>
      </c>
      <c r="K301" s="1">
        <v>0.39343469643389306</v>
      </c>
      <c r="L301" s="1">
        <v>1.77571380216283</v>
      </c>
      <c r="M301" s="1">
        <v>391.16156490991483</v>
      </c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3">
      <c r="A302" s="1">
        <v>300</v>
      </c>
      <c r="C302" s="1" t="s">
        <v>63</v>
      </c>
      <c r="D302" s="1" t="s">
        <v>17</v>
      </c>
      <c r="E302" s="1">
        <v>21.3</v>
      </c>
      <c r="F302" s="1">
        <v>826</v>
      </c>
      <c r="G302" s="1">
        <v>15</v>
      </c>
      <c r="H302" s="1">
        <v>0.50449102338710716</v>
      </c>
      <c r="I302" s="1">
        <v>1.7692087968403747</v>
      </c>
      <c r="J302" s="1">
        <v>837.75048302275457</v>
      </c>
      <c r="K302" s="1">
        <v>0.50449102338710716</v>
      </c>
      <c r="L302" s="1">
        <v>1.7692087968403747</v>
      </c>
      <c r="M302" s="1">
        <v>837.75048302275457</v>
      </c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3">
      <c r="A303" s="1">
        <v>301</v>
      </c>
      <c r="C303" s="1" t="s">
        <v>63</v>
      </c>
      <c r="D303" s="1" t="s">
        <v>17</v>
      </c>
      <c r="E303" s="1">
        <v>21.3</v>
      </c>
      <c r="F303" s="1">
        <v>827</v>
      </c>
      <c r="G303" s="1">
        <v>30</v>
      </c>
      <c r="H303" s="1">
        <v>0.55977342305764755</v>
      </c>
      <c r="I303" s="1">
        <v>1.7746296346090875</v>
      </c>
      <c r="J303" s="1">
        <v>1064.0916588114219</v>
      </c>
      <c r="K303" s="1">
        <v>0.55977342305764755</v>
      </c>
      <c r="L303" s="1">
        <v>1.7746296346090875</v>
      </c>
      <c r="M303" s="1">
        <v>1064.0916588114219</v>
      </c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3">
      <c r="A304" s="1">
        <v>302</v>
      </c>
      <c r="C304" s="1" t="s">
        <v>63</v>
      </c>
      <c r="D304" s="1" t="s">
        <v>17</v>
      </c>
      <c r="E304" s="1">
        <v>21.3</v>
      </c>
      <c r="F304" s="1">
        <v>828</v>
      </c>
      <c r="G304" s="1">
        <v>45</v>
      </c>
      <c r="H304" s="1">
        <v>0.6196337759784506</v>
      </c>
      <c r="I304" s="1">
        <v>1.7648721266254044</v>
      </c>
      <c r="J304" s="1">
        <v>1390.4261654838574</v>
      </c>
      <c r="K304" s="1">
        <v>0.6196337759784506</v>
      </c>
      <c r="L304" s="1">
        <v>1.7648721266254044</v>
      </c>
      <c r="M304" s="1">
        <v>1390.4261654838574</v>
      </c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3">
      <c r="A305" s="1">
        <v>303</v>
      </c>
      <c r="C305" s="1" t="s">
        <v>63</v>
      </c>
      <c r="E305" s="1">
        <v>21.3</v>
      </c>
      <c r="F305" s="1" t="s">
        <v>65</v>
      </c>
      <c r="H305" s="1">
        <v>0.39404187760182263</v>
      </c>
      <c r="I305" s="1">
        <v>1.7507779484267512</v>
      </c>
      <c r="J305" s="1">
        <v>378.34400665929167</v>
      </c>
      <c r="K305" s="1">
        <v>0.39404187760182263</v>
      </c>
      <c r="L305" s="1">
        <v>1.7507779484267512</v>
      </c>
      <c r="M305" s="1">
        <v>378.34400665929167</v>
      </c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3">
      <c r="A306" s="1">
        <v>304</v>
      </c>
      <c r="C306" s="1" t="s">
        <v>63</v>
      </c>
      <c r="E306" s="1">
        <v>21.3</v>
      </c>
      <c r="F306" s="1" t="s">
        <v>66</v>
      </c>
      <c r="H306" s="1">
        <v>0.39487072808502816</v>
      </c>
      <c r="I306" s="1">
        <v>1.7811346399315429</v>
      </c>
      <c r="J306" s="1">
        <v>390.05712400201639</v>
      </c>
      <c r="K306" s="1">
        <v>0.39487072808502816</v>
      </c>
      <c r="L306" s="1">
        <v>1.7811346399315429</v>
      </c>
      <c r="M306" s="1">
        <v>390.05712400201639</v>
      </c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3">
      <c r="A307" s="1">
        <v>305</v>
      </c>
      <c r="C307" s="1" t="s">
        <v>63</v>
      </c>
      <c r="E307" s="1">
        <v>21.3</v>
      </c>
      <c r="F307" s="1" t="s">
        <v>67</v>
      </c>
      <c r="H307" s="1">
        <v>0.39468760995501756</v>
      </c>
      <c r="I307" s="1">
        <v>1.7431887755505531</v>
      </c>
      <c r="J307" s="1">
        <v>390.95393391840344</v>
      </c>
      <c r="K307" s="1">
        <v>0.39468760995501756</v>
      </c>
      <c r="L307" s="1">
        <v>1.7431887755505531</v>
      </c>
      <c r="M307" s="1">
        <v>390.95393391840344</v>
      </c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3">
      <c r="A308" s="1">
        <v>306</v>
      </c>
      <c r="B308" s="1" t="s">
        <v>72</v>
      </c>
      <c r="C308" s="1" t="s">
        <v>63</v>
      </c>
      <c r="D308" s="1" t="s">
        <v>17</v>
      </c>
      <c r="E308" s="1">
        <v>21.6</v>
      </c>
      <c r="F308" s="1">
        <v>261</v>
      </c>
      <c r="G308" s="1">
        <v>0</v>
      </c>
      <c r="H308" s="1">
        <v>0.40343872901025651</v>
      </c>
      <c r="I308" s="1">
        <v>2.5530619381962478</v>
      </c>
      <c r="J308" s="1">
        <v>461.60695863550472</v>
      </c>
      <c r="K308" s="1">
        <v>0.40343872901025651</v>
      </c>
      <c r="L308" s="1">
        <v>2.5530619381962478</v>
      </c>
      <c r="M308" s="1">
        <v>461.60695863550472</v>
      </c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3">
      <c r="A309" s="1">
        <v>307</v>
      </c>
      <c r="B309" s="1" t="s">
        <v>73</v>
      </c>
      <c r="C309" s="1" t="s">
        <v>63</v>
      </c>
      <c r="D309" s="1" t="s">
        <v>17</v>
      </c>
      <c r="E309" s="1">
        <v>21.6</v>
      </c>
      <c r="F309" s="1">
        <v>262</v>
      </c>
      <c r="G309" s="1">
        <v>15</v>
      </c>
      <c r="H309" s="1">
        <v>0.4252779754630886</v>
      </c>
      <c r="I309" s="1">
        <v>2.4869277174179518</v>
      </c>
      <c r="J309" s="1">
        <v>1000.4971130123192</v>
      </c>
      <c r="K309" s="1">
        <v>0.4252779754630886</v>
      </c>
      <c r="L309" s="1">
        <v>2.4869277174179518</v>
      </c>
      <c r="M309" s="1">
        <v>1000.4971130123192</v>
      </c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3">
      <c r="A310" s="1">
        <v>308</v>
      </c>
      <c r="C310" s="1" t="s">
        <v>63</v>
      </c>
      <c r="D310" s="1" t="s">
        <v>17</v>
      </c>
      <c r="E310" s="1">
        <v>21.6</v>
      </c>
      <c r="F310" s="1">
        <v>263</v>
      </c>
      <c r="G310" s="1">
        <v>30</v>
      </c>
      <c r="H310" s="1">
        <v>0.43159073205029291</v>
      </c>
      <c r="I310" s="1">
        <v>2.5975128078996934</v>
      </c>
      <c r="J310" s="1">
        <v>1178.348166539294</v>
      </c>
      <c r="K310" s="1">
        <v>0.43159073205029291</v>
      </c>
      <c r="L310" s="1">
        <v>2.5975128078996934</v>
      </c>
      <c r="M310" s="1">
        <v>1178.348166539294</v>
      </c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3">
      <c r="A311" s="1">
        <v>309</v>
      </c>
      <c r="C311" s="1" t="s">
        <v>63</v>
      </c>
      <c r="D311" s="1" t="s">
        <v>17</v>
      </c>
      <c r="E311" s="1">
        <v>21.6</v>
      </c>
      <c r="F311" s="1">
        <v>264</v>
      </c>
      <c r="G311" s="1">
        <v>45</v>
      </c>
      <c r="H311" s="1">
        <v>0.48649725766449586</v>
      </c>
      <c r="I311" s="1">
        <v>2.1833608023700344</v>
      </c>
      <c r="J311" s="1">
        <v>2717.1794281008911</v>
      </c>
      <c r="K311" s="1">
        <v>0.48649725766449586</v>
      </c>
      <c r="L311" s="1">
        <v>2.1833608023700344</v>
      </c>
      <c r="M311" s="1">
        <v>2717.1794281008911</v>
      </c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3">
      <c r="A312" s="1">
        <v>310</v>
      </c>
      <c r="C312" s="1" t="s">
        <v>63</v>
      </c>
      <c r="D312" s="1" t="s">
        <v>16</v>
      </c>
      <c r="E312" s="1">
        <v>21.6</v>
      </c>
      <c r="F312" s="1">
        <v>265</v>
      </c>
      <c r="G312" s="1">
        <v>0</v>
      </c>
      <c r="H312" s="1">
        <v>0.4033519888434095</v>
      </c>
      <c r="I312" s="1">
        <v>3.1027348879437286</v>
      </c>
      <c r="J312" s="1">
        <v>409.02367894021512</v>
      </c>
      <c r="K312" s="1">
        <v>0.4033519888434095</v>
      </c>
      <c r="L312" s="1">
        <v>3.1027348879437286</v>
      </c>
      <c r="M312" s="1">
        <v>409.02367894021512</v>
      </c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3">
      <c r="A313" s="1">
        <v>311</v>
      </c>
      <c r="C313" s="1" t="s">
        <v>63</v>
      </c>
      <c r="D313" s="1" t="s">
        <v>16</v>
      </c>
      <c r="E313" s="1">
        <v>21.6</v>
      </c>
      <c r="F313" s="1">
        <v>266</v>
      </c>
      <c r="G313" s="1">
        <v>15</v>
      </c>
      <c r="H313" s="1">
        <v>0.42611646374261036</v>
      </c>
      <c r="I313" s="1">
        <v>0.19391334125242973</v>
      </c>
      <c r="J313" s="1">
        <v>1127.668658329552</v>
      </c>
      <c r="K313" s="1">
        <v>0.42611646374261036</v>
      </c>
      <c r="L313" s="1">
        <v>0.19391334125242973</v>
      </c>
      <c r="M313" s="1">
        <v>1127.668658329552</v>
      </c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3">
      <c r="A314" s="1">
        <v>312</v>
      </c>
      <c r="C314" s="1" t="s">
        <v>63</v>
      </c>
      <c r="D314" s="1" t="s">
        <v>16</v>
      </c>
      <c r="E314" s="1">
        <v>21.6</v>
      </c>
      <c r="F314" s="1">
        <v>267</v>
      </c>
      <c r="G314" s="1">
        <v>30</v>
      </c>
      <c r="H314" s="1">
        <v>0.4485050645854739</v>
      </c>
      <c r="I314" s="1">
        <v>2.4977693929553775</v>
      </c>
      <c r="J314" s="1">
        <v>1603.3522346754396</v>
      </c>
      <c r="K314" s="1">
        <v>0.4485050645854739</v>
      </c>
      <c r="L314" s="1">
        <v>2.4977693929553775</v>
      </c>
      <c r="M314" s="1">
        <v>1603.3522346754396</v>
      </c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3">
      <c r="A315" s="1">
        <v>313</v>
      </c>
      <c r="C315" s="1" t="s">
        <v>63</v>
      </c>
      <c r="D315" s="1" t="s">
        <v>16</v>
      </c>
      <c r="E315" s="1">
        <v>21.6</v>
      </c>
      <c r="F315" s="1">
        <v>268</v>
      </c>
      <c r="G315" s="1">
        <v>45</v>
      </c>
      <c r="H315" s="1">
        <v>0.46608440506648252</v>
      </c>
      <c r="I315" s="1">
        <v>2.4554868583594174</v>
      </c>
      <c r="J315" s="1">
        <v>2069.7187358247761</v>
      </c>
      <c r="K315" s="1">
        <v>0.46608440506648252</v>
      </c>
      <c r="L315" s="1">
        <v>2.4554868583594174</v>
      </c>
      <c r="M315" s="1">
        <v>2069.7187358247761</v>
      </c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3">
      <c r="A316" s="1">
        <v>314</v>
      </c>
      <c r="C316" s="1" t="s">
        <v>63</v>
      </c>
      <c r="D316" s="1" t="s">
        <v>16</v>
      </c>
      <c r="E316" s="1">
        <v>21.6</v>
      </c>
      <c r="F316" s="1">
        <v>269</v>
      </c>
      <c r="G316" s="1">
        <v>0</v>
      </c>
      <c r="H316" s="1">
        <v>0.4041037369560842</v>
      </c>
      <c r="I316" s="1">
        <v>2.7221920765800882</v>
      </c>
      <c r="J316" s="1">
        <v>413.77774629045382</v>
      </c>
      <c r="K316" s="1">
        <v>0.4041037369560842</v>
      </c>
      <c r="L316" s="1">
        <v>2.7221920765800882</v>
      </c>
      <c r="M316" s="1">
        <v>413.77774629045382</v>
      </c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3">
      <c r="A317" s="1">
        <v>315</v>
      </c>
      <c r="C317" s="1" t="s">
        <v>63</v>
      </c>
      <c r="D317" s="1" t="s">
        <v>16</v>
      </c>
      <c r="E317" s="1">
        <v>21.6</v>
      </c>
      <c r="F317" s="1">
        <v>270</v>
      </c>
      <c r="G317" s="1">
        <v>15</v>
      </c>
      <c r="H317" s="1">
        <v>0.41864717159744497</v>
      </c>
      <c r="I317" s="1">
        <v>2.7352020872249989</v>
      </c>
      <c r="J317" s="1">
        <v>955.01422835068524</v>
      </c>
      <c r="K317" s="1">
        <v>0.41864717159744497</v>
      </c>
      <c r="L317" s="1">
        <v>2.7352020872249989</v>
      </c>
      <c r="M317" s="1">
        <v>955.01422835068524</v>
      </c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3">
      <c r="A318" s="1">
        <v>316</v>
      </c>
      <c r="C318" s="1" t="s">
        <v>63</v>
      </c>
      <c r="D318" s="1" t="s">
        <v>16</v>
      </c>
      <c r="E318" s="1">
        <v>21.6</v>
      </c>
      <c r="F318" s="1">
        <v>271</v>
      </c>
      <c r="G318" s="1">
        <v>30</v>
      </c>
      <c r="H318" s="1">
        <v>0.43650600817162755</v>
      </c>
      <c r="I318" s="1">
        <v>2.7189395739188602</v>
      </c>
      <c r="J318" s="1">
        <v>1461.061643919986</v>
      </c>
      <c r="K318" s="1">
        <v>0.43650600817162755</v>
      </c>
      <c r="L318" s="1">
        <v>2.7189395739188602</v>
      </c>
      <c r="M318" s="1">
        <v>1461.061643919986</v>
      </c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3">
      <c r="A319" s="1">
        <v>317</v>
      </c>
      <c r="C319" s="1" t="s">
        <v>63</v>
      </c>
      <c r="D319" s="1" t="s">
        <v>16</v>
      </c>
      <c r="E319" s="1">
        <v>21.6</v>
      </c>
      <c r="F319" s="1">
        <v>272</v>
      </c>
      <c r="G319" s="1">
        <v>45</v>
      </c>
      <c r="H319" s="1">
        <v>0.44116106379242098</v>
      </c>
      <c r="I319" s="1">
        <v>2.1638457864026681</v>
      </c>
      <c r="J319" s="1">
        <v>1420.4049613192569</v>
      </c>
      <c r="K319" s="1">
        <v>0.44116106379242098</v>
      </c>
      <c r="L319" s="1">
        <v>2.1638457864026681</v>
      </c>
      <c r="M319" s="1">
        <v>1420.4049613192569</v>
      </c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3">
      <c r="A320" s="1">
        <v>318</v>
      </c>
      <c r="C320" s="1" t="s">
        <v>63</v>
      </c>
      <c r="D320" s="1" t="s">
        <v>16</v>
      </c>
      <c r="E320" s="1">
        <v>21.6</v>
      </c>
      <c r="F320" s="1">
        <v>273</v>
      </c>
      <c r="G320" s="1">
        <v>0</v>
      </c>
      <c r="H320" s="1">
        <v>0.40195450837753982</v>
      </c>
      <c r="I320" s="1">
        <v>3.1135765634811543</v>
      </c>
      <c r="J320" s="1">
        <v>386.14430334508421</v>
      </c>
      <c r="K320" s="1">
        <v>0.40195450837753982</v>
      </c>
      <c r="L320" s="1">
        <v>3.1135765634811543</v>
      </c>
      <c r="M320" s="1">
        <v>386.14430334508421</v>
      </c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3">
      <c r="A321" s="1">
        <v>319</v>
      </c>
      <c r="C321" s="1" t="s">
        <v>63</v>
      </c>
      <c r="D321" s="1" t="s">
        <v>16</v>
      </c>
      <c r="E321" s="1">
        <v>21.6</v>
      </c>
      <c r="F321" s="1">
        <v>274</v>
      </c>
      <c r="G321" s="1">
        <v>15</v>
      </c>
      <c r="H321" s="1">
        <v>0.43710355154324076</v>
      </c>
      <c r="I321" s="1">
        <v>2.5010218956166055</v>
      </c>
      <c r="J321" s="1">
        <v>994.17265351501578</v>
      </c>
      <c r="K321" s="1">
        <v>0.43710355154324076</v>
      </c>
      <c r="L321" s="1">
        <v>2.5010218956166055</v>
      </c>
      <c r="M321" s="1">
        <v>994.17265351501578</v>
      </c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3">
      <c r="A322" s="1">
        <v>320</v>
      </c>
      <c r="C322" s="1" t="s">
        <v>63</v>
      </c>
      <c r="D322" s="1" t="s">
        <v>16</v>
      </c>
      <c r="E322" s="1">
        <v>21.6</v>
      </c>
      <c r="F322" s="1">
        <v>275</v>
      </c>
      <c r="G322" s="1">
        <v>30</v>
      </c>
      <c r="H322" s="1">
        <v>0.44688591480432838</v>
      </c>
      <c r="I322" s="1">
        <v>2.8457871777067405</v>
      </c>
      <c r="J322" s="1">
        <v>1132.9218198941278</v>
      </c>
      <c r="K322" s="1">
        <v>0.44688591480432838</v>
      </c>
      <c r="L322" s="1">
        <v>2.8457871777067405</v>
      </c>
      <c r="M322" s="1">
        <v>1132.9218198941278</v>
      </c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3">
      <c r="A323" s="1">
        <v>321</v>
      </c>
      <c r="C323" s="1" t="s">
        <v>63</v>
      </c>
      <c r="D323" s="1" t="s">
        <v>16</v>
      </c>
      <c r="E323" s="1">
        <v>21.6</v>
      </c>
      <c r="F323" s="1">
        <v>276</v>
      </c>
      <c r="G323" s="1">
        <v>45</v>
      </c>
      <c r="H323" s="1">
        <v>0.49809152663305584</v>
      </c>
      <c r="I323" s="1">
        <v>2.4478976854832193</v>
      </c>
      <c r="J323" s="1">
        <v>1870.9028009154795</v>
      </c>
      <c r="K323" s="1">
        <v>0.49809152663305584</v>
      </c>
      <c r="L323" s="1">
        <v>2.4478976854832193</v>
      </c>
      <c r="M323" s="1">
        <v>1870.9028009154795</v>
      </c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3">
      <c r="A324" s="1">
        <v>322</v>
      </c>
      <c r="C324" s="1" t="s">
        <v>63</v>
      </c>
      <c r="D324" s="1" t="s">
        <v>16</v>
      </c>
      <c r="E324" s="1">
        <v>21.6</v>
      </c>
      <c r="F324" s="1">
        <v>277</v>
      </c>
      <c r="G324" s="1">
        <v>0</v>
      </c>
      <c r="H324" s="1">
        <v>0.40409409915976785</v>
      </c>
      <c r="I324" s="1">
        <v>3.255602513021429</v>
      </c>
      <c r="J324" s="1">
        <v>395.47112647550949</v>
      </c>
      <c r="K324" s="1">
        <v>0.40409409915976785</v>
      </c>
      <c r="L324" s="1">
        <v>3.255602513021429</v>
      </c>
      <c r="M324" s="1">
        <v>395.47112647550949</v>
      </c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3">
      <c r="A325" s="1">
        <v>323</v>
      </c>
      <c r="C325" s="1" t="s">
        <v>63</v>
      </c>
      <c r="D325" s="1" t="s">
        <v>16</v>
      </c>
      <c r="E325" s="1">
        <v>21.6</v>
      </c>
      <c r="F325" s="1">
        <v>278</v>
      </c>
      <c r="G325" s="1">
        <v>15</v>
      </c>
      <c r="H325" s="1">
        <v>0.42089277813915277</v>
      </c>
      <c r="I325" s="1">
        <v>3.1905524597968751</v>
      </c>
      <c r="J325" s="1">
        <v>586.69926965746197</v>
      </c>
      <c r="K325" s="1">
        <v>0.42089277813915277</v>
      </c>
      <c r="L325" s="1">
        <v>3.1905524597968751</v>
      </c>
      <c r="M325" s="1">
        <v>586.69926965746197</v>
      </c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3">
      <c r="A326" s="1">
        <v>324</v>
      </c>
      <c r="C326" s="1" t="s">
        <v>63</v>
      </c>
      <c r="D326" s="1" t="s">
        <v>16</v>
      </c>
      <c r="E326" s="1">
        <v>21.6</v>
      </c>
      <c r="F326" s="1">
        <v>279</v>
      </c>
      <c r="G326" s="1">
        <v>30</v>
      </c>
      <c r="H326" s="1">
        <v>0.42872830654433919</v>
      </c>
      <c r="I326" s="1">
        <v>2.5400519275513376</v>
      </c>
      <c r="J326" s="1">
        <v>665.94119891074388</v>
      </c>
      <c r="K326" s="1">
        <v>0.42872830654433919</v>
      </c>
      <c r="L326" s="1">
        <v>2.5400519275513376</v>
      </c>
      <c r="M326" s="1">
        <v>665.94119891074388</v>
      </c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3">
      <c r="A327" s="1">
        <v>325</v>
      </c>
      <c r="C327" s="1" t="s">
        <v>63</v>
      </c>
      <c r="D327" s="1" t="s">
        <v>16</v>
      </c>
      <c r="E327" s="1">
        <v>21.6</v>
      </c>
      <c r="F327" s="1">
        <v>280</v>
      </c>
      <c r="G327" s="1">
        <v>45</v>
      </c>
      <c r="H327" s="1">
        <v>0.43192805492136488</v>
      </c>
      <c r="I327" s="1">
        <v>3.2469291725914893</v>
      </c>
      <c r="J327" s="1">
        <v>692.0793087998768</v>
      </c>
      <c r="K327" s="1">
        <v>0.43192805492136488</v>
      </c>
      <c r="L327" s="1">
        <v>3.2469291725914893</v>
      </c>
      <c r="M327" s="1">
        <v>692.0793087998768</v>
      </c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3">
      <c r="A328" s="1">
        <v>326</v>
      </c>
      <c r="C328" s="1" t="s">
        <v>63</v>
      </c>
      <c r="D328" s="1" t="s">
        <v>16</v>
      </c>
      <c r="E328" s="1">
        <v>21.6</v>
      </c>
      <c r="F328" s="1">
        <v>281</v>
      </c>
      <c r="G328" s="1">
        <v>0</v>
      </c>
      <c r="H328" s="1">
        <v>0.40067268146746626</v>
      </c>
      <c r="I328" s="1">
        <v>3.8432213271498989</v>
      </c>
      <c r="J328" s="1">
        <v>396.30554961510438</v>
      </c>
      <c r="K328" s="1">
        <v>0.40067268146746626</v>
      </c>
      <c r="L328" s="1">
        <v>3.8432213271498989</v>
      </c>
      <c r="M328" s="1">
        <v>396.30554961510438</v>
      </c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3">
      <c r="A329" s="1">
        <v>327</v>
      </c>
      <c r="C329" s="1" t="s">
        <v>63</v>
      </c>
      <c r="D329" s="1" t="s">
        <v>16</v>
      </c>
      <c r="E329" s="1">
        <v>21.6</v>
      </c>
      <c r="F329" s="1">
        <v>282</v>
      </c>
      <c r="G329" s="1">
        <v>15</v>
      </c>
      <c r="H329" s="1">
        <v>0.42381303042300456</v>
      </c>
      <c r="I329" s="1">
        <v>2.2711783742231817</v>
      </c>
      <c r="J329" s="1">
        <v>1008.6171419291715</v>
      </c>
      <c r="K329" s="1">
        <v>0.42381303042300456</v>
      </c>
      <c r="L329" s="1">
        <v>2.2711783742231817</v>
      </c>
      <c r="M329" s="1">
        <v>1008.6171419291715</v>
      </c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3">
      <c r="A330" s="1">
        <v>328</v>
      </c>
      <c r="C330" s="1" t="s">
        <v>63</v>
      </c>
      <c r="D330" s="1" t="s">
        <v>16</v>
      </c>
      <c r="E330" s="1">
        <v>21.6</v>
      </c>
      <c r="F330" s="1">
        <v>283</v>
      </c>
      <c r="G330" s="1">
        <v>30</v>
      </c>
      <c r="H330" s="1">
        <v>0.42881504671118625</v>
      </c>
      <c r="I330" s="1">
        <v>2.6202803265282877</v>
      </c>
      <c r="J330" s="1">
        <v>1229.8689214423423</v>
      </c>
      <c r="K330" s="1">
        <v>0.42881504671118625</v>
      </c>
      <c r="L330" s="1">
        <v>2.6202803265282877</v>
      </c>
      <c r="M330" s="1">
        <v>1229.8689214423423</v>
      </c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3">
      <c r="A331" s="1">
        <v>329</v>
      </c>
      <c r="C331" s="1" t="s">
        <v>63</v>
      </c>
      <c r="D331" s="1" t="s">
        <v>16</v>
      </c>
      <c r="E331" s="1">
        <v>21.6</v>
      </c>
      <c r="F331" s="1">
        <v>284</v>
      </c>
      <c r="G331" s="1">
        <v>45</v>
      </c>
      <c r="H331" s="1">
        <v>0.44147911107086019</v>
      </c>
      <c r="I331" s="1">
        <v>2.4088676535484876</v>
      </c>
      <c r="J331" s="1">
        <v>1638.8308148024214</v>
      </c>
      <c r="K331" s="1">
        <v>0.44147911107086019</v>
      </c>
      <c r="L331" s="1">
        <v>2.4088676535484876</v>
      </c>
      <c r="M331" s="1">
        <v>1638.8308148024214</v>
      </c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3">
      <c r="A332" s="1">
        <v>330</v>
      </c>
      <c r="C332" s="1" t="s">
        <v>63</v>
      </c>
      <c r="D332" s="1" t="s">
        <v>16</v>
      </c>
      <c r="E332" s="1">
        <v>21.6</v>
      </c>
      <c r="F332" s="1">
        <v>285</v>
      </c>
      <c r="G332" s="1">
        <v>0</v>
      </c>
      <c r="H332" s="1">
        <v>0.40477838269822819</v>
      </c>
      <c r="I332" s="1">
        <v>3.1883841246893909</v>
      </c>
      <c r="J332" s="1">
        <v>390.20626739028512</v>
      </c>
      <c r="K332" s="1">
        <v>0.40477838269822819</v>
      </c>
      <c r="L332" s="1">
        <v>3.1883841246893909</v>
      </c>
      <c r="M332" s="1">
        <v>390.20626739028512</v>
      </c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3">
      <c r="A333" s="1">
        <v>331</v>
      </c>
      <c r="C333" s="1" t="s">
        <v>63</v>
      </c>
      <c r="D333" s="1" t="s">
        <v>16</v>
      </c>
      <c r="E333" s="1">
        <v>21.6</v>
      </c>
      <c r="F333" s="1">
        <v>286</v>
      </c>
      <c r="G333" s="1">
        <v>15</v>
      </c>
      <c r="H333" s="1">
        <v>0.41604496659203249</v>
      </c>
      <c r="I333" s="1">
        <v>2.6083544834371191</v>
      </c>
      <c r="J333" s="1">
        <v>829.75717724626134</v>
      </c>
      <c r="K333" s="1">
        <v>0.41604496659203249</v>
      </c>
      <c r="L333" s="1">
        <v>2.6083544834371191</v>
      </c>
      <c r="M333" s="1">
        <v>829.75717724626134</v>
      </c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3">
      <c r="A334" s="1">
        <v>332</v>
      </c>
      <c r="C334" s="1" t="s">
        <v>63</v>
      </c>
      <c r="D334" s="1" t="s">
        <v>16</v>
      </c>
      <c r="E334" s="1">
        <v>21.6</v>
      </c>
      <c r="F334" s="1">
        <v>287</v>
      </c>
      <c r="G334" s="1">
        <v>30</v>
      </c>
      <c r="H334" s="1">
        <v>0.42293599095821732</v>
      </c>
      <c r="I334" s="1">
        <v>2.671236201554188</v>
      </c>
      <c r="J334" s="1">
        <v>983.40216137788468</v>
      </c>
      <c r="K334" s="1">
        <v>0.42293599095821732</v>
      </c>
      <c r="L334" s="1">
        <v>2.671236201554188</v>
      </c>
      <c r="M334" s="1">
        <v>983.40216137788468</v>
      </c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3">
      <c r="A335" s="1">
        <v>333</v>
      </c>
      <c r="C335" s="1" t="s">
        <v>63</v>
      </c>
      <c r="D335" s="1" t="s">
        <v>16</v>
      </c>
      <c r="E335" s="1">
        <v>21.6</v>
      </c>
      <c r="F335" s="1">
        <v>288</v>
      </c>
      <c r="G335" s="1">
        <v>45</v>
      </c>
      <c r="H335" s="1">
        <v>0.42214569166027727</v>
      </c>
      <c r="I335" s="1">
        <v>2.3286392545715375</v>
      </c>
      <c r="J335" s="1">
        <v>955.20626264799853</v>
      </c>
      <c r="K335" s="1">
        <v>0.42214569166027727</v>
      </c>
      <c r="L335" s="1">
        <v>2.3286392545715375</v>
      </c>
      <c r="M335" s="1">
        <v>955.20626264799853</v>
      </c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3">
      <c r="A336" s="1">
        <v>334</v>
      </c>
      <c r="C336" s="1" t="s">
        <v>63</v>
      </c>
      <c r="D336" s="1" t="s">
        <v>17</v>
      </c>
      <c r="E336" s="1">
        <v>21.6</v>
      </c>
      <c r="F336" s="1">
        <v>289</v>
      </c>
      <c r="G336" s="1">
        <v>0</v>
      </c>
      <c r="H336" s="1">
        <v>0.4028508234349597</v>
      </c>
      <c r="I336" s="1">
        <v>3.2892117071874489</v>
      </c>
      <c r="J336" s="1">
        <v>385.37421656905622</v>
      </c>
      <c r="K336" s="1">
        <v>0.4028508234349597</v>
      </c>
      <c r="L336" s="1">
        <v>3.2892117071874489</v>
      </c>
      <c r="M336" s="1">
        <v>385.37421656905622</v>
      </c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3">
      <c r="A337" s="1">
        <v>335</v>
      </c>
      <c r="C337" s="1" t="s">
        <v>63</v>
      </c>
      <c r="D337" s="1" t="s">
        <v>17</v>
      </c>
      <c r="E337" s="1">
        <v>21.6</v>
      </c>
      <c r="F337" s="1">
        <v>290</v>
      </c>
      <c r="G337" s="1">
        <v>15</v>
      </c>
      <c r="H337" s="1">
        <v>0.42044943950860098</v>
      </c>
      <c r="I337" s="1">
        <v>2.5411360951050801</v>
      </c>
      <c r="J337" s="1">
        <v>771.01417813613489</v>
      </c>
      <c r="K337" s="1">
        <v>0.42044943950860098</v>
      </c>
      <c r="L337" s="1">
        <v>2.5411360951050801</v>
      </c>
      <c r="M337" s="1">
        <v>771.01417813613489</v>
      </c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3">
      <c r="A338" s="1">
        <v>336</v>
      </c>
      <c r="C338" s="1" t="s">
        <v>63</v>
      </c>
      <c r="D338" s="1" t="s">
        <v>17</v>
      </c>
      <c r="E338" s="1">
        <v>21.6</v>
      </c>
      <c r="F338" s="1">
        <v>291</v>
      </c>
      <c r="G338" s="1">
        <v>30</v>
      </c>
      <c r="H338" s="1">
        <v>0.42524906207413954</v>
      </c>
      <c r="I338" s="1">
        <v>2.5292102520139119</v>
      </c>
      <c r="J338" s="1">
        <v>824.30320824388582</v>
      </c>
      <c r="K338" s="1">
        <v>0.42524906207413954</v>
      </c>
      <c r="L338" s="1">
        <v>2.5292102520139119</v>
      </c>
      <c r="M338" s="1">
        <v>824.30320824388582</v>
      </c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3">
      <c r="A339" s="1">
        <v>337</v>
      </c>
      <c r="C339" s="1" t="s">
        <v>63</v>
      </c>
      <c r="D339" s="1" t="s">
        <v>17</v>
      </c>
      <c r="E339" s="1">
        <v>21.6</v>
      </c>
      <c r="F339" s="1">
        <v>292</v>
      </c>
      <c r="G339" s="1">
        <v>45</v>
      </c>
      <c r="H339" s="1">
        <v>0.43088717291919987</v>
      </c>
      <c r="I339" s="1">
        <v>2.6083544834371191</v>
      </c>
      <c r="J339" s="1">
        <v>921.93656433681383</v>
      </c>
      <c r="K339" s="1">
        <v>0.43088717291919987</v>
      </c>
      <c r="L339" s="1">
        <v>2.6083544834371191</v>
      </c>
      <c r="M339" s="1">
        <v>921.93656433681383</v>
      </c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3">
      <c r="A340" s="1">
        <v>338</v>
      </c>
      <c r="C340" s="1" t="s">
        <v>63</v>
      </c>
      <c r="E340" s="1">
        <v>21.6</v>
      </c>
      <c r="F340" s="1" t="s">
        <v>74</v>
      </c>
      <c r="H340" s="1">
        <v>0.407081816017834</v>
      </c>
      <c r="I340" s="1">
        <v>2.7026770606127219</v>
      </c>
      <c r="J340" s="1">
        <v>460.97431772709689</v>
      </c>
      <c r="K340" s="1">
        <v>0.407081816017834</v>
      </c>
      <c r="L340" s="1">
        <v>2.7026770606127219</v>
      </c>
      <c r="M340" s="1">
        <v>460.97431772709689</v>
      </c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3">
      <c r="A341" s="1">
        <v>339</v>
      </c>
      <c r="C341" s="1" t="s">
        <v>63</v>
      </c>
      <c r="E341" s="1">
        <v>21.6</v>
      </c>
      <c r="F341" s="1" t="s">
        <v>75</v>
      </c>
      <c r="H341" s="1">
        <v>0.40122203585749777</v>
      </c>
      <c r="I341" s="1">
        <v>2.5270419169064269</v>
      </c>
      <c r="J341" s="1">
        <v>393.04876490787711</v>
      </c>
      <c r="K341" s="1">
        <v>0.40122203585749777</v>
      </c>
      <c r="L341" s="1">
        <v>2.5270419169064269</v>
      </c>
      <c r="M341" s="1">
        <v>393.04876490787711</v>
      </c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3">
      <c r="A342" s="1">
        <v>340</v>
      </c>
      <c r="C342" s="1" t="s">
        <v>63</v>
      </c>
      <c r="E342" s="1">
        <v>21.6</v>
      </c>
      <c r="F342" s="1" t="s">
        <v>76</v>
      </c>
      <c r="H342" s="1">
        <v>0.40230146904492808</v>
      </c>
      <c r="I342" s="1">
        <v>2.5508936030887632</v>
      </c>
      <c r="J342" s="1">
        <v>407.14622687612649</v>
      </c>
      <c r="K342" s="1">
        <v>0.40230146904492808</v>
      </c>
      <c r="L342" s="1">
        <v>2.5508936030887632</v>
      </c>
      <c r="M342" s="1">
        <v>407.14622687612649</v>
      </c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3">
      <c r="A343" s="1">
        <v>341</v>
      </c>
      <c r="B343" s="1" t="s">
        <v>77</v>
      </c>
      <c r="C343" s="1" t="s">
        <v>63</v>
      </c>
      <c r="D343" s="1" t="s">
        <v>17</v>
      </c>
      <c r="E343" s="1">
        <v>17.100000000000001</v>
      </c>
      <c r="F343" s="1">
        <v>633</v>
      </c>
      <c r="G343" s="1">
        <v>0</v>
      </c>
      <c r="H343" s="1">
        <v>0.39758761653721869</v>
      </c>
      <c r="I343" s="1">
        <v>1.8278337531486146</v>
      </c>
      <c r="J343" s="1">
        <v>389.55049375681551</v>
      </c>
      <c r="K343" s="1">
        <v>0.39758761653721869</v>
      </c>
      <c r="L343" s="1">
        <v>1.8278337531486146</v>
      </c>
      <c r="M343" s="1">
        <v>389.55049375681551</v>
      </c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3">
      <c r="A344" s="1">
        <v>342</v>
      </c>
      <c r="C344" s="1" t="s">
        <v>63</v>
      </c>
      <c r="D344" s="1" t="s">
        <v>17</v>
      </c>
      <c r="E344" s="1">
        <v>17.100000000000001</v>
      </c>
      <c r="F344" s="1">
        <v>634</v>
      </c>
      <c r="G344" s="1">
        <v>15</v>
      </c>
      <c r="H344" s="1">
        <v>0.39829842653242387</v>
      </c>
      <c r="I344" s="1">
        <v>2.0230579345088162</v>
      </c>
      <c r="J344" s="1">
        <v>584.13676274908551</v>
      </c>
      <c r="K344" s="1">
        <v>0.39829842653242387</v>
      </c>
      <c r="L344" s="1">
        <v>2.0230579345088162</v>
      </c>
      <c r="M344" s="1">
        <v>584.13676274908551</v>
      </c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3">
      <c r="A345" s="1">
        <v>343</v>
      </c>
      <c r="C345" s="1" t="s">
        <v>63</v>
      </c>
      <c r="D345" s="1" t="s">
        <v>17</v>
      </c>
      <c r="E345" s="1">
        <v>17.100000000000001</v>
      </c>
      <c r="F345" s="1">
        <v>635</v>
      </c>
      <c r="G345" s="1">
        <v>30</v>
      </c>
      <c r="H345" s="1">
        <v>0.39818316004671495</v>
      </c>
      <c r="I345" s="1">
        <v>1.8786146095717886</v>
      </c>
      <c r="J345" s="1">
        <v>581.6030311727028</v>
      </c>
      <c r="K345" s="1">
        <v>0.39818316004671495</v>
      </c>
      <c r="L345" s="1">
        <v>1.8786146095717886</v>
      </c>
      <c r="M345" s="1">
        <v>581.6030311727028</v>
      </c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3">
      <c r="A346" s="1">
        <v>344</v>
      </c>
      <c r="C346" s="1" t="s">
        <v>63</v>
      </c>
      <c r="D346" s="1" t="s">
        <v>17</v>
      </c>
      <c r="E346" s="1">
        <v>17.100000000000001</v>
      </c>
      <c r="F346" s="1">
        <v>636</v>
      </c>
      <c r="G346" s="1">
        <v>45</v>
      </c>
      <c r="H346" s="1">
        <v>0.39842329855860859</v>
      </c>
      <c r="I346" s="1">
        <v>1.8650730478589423</v>
      </c>
      <c r="J346" s="1">
        <v>646.28528442344782</v>
      </c>
      <c r="K346" s="1">
        <v>0.39842329855860859</v>
      </c>
      <c r="L346" s="1">
        <v>1.8650730478589423</v>
      </c>
      <c r="M346" s="1">
        <v>646.28528442344782</v>
      </c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3">
      <c r="A347" s="1">
        <v>345</v>
      </c>
      <c r="C347" s="1" t="s">
        <v>63</v>
      </c>
      <c r="D347" s="1" t="s">
        <v>16</v>
      </c>
      <c r="E347" s="1">
        <v>17.100000000000001</v>
      </c>
      <c r="F347" s="1">
        <v>637</v>
      </c>
      <c r="G347" s="1">
        <v>0</v>
      </c>
      <c r="H347" s="1">
        <v>0.39478279871830074</v>
      </c>
      <c r="I347" s="1">
        <v>1.8267052896725442</v>
      </c>
      <c r="J347" s="1">
        <v>410.54230782363294</v>
      </c>
      <c r="K347" s="1">
        <v>0.39478279871830074</v>
      </c>
      <c r="L347" s="1">
        <v>1.8267052896725442</v>
      </c>
      <c r="M347" s="1">
        <v>410.54230782363294</v>
      </c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3">
      <c r="A348" s="1">
        <v>346</v>
      </c>
      <c r="C348" s="1" t="s">
        <v>63</v>
      </c>
      <c r="D348" s="1" t="s">
        <v>16</v>
      </c>
      <c r="E348" s="1">
        <v>17.100000000000001</v>
      </c>
      <c r="F348" s="1">
        <v>638</v>
      </c>
      <c r="G348" s="1">
        <v>15</v>
      </c>
      <c r="H348" s="1">
        <v>0.39981610192759182</v>
      </c>
      <c r="I348" s="1">
        <v>1.9045692695214109</v>
      </c>
      <c r="J348" s="1">
        <v>658.88527749299317</v>
      </c>
      <c r="K348" s="1">
        <v>0.39981610192759182</v>
      </c>
      <c r="L348" s="1">
        <v>1.9045692695214109</v>
      </c>
      <c r="M348" s="1">
        <v>658.88527749299317</v>
      </c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3">
      <c r="A349" s="1">
        <v>347</v>
      </c>
      <c r="C349" s="1" t="s">
        <v>63</v>
      </c>
      <c r="D349" s="1" t="s">
        <v>16</v>
      </c>
      <c r="E349" s="1">
        <v>17.100000000000001</v>
      </c>
      <c r="F349" s="1">
        <v>639</v>
      </c>
      <c r="G349" s="1">
        <v>30</v>
      </c>
      <c r="H349" s="1">
        <v>0.40481098297497997</v>
      </c>
      <c r="I349" s="1">
        <v>1.9271385390428215</v>
      </c>
      <c r="J349" s="1">
        <v>876.35262381809423</v>
      </c>
      <c r="K349" s="1">
        <v>0.40481098297497997</v>
      </c>
      <c r="L349" s="1">
        <v>1.9271385390428215</v>
      </c>
      <c r="M349" s="1">
        <v>876.35262381809423</v>
      </c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3">
      <c r="A350" s="1">
        <v>348</v>
      </c>
      <c r="C350" s="1" t="s">
        <v>63</v>
      </c>
      <c r="D350" s="1" t="s">
        <v>16</v>
      </c>
      <c r="E350" s="1">
        <v>17.100000000000001</v>
      </c>
      <c r="F350" s="1">
        <v>640</v>
      </c>
      <c r="G350" s="1">
        <v>45</v>
      </c>
      <c r="H350" s="1">
        <v>0.40907584294621135</v>
      </c>
      <c r="I350" s="1">
        <v>1.9226246851385391</v>
      </c>
      <c r="J350" s="1">
        <v>998.41217520950977</v>
      </c>
      <c r="K350" s="1">
        <v>0.40907584294621135</v>
      </c>
      <c r="L350" s="1">
        <v>1.9226246851385391</v>
      </c>
      <c r="M350" s="1">
        <v>998.41217520950977</v>
      </c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3">
      <c r="A351" s="1">
        <v>349</v>
      </c>
      <c r="C351" s="1" t="s">
        <v>63</v>
      </c>
      <c r="D351" s="1" t="s">
        <v>16</v>
      </c>
      <c r="E351" s="1">
        <v>17.100000000000001</v>
      </c>
      <c r="F351" s="1">
        <v>641</v>
      </c>
      <c r="G351" s="1">
        <v>0</v>
      </c>
      <c r="H351" s="1">
        <v>0.39538794776827269</v>
      </c>
      <c r="I351" s="1">
        <v>1.8616876574307306</v>
      </c>
      <c r="J351" s="1">
        <v>424.84518823990703</v>
      </c>
      <c r="K351" s="1">
        <v>0.39538794776827269</v>
      </c>
      <c r="L351" s="1">
        <v>1.8616876574307306</v>
      </c>
      <c r="M351" s="1">
        <v>424.84518823990703</v>
      </c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3">
      <c r="A352" s="1">
        <v>350</v>
      </c>
      <c r="C352" s="1" t="s">
        <v>63</v>
      </c>
      <c r="D352" s="1" t="s">
        <v>16</v>
      </c>
      <c r="E352" s="1">
        <v>17.100000000000001</v>
      </c>
      <c r="F352" s="1">
        <v>642</v>
      </c>
      <c r="G352" s="1">
        <v>15</v>
      </c>
      <c r="H352" s="1">
        <v>0.39853856504431756</v>
      </c>
      <c r="I352" s="1">
        <v>2.1088211586901764</v>
      </c>
      <c r="J352" s="1">
        <v>538.42855900742688</v>
      </c>
      <c r="K352" s="1">
        <v>0.39853856504431756</v>
      </c>
      <c r="L352" s="1">
        <v>2.1088211586901764</v>
      </c>
      <c r="M352" s="1">
        <v>538.42855900742688</v>
      </c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3">
      <c r="A353" s="1">
        <v>351</v>
      </c>
      <c r="C353" s="1" t="s">
        <v>63</v>
      </c>
      <c r="D353" s="1" t="s">
        <v>16</v>
      </c>
      <c r="E353" s="1">
        <v>17.100000000000001</v>
      </c>
      <c r="F353" s="1">
        <v>643</v>
      </c>
      <c r="G353" s="1">
        <v>30</v>
      </c>
      <c r="H353" s="1">
        <v>0.40055572854422428</v>
      </c>
      <c r="I353" s="1">
        <v>1.9023123425692696</v>
      </c>
      <c r="J353" s="1">
        <v>573.57415275509061</v>
      </c>
      <c r="K353" s="1">
        <v>0.40055572854422428</v>
      </c>
      <c r="L353" s="1">
        <v>1.9023123425692696</v>
      </c>
      <c r="M353" s="1">
        <v>573.57415275509061</v>
      </c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3">
      <c r="A354" s="1">
        <v>352</v>
      </c>
      <c r="C354" s="1" t="s">
        <v>63</v>
      </c>
      <c r="D354" s="1" t="s">
        <v>16</v>
      </c>
      <c r="E354" s="1">
        <v>17.100000000000001</v>
      </c>
      <c r="F354" s="1">
        <v>644</v>
      </c>
      <c r="G354" s="1">
        <v>45</v>
      </c>
      <c r="H354" s="1">
        <v>0.40178523772511987</v>
      </c>
      <c r="I354" s="1">
        <v>1.9011838790931992</v>
      </c>
      <c r="J354" s="1">
        <v>584.92444623953656</v>
      </c>
      <c r="K354" s="1">
        <v>0.40178523772511987</v>
      </c>
      <c r="L354" s="1">
        <v>1.9011838790931992</v>
      </c>
      <c r="M354" s="1">
        <v>584.92444623953656</v>
      </c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3">
      <c r="A355" s="1">
        <v>353</v>
      </c>
      <c r="C355" s="1" t="s">
        <v>63</v>
      </c>
      <c r="D355" s="1" t="s">
        <v>16</v>
      </c>
      <c r="E355" s="1">
        <v>17.100000000000001</v>
      </c>
      <c r="F355" s="1">
        <v>645</v>
      </c>
      <c r="G355" s="1">
        <v>0</v>
      </c>
      <c r="H355" s="1">
        <v>0.39540715884922428</v>
      </c>
      <c r="I355" s="1">
        <v>1.862816120906801</v>
      </c>
      <c r="J355" s="1">
        <v>406.70590666403837</v>
      </c>
      <c r="K355" s="1">
        <v>0.39540715884922428</v>
      </c>
      <c r="L355" s="1">
        <v>1.862816120906801</v>
      </c>
      <c r="M355" s="1">
        <v>406.70590666403837</v>
      </c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3">
      <c r="A356" s="1">
        <v>354</v>
      </c>
      <c r="C356" s="1" t="s">
        <v>63</v>
      </c>
      <c r="D356" s="1" t="s">
        <v>16</v>
      </c>
      <c r="E356" s="1">
        <v>17.100000000000001</v>
      </c>
      <c r="F356" s="1">
        <v>646</v>
      </c>
      <c r="G356" s="1">
        <v>15</v>
      </c>
      <c r="H356" s="1">
        <v>0.40652076917966284</v>
      </c>
      <c r="I356" s="1">
        <v>2.0975365239294712</v>
      </c>
      <c r="J356" s="1">
        <v>661.39350499621048</v>
      </c>
      <c r="K356" s="1">
        <v>0.40652076917966284</v>
      </c>
      <c r="L356" s="1">
        <v>2.0975365239294712</v>
      </c>
      <c r="M356" s="1">
        <v>661.39350499621048</v>
      </c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3">
      <c r="A357" s="1">
        <v>355</v>
      </c>
      <c r="C357" s="1" t="s">
        <v>63</v>
      </c>
      <c r="D357" s="1" t="s">
        <v>16</v>
      </c>
      <c r="E357" s="1">
        <v>17.100000000000001</v>
      </c>
      <c r="F357" s="1">
        <v>647</v>
      </c>
      <c r="G357" s="1">
        <v>30</v>
      </c>
      <c r="H357" s="1">
        <v>0.40752935092961623</v>
      </c>
      <c r="I357" s="1">
        <v>1.9305239294710328</v>
      </c>
      <c r="J357" s="1">
        <v>703.52329108760046</v>
      </c>
      <c r="K357" s="1">
        <v>0.40752935092961623</v>
      </c>
      <c r="L357" s="1">
        <v>1.9305239294710328</v>
      </c>
      <c r="M357" s="1">
        <v>703.52329108760046</v>
      </c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3">
      <c r="A358" s="1">
        <v>356</v>
      </c>
      <c r="C358" s="1" t="s">
        <v>63</v>
      </c>
      <c r="D358" s="1" t="s">
        <v>16</v>
      </c>
      <c r="E358" s="1">
        <v>17.100000000000001</v>
      </c>
      <c r="F358" s="1">
        <v>648</v>
      </c>
      <c r="G358" s="1">
        <v>45</v>
      </c>
      <c r="H358" s="1">
        <v>0.40941203686286248</v>
      </c>
      <c r="I358" s="1">
        <v>1.9124685138539044</v>
      </c>
      <c r="J358" s="1">
        <v>733.1786426234894</v>
      </c>
      <c r="K358" s="1">
        <v>0.40941203686286248</v>
      </c>
      <c r="L358" s="1">
        <v>1.9124685138539044</v>
      </c>
      <c r="M358" s="1">
        <v>733.1786426234894</v>
      </c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3">
      <c r="A359" s="1">
        <v>357</v>
      </c>
      <c r="C359" s="1" t="s">
        <v>63</v>
      </c>
      <c r="D359" s="1" t="s">
        <v>16</v>
      </c>
      <c r="E359" s="1">
        <v>17.100000000000001</v>
      </c>
      <c r="F359" s="1">
        <v>649</v>
      </c>
      <c r="G359" s="1">
        <v>0</v>
      </c>
      <c r="H359" s="1">
        <v>0.39752998329436418</v>
      </c>
      <c r="I359" s="1">
        <v>1.8763576826196475</v>
      </c>
      <c r="J359" s="1">
        <v>568.07410128440631</v>
      </c>
      <c r="K359" s="1">
        <v>0.39752998329436418</v>
      </c>
      <c r="L359" s="1">
        <v>1.8763576826196475</v>
      </c>
      <c r="M359" s="1">
        <v>568.07410128440631</v>
      </c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3">
      <c r="A360" s="1">
        <v>358</v>
      </c>
      <c r="C360" s="1" t="s">
        <v>63</v>
      </c>
      <c r="D360" s="1" t="s">
        <v>16</v>
      </c>
      <c r="E360" s="1">
        <v>17.100000000000001</v>
      </c>
      <c r="F360" s="1">
        <v>650</v>
      </c>
      <c r="G360" s="1">
        <v>15</v>
      </c>
      <c r="H360" s="1">
        <v>0.39850014288241459</v>
      </c>
      <c r="I360" s="1">
        <v>2.1031788413098238</v>
      </c>
      <c r="J360" s="1">
        <v>463.27296001876562</v>
      </c>
      <c r="K360" s="1">
        <v>0.39850014288241459</v>
      </c>
      <c r="L360" s="1">
        <v>2.1031788413098238</v>
      </c>
      <c r="M360" s="1">
        <v>463.27296001876562</v>
      </c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3">
      <c r="A361" s="1">
        <v>359</v>
      </c>
      <c r="C361" s="1" t="s">
        <v>63</v>
      </c>
      <c r="D361" s="1" t="s">
        <v>16</v>
      </c>
      <c r="E361" s="1">
        <v>17.100000000000001</v>
      </c>
      <c r="F361" s="1">
        <v>651</v>
      </c>
      <c r="G361" s="1">
        <v>30</v>
      </c>
      <c r="H361" s="1">
        <v>0.39706891735152833</v>
      </c>
      <c r="I361" s="1">
        <v>1.8865138539042825</v>
      </c>
      <c r="J361" s="1">
        <v>451.94522782981193</v>
      </c>
      <c r="K361" s="1">
        <v>0.39706891735152833</v>
      </c>
      <c r="L361" s="1">
        <v>1.8865138539042825</v>
      </c>
      <c r="M361" s="1">
        <v>451.94522782981193</v>
      </c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3">
      <c r="A362" s="1">
        <v>360</v>
      </c>
      <c r="C362" s="1" t="s">
        <v>63</v>
      </c>
      <c r="D362" s="1" t="s">
        <v>16</v>
      </c>
      <c r="E362" s="1">
        <v>17.100000000000001</v>
      </c>
      <c r="F362" s="1">
        <v>652</v>
      </c>
      <c r="G362" s="1">
        <v>45</v>
      </c>
      <c r="H362" s="1">
        <v>0.39723221153961608</v>
      </c>
      <c r="I362" s="1">
        <v>1.8616876574307306</v>
      </c>
      <c r="J362" s="1">
        <v>526.31902888336799</v>
      </c>
      <c r="K362" s="1">
        <v>0.39723221153961608</v>
      </c>
      <c r="L362" s="1">
        <v>1.8616876574307306</v>
      </c>
      <c r="M362" s="1">
        <v>526.31902888336799</v>
      </c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3">
      <c r="A363" s="1">
        <v>361</v>
      </c>
      <c r="C363" s="1" t="s">
        <v>63</v>
      </c>
      <c r="D363" s="1" t="s">
        <v>16</v>
      </c>
      <c r="E363" s="1">
        <v>17.100000000000001</v>
      </c>
      <c r="F363" s="1">
        <v>653</v>
      </c>
      <c r="G363" s="1">
        <v>0</v>
      </c>
      <c r="H363" s="1">
        <v>0.39527268128256376</v>
      </c>
      <c r="I363" s="1">
        <v>1.8312191435768264</v>
      </c>
      <c r="J363" s="1">
        <v>393.01708585551324</v>
      </c>
      <c r="K363" s="1">
        <v>0.39527268128256376</v>
      </c>
      <c r="L363" s="1">
        <v>1.8312191435768264</v>
      </c>
      <c r="M363" s="1">
        <v>393.01708585551324</v>
      </c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3">
      <c r="A364" s="1">
        <v>362</v>
      </c>
      <c r="C364" s="1" t="s">
        <v>63</v>
      </c>
      <c r="D364" s="1" t="s">
        <v>16</v>
      </c>
      <c r="E364" s="1">
        <v>17.100000000000001</v>
      </c>
      <c r="F364" s="1">
        <v>654</v>
      </c>
      <c r="G364" s="1">
        <v>15</v>
      </c>
      <c r="H364" s="1">
        <v>0.40758698417247063</v>
      </c>
      <c r="I364" s="1">
        <v>2.1009219143576829</v>
      </c>
      <c r="J364" s="1">
        <v>804.5616006354694</v>
      </c>
      <c r="K364" s="1">
        <v>0.40758698417247063</v>
      </c>
      <c r="L364" s="1">
        <v>2.1009219143576829</v>
      </c>
      <c r="M364" s="1">
        <v>804.5616006354694</v>
      </c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3">
      <c r="A365" s="1">
        <v>363</v>
      </c>
      <c r="C365" s="1" t="s">
        <v>63</v>
      </c>
      <c r="D365" s="1" t="s">
        <v>16</v>
      </c>
      <c r="E365" s="1">
        <v>17.100000000000001</v>
      </c>
      <c r="F365" s="1">
        <v>655</v>
      </c>
      <c r="G365" s="1">
        <v>30</v>
      </c>
      <c r="H365" s="1">
        <v>0.41049746293662182</v>
      </c>
      <c r="I365" s="1">
        <v>2.0591687657430731</v>
      </c>
      <c r="J365" s="1">
        <v>934.8305208084364</v>
      </c>
      <c r="K365" s="1">
        <v>0.41049746293662182</v>
      </c>
      <c r="L365" s="1">
        <v>2.0591687657430731</v>
      </c>
      <c r="M365" s="1">
        <v>934.8305208084364</v>
      </c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3">
      <c r="A366" s="1">
        <v>364</v>
      </c>
      <c r="C366" s="1" t="s">
        <v>63</v>
      </c>
      <c r="D366" s="1" t="s">
        <v>16</v>
      </c>
      <c r="E366" s="1">
        <v>17.100000000000001</v>
      </c>
      <c r="F366" s="1">
        <v>656</v>
      </c>
      <c r="G366" s="1">
        <v>45</v>
      </c>
      <c r="H366" s="1">
        <v>0.41515615006735884</v>
      </c>
      <c r="I366" s="1">
        <v>1.9677632241813603</v>
      </c>
      <c r="J366" s="1">
        <v>1042.6509519664912</v>
      </c>
      <c r="K366" s="1">
        <v>0.41515615006735884</v>
      </c>
      <c r="L366" s="1">
        <v>1.9677632241813603</v>
      </c>
      <c r="M366" s="1">
        <v>1042.6509519664912</v>
      </c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3">
      <c r="A367" s="1">
        <v>365</v>
      </c>
      <c r="C367" s="1" t="s">
        <v>63</v>
      </c>
      <c r="D367" s="1" t="s">
        <v>16</v>
      </c>
      <c r="E367" s="1">
        <v>17.100000000000001</v>
      </c>
      <c r="F367" s="1">
        <v>657</v>
      </c>
      <c r="G367" s="1">
        <v>0</v>
      </c>
      <c r="H367" s="1">
        <v>0.3968095677586832</v>
      </c>
      <c r="I367" s="1">
        <v>1.8368614609571792</v>
      </c>
      <c r="J367" s="1">
        <v>397.58035310031863</v>
      </c>
      <c r="K367" s="1">
        <v>0.3968095677586832</v>
      </c>
      <c r="L367" s="1">
        <v>1.8368614609571792</v>
      </c>
      <c r="M367" s="1">
        <v>397.58035310031863</v>
      </c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3">
      <c r="A368" s="1">
        <v>366</v>
      </c>
      <c r="C368" s="1" t="s">
        <v>63</v>
      </c>
      <c r="D368" s="1" t="s">
        <v>16</v>
      </c>
      <c r="E368" s="1">
        <v>17.100000000000001</v>
      </c>
      <c r="F368" s="1">
        <v>658</v>
      </c>
      <c r="G368" s="1">
        <v>15</v>
      </c>
      <c r="H368" s="1">
        <v>0.39883633679906572</v>
      </c>
      <c r="I368" s="1">
        <v>1.9971032745591941</v>
      </c>
      <c r="J368" s="1">
        <v>508.46519674177244</v>
      </c>
      <c r="K368" s="1">
        <v>0.39883633679906572</v>
      </c>
      <c r="L368" s="1">
        <v>1.9971032745591941</v>
      </c>
      <c r="M368" s="1">
        <v>508.46519674177244</v>
      </c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3">
      <c r="A369" s="1">
        <v>367</v>
      </c>
      <c r="C369" s="1" t="s">
        <v>63</v>
      </c>
      <c r="D369" s="1" t="s">
        <v>16</v>
      </c>
      <c r="E369" s="1">
        <v>17.100000000000001</v>
      </c>
      <c r="F369" s="1">
        <v>659</v>
      </c>
      <c r="G369" s="1">
        <v>30</v>
      </c>
      <c r="H369" s="1">
        <v>0.39933582490380454</v>
      </c>
      <c r="I369" s="1">
        <v>1.8786146095717886</v>
      </c>
      <c r="J369" s="1">
        <v>509.16753967970897</v>
      </c>
      <c r="K369" s="1">
        <v>0.39933582490380454</v>
      </c>
      <c r="L369" s="1">
        <v>1.8786146095717886</v>
      </c>
      <c r="M369" s="1">
        <v>509.16753967970897</v>
      </c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3">
      <c r="A370" s="1">
        <v>368</v>
      </c>
      <c r="C370" s="1" t="s">
        <v>63</v>
      </c>
      <c r="D370" s="1" t="s">
        <v>16</v>
      </c>
      <c r="E370" s="1">
        <v>17.100000000000001</v>
      </c>
      <c r="F370" s="1">
        <v>660</v>
      </c>
      <c r="G370" s="1">
        <v>45</v>
      </c>
      <c r="H370" s="1">
        <v>0.39931661382285305</v>
      </c>
      <c r="I370" s="1">
        <v>1.8707153652392949</v>
      </c>
      <c r="J370" s="1">
        <v>521.993145704178</v>
      </c>
      <c r="K370" s="1">
        <v>0.39931661382285305</v>
      </c>
      <c r="L370" s="1">
        <v>1.8707153652392949</v>
      </c>
      <c r="M370" s="1">
        <v>521.993145704178</v>
      </c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3">
      <c r="A371" s="1">
        <v>369</v>
      </c>
      <c r="C371" s="1" t="s">
        <v>63</v>
      </c>
      <c r="D371" s="1" t="s">
        <v>17</v>
      </c>
      <c r="E371" s="1">
        <v>17.100000000000001</v>
      </c>
      <c r="F371" s="1">
        <v>661</v>
      </c>
      <c r="G371" s="1">
        <v>0</v>
      </c>
      <c r="H371" s="1">
        <v>0.39715536721581007</v>
      </c>
      <c r="I371" s="1">
        <v>1.8549168765743076</v>
      </c>
      <c r="J371" s="1">
        <v>392.5168136511171</v>
      </c>
      <c r="K371" s="1">
        <v>0.39715536721581007</v>
      </c>
      <c r="L371" s="1">
        <v>1.8549168765743076</v>
      </c>
      <c r="M371" s="1">
        <v>392.5168136511171</v>
      </c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3">
      <c r="A372" s="1">
        <v>370</v>
      </c>
      <c r="C372" s="1" t="s">
        <v>63</v>
      </c>
      <c r="D372" s="1" t="s">
        <v>17</v>
      </c>
      <c r="E372" s="1">
        <v>17.100000000000001</v>
      </c>
      <c r="F372" s="1">
        <v>662</v>
      </c>
      <c r="G372" s="1">
        <v>15</v>
      </c>
      <c r="H372" s="1">
        <v>0.40055572854422428</v>
      </c>
      <c r="I372" s="1">
        <v>1.9327808564231741</v>
      </c>
      <c r="J372" s="1">
        <v>564.48587437522781</v>
      </c>
      <c r="K372" s="1">
        <v>0.40055572854422428</v>
      </c>
      <c r="L372" s="1">
        <v>1.9327808564231741</v>
      </c>
      <c r="M372" s="1">
        <v>564.48587437522781</v>
      </c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3">
      <c r="A373" s="1">
        <v>371</v>
      </c>
      <c r="C373" s="1" t="s">
        <v>63</v>
      </c>
      <c r="D373" s="1" t="s">
        <v>17</v>
      </c>
      <c r="E373" s="1">
        <v>17.100000000000001</v>
      </c>
      <c r="F373" s="1">
        <v>663</v>
      </c>
      <c r="G373" s="1">
        <v>30</v>
      </c>
      <c r="H373" s="1">
        <v>0.40071902273231197</v>
      </c>
      <c r="I373" s="1">
        <v>1.8921561712846351</v>
      </c>
      <c r="J373" s="1">
        <v>612.31680174495148</v>
      </c>
      <c r="K373" s="1">
        <v>0.40071902273231197</v>
      </c>
      <c r="L373" s="1">
        <v>1.8921561712846351</v>
      </c>
      <c r="M373" s="1">
        <v>612.31680174495148</v>
      </c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3">
      <c r="A374" s="1">
        <v>372</v>
      </c>
      <c r="C374" s="1" t="s">
        <v>63</v>
      </c>
      <c r="D374" s="1" t="s">
        <v>17</v>
      </c>
      <c r="E374" s="1">
        <v>17.100000000000001</v>
      </c>
      <c r="F374" s="1">
        <v>664</v>
      </c>
      <c r="G374" s="1">
        <v>45</v>
      </c>
      <c r="H374" s="1">
        <v>0.40169878786083818</v>
      </c>
      <c r="I374" s="1">
        <v>1.8402468513853905</v>
      </c>
      <c r="J374" s="1">
        <v>657.1833710721553</v>
      </c>
      <c r="K374" s="1">
        <v>0.40169878786083818</v>
      </c>
      <c r="L374" s="1">
        <v>1.8402468513853905</v>
      </c>
      <c r="M374" s="1">
        <v>657.1833710721553</v>
      </c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3">
      <c r="A375" s="1">
        <v>373</v>
      </c>
      <c r="C375" s="1" t="s">
        <v>63</v>
      </c>
      <c r="F375" s="1" t="s">
        <v>78</v>
      </c>
      <c r="H375" s="1">
        <v>0.39723221153961608</v>
      </c>
      <c r="I375" s="1">
        <v>1.8289622166246853</v>
      </c>
      <c r="J375" s="1">
        <v>407.33271830836998</v>
      </c>
      <c r="K375" s="1">
        <v>0.39723221153961608</v>
      </c>
      <c r="L375" s="1">
        <v>1.8289622166246853</v>
      </c>
      <c r="M375" s="1">
        <v>407.33271830836998</v>
      </c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3">
      <c r="A376" s="1">
        <v>374</v>
      </c>
      <c r="C376" s="1" t="s">
        <v>63</v>
      </c>
      <c r="F376" s="1" t="s">
        <v>79</v>
      </c>
      <c r="H376" s="1">
        <v>0.3963677128967989</v>
      </c>
      <c r="I376" s="1">
        <v>1.8346045340050379</v>
      </c>
      <c r="J376" s="1">
        <v>404.56552636993575</v>
      </c>
      <c r="K376" s="1">
        <v>0.3963677128967989</v>
      </c>
      <c r="L376" s="1">
        <v>1.8346045340050379</v>
      </c>
      <c r="M376" s="1">
        <v>404.56552636993575</v>
      </c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3">
      <c r="A377" s="1">
        <v>375</v>
      </c>
      <c r="C377" s="1" t="s">
        <v>63</v>
      </c>
      <c r="F377" s="1" t="s">
        <v>80</v>
      </c>
      <c r="H377" s="1">
        <v>0.39626205195156566</v>
      </c>
      <c r="I377" s="1">
        <v>1.8334760705289674</v>
      </c>
      <c r="J377" s="1">
        <v>402.13871571566909</v>
      </c>
      <c r="K377" s="1">
        <v>0.39626205195156566</v>
      </c>
      <c r="L377" s="1">
        <v>1.8334760705289674</v>
      </c>
      <c r="M377" s="1">
        <v>402.13871571566909</v>
      </c>
      <c r="N377" s="1"/>
      <c r="O377" s="1"/>
      <c r="P377" s="1"/>
      <c r="Q377" s="1"/>
      <c r="R377" s="1"/>
      <c r="S377" s="1"/>
      <c r="T377" s="1"/>
      <c r="U377" s="1"/>
      <c r="V377" s="1"/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9560-8234-4397-9CA6-771F34CA52A0}">
  <dimension ref="A2:S344"/>
  <sheetViews>
    <sheetView tabSelected="1" workbookViewId="0">
      <selection activeCell="C17" sqref="C17"/>
    </sheetView>
  </sheetViews>
  <sheetFormatPr defaultColWidth="11.5546875" defaultRowHeight="14.4" x14ac:dyDescent="0.3"/>
  <cols>
    <col min="1" max="1" width="11.5546875" style="1" customWidth="1"/>
    <col min="2" max="2" width="18" style="1" customWidth="1"/>
    <col min="3" max="3" width="17.88671875" style="1" customWidth="1"/>
    <col min="4" max="9" width="11.5546875" style="1" customWidth="1"/>
    <col min="10" max="10" width="17.5546875" style="1" customWidth="1"/>
    <col min="11" max="11" width="13.44140625" style="1" customWidth="1"/>
    <col min="12" max="12" width="14" style="1" customWidth="1"/>
    <col min="13" max="13" width="14.44140625" style="1" customWidth="1"/>
    <col min="14" max="14" width="16.109375" style="1" customWidth="1"/>
    <col min="15" max="15" width="15.44140625" style="1" customWidth="1"/>
    <col min="16" max="16" width="17" style="1" customWidth="1"/>
    <col min="17" max="17" width="16.5546875" style="1" customWidth="1"/>
    <col min="18" max="18" width="15.5546875" style="1" customWidth="1"/>
    <col min="19" max="19" width="18.109375" style="1" customWidth="1"/>
    <col min="20" max="20" width="11.5546875" style="1" customWidth="1"/>
    <col min="21" max="16384" width="11.5546875" style="1"/>
  </cols>
  <sheetData>
    <row r="2" spans="1:19" customFormat="1" ht="16.8" x14ac:dyDescent="0.35">
      <c r="A2" s="1"/>
      <c r="B2" s="1"/>
      <c r="C2" s="1"/>
      <c r="D2" s="2" t="s">
        <v>0</v>
      </c>
      <c r="E2" s="1"/>
      <c r="F2" s="1"/>
      <c r="G2" s="2" t="s">
        <v>1</v>
      </c>
      <c r="H2" s="2" t="s">
        <v>2</v>
      </c>
      <c r="I2" s="2" t="s">
        <v>3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</row>
    <row r="3" spans="1:19" x14ac:dyDescent="0.3">
      <c r="A3" s="1">
        <v>1</v>
      </c>
      <c r="B3" s="1" t="s">
        <v>81</v>
      </c>
      <c r="C3" s="1" t="s">
        <v>15</v>
      </c>
      <c r="D3" s="1">
        <v>11</v>
      </c>
      <c r="E3" s="1">
        <v>33</v>
      </c>
      <c r="F3" s="1">
        <v>0</v>
      </c>
      <c r="G3" s="1">
        <v>0.41862142868812585</v>
      </c>
      <c r="H3" s="1">
        <v>1.7835082813527914</v>
      </c>
      <c r="I3" s="1">
        <v>391.83180490331523</v>
      </c>
      <c r="J3" s="1" t="s">
        <v>16</v>
      </c>
      <c r="K3" s="1">
        <f t="shared" ref="K3:K66" si="0">(G3*28*1)/(0.082*(D3+273.15))</f>
        <v>0.50305790068228839</v>
      </c>
      <c r="L3" s="1">
        <f t="shared" ref="L3:L66" si="1">(H3*12*1)/(0.082*(D3+273.15))</f>
        <v>0.91853321099872098</v>
      </c>
      <c r="M3" s="1">
        <f t="shared" ref="M3:M66" si="2">(I3*12*1)/(0.0821*(D3+273.15))</f>
        <v>201.55339283967345</v>
      </c>
      <c r="N3" s="1">
        <f>SLOPE(K3:K6,F3:F6)</f>
        <v>3.731156079299983E-3</v>
      </c>
      <c r="O3" s="1">
        <f>SLOPE(L3:L6,F3:F6)</f>
        <v>-1.0561315739511157E-3</v>
      </c>
      <c r="P3" s="1">
        <f>SLOPE(M3:M6,F3:F6)</f>
        <v>2.8118199243291593</v>
      </c>
      <c r="Q3" s="1">
        <f>(N3*41.35/0.31*60)/1000</f>
        <v>2.986128462175245E-2</v>
      </c>
      <c r="R3" s="1">
        <f>O3*41.35/0.31*60/1000</f>
        <v>-8.4524594676539284E-3</v>
      </c>
      <c r="S3" s="1">
        <f>(P3*41.35/0.31*60)/1000</f>
        <v>22.503629781485952</v>
      </c>
    </row>
    <row r="4" spans="1:19" x14ac:dyDescent="0.3">
      <c r="A4" s="1">
        <v>2</v>
      </c>
      <c r="B4" s="1" t="s">
        <v>82</v>
      </c>
      <c r="C4" s="1" t="s">
        <v>15</v>
      </c>
      <c r="D4" s="1">
        <v>11</v>
      </c>
      <c r="E4" s="1">
        <v>34</v>
      </c>
      <c r="F4" s="1">
        <v>15</v>
      </c>
      <c r="G4" s="1">
        <v>0.43906193785164493</v>
      </c>
      <c r="H4" s="1">
        <v>1.7069435213520059</v>
      </c>
      <c r="I4" s="1">
        <v>407.93761315641933</v>
      </c>
      <c r="J4" s="1" t="s">
        <v>16</v>
      </c>
      <c r="K4" s="1">
        <f t="shared" si="0"/>
        <v>0.52762128641459805</v>
      </c>
      <c r="L4" s="1">
        <f t="shared" si="1"/>
        <v>0.87910122428569892</v>
      </c>
      <c r="M4" s="1">
        <f t="shared" si="2"/>
        <v>209.83801970563027</v>
      </c>
    </row>
    <row r="5" spans="1:19" x14ac:dyDescent="0.3">
      <c r="A5" s="1">
        <v>3</v>
      </c>
      <c r="C5" s="1" t="s">
        <v>15</v>
      </c>
      <c r="D5" s="1">
        <v>11</v>
      </c>
      <c r="E5" s="1">
        <v>35</v>
      </c>
      <c r="F5" s="1">
        <v>30</v>
      </c>
      <c r="G5" s="1">
        <v>0.43488822132087396</v>
      </c>
      <c r="H5" s="1">
        <v>1.6693327620533747</v>
      </c>
      <c r="I5" s="1">
        <v>401.30230605806207</v>
      </c>
      <c r="J5" s="1" t="s">
        <v>16</v>
      </c>
      <c r="K5" s="1">
        <f t="shared" si="0"/>
        <v>0.52260572597711064</v>
      </c>
      <c r="L5" s="1">
        <f t="shared" si="1"/>
        <v>0.85973112554947773</v>
      </c>
      <c r="M5" s="1">
        <f t="shared" si="2"/>
        <v>206.42490050123826</v>
      </c>
    </row>
    <row r="6" spans="1:19" x14ac:dyDescent="0.3">
      <c r="A6" s="1">
        <v>4</v>
      </c>
      <c r="C6" s="1" t="s">
        <v>15</v>
      </c>
      <c r="D6" s="1">
        <v>11</v>
      </c>
      <c r="E6" s="1">
        <v>36</v>
      </c>
      <c r="F6" s="1">
        <v>45</v>
      </c>
      <c r="G6" s="1">
        <v>0.57525741037906164</v>
      </c>
      <c r="H6" s="1">
        <v>1.6935111073167803</v>
      </c>
      <c r="I6" s="1">
        <v>667.36084746108645</v>
      </c>
      <c r="J6" s="1" t="s">
        <v>16</v>
      </c>
      <c r="K6" s="1">
        <f t="shared" si="0"/>
        <v>0.69128755812645004</v>
      </c>
      <c r="L6" s="1">
        <f t="shared" si="1"/>
        <v>0.8721833318799056</v>
      </c>
      <c r="M6" s="1">
        <f t="shared" si="2"/>
        <v>343.2820954575954</v>
      </c>
    </row>
    <row r="7" spans="1:19" x14ac:dyDescent="0.3">
      <c r="A7" s="1">
        <v>5</v>
      </c>
      <c r="C7" s="1" t="s">
        <v>15</v>
      </c>
      <c r="D7" s="1">
        <v>11</v>
      </c>
      <c r="E7" s="1">
        <v>37</v>
      </c>
      <c r="F7" s="1">
        <v>0</v>
      </c>
      <c r="G7" s="1">
        <v>0.42665753557487829</v>
      </c>
      <c r="H7" s="1">
        <v>1.7136597283696187</v>
      </c>
      <c r="I7" s="1">
        <v>410.16526562929687</v>
      </c>
      <c r="J7" s="1" t="s">
        <v>16</v>
      </c>
      <c r="K7" s="1">
        <f t="shared" si="0"/>
        <v>0.51271490049898893</v>
      </c>
      <c r="L7" s="1">
        <f t="shared" si="1"/>
        <v>0.88256017048859559</v>
      </c>
      <c r="M7" s="1">
        <f t="shared" si="2"/>
        <v>210.98389635055182</v>
      </c>
      <c r="N7" s="1">
        <f>SLOPE(K7:K10,F7:F10)</f>
        <v>4.1698909620133671E-5</v>
      </c>
      <c r="O7" s="1">
        <f>SLOPE(L7:L10,F7:F10)</f>
        <v>-7.0101309712039019E-4</v>
      </c>
      <c r="P7" s="1">
        <f>SLOPE(M7:M10,F7:F10)</f>
        <v>4.1338027627100274E-2</v>
      </c>
      <c r="Q7" s="1">
        <f>(N7*41.35/0.31*60)/1000</f>
        <v>3.3372578957274724E-4</v>
      </c>
      <c r="R7" s="1">
        <f>O7*41.35/0.31*60/1000</f>
        <v>-5.6103661095344773E-3</v>
      </c>
      <c r="S7" s="1">
        <f>(P7*41.35/0.31*60)/1000</f>
        <v>0.33083756949301868</v>
      </c>
    </row>
    <row r="8" spans="1:19" x14ac:dyDescent="0.3">
      <c r="A8" s="1">
        <v>6</v>
      </c>
      <c r="C8" s="1" t="s">
        <v>15</v>
      </c>
      <c r="D8" s="1">
        <v>11</v>
      </c>
      <c r="E8" s="1">
        <v>38</v>
      </c>
      <c r="F8" s="1">
        <v>15</v>
      </c>
      <c r="G8" s="1">
        <v>0.43013076821237289</v>
      </c>
      <c r="H8" s="1">
        <v>1.6800786932815548</v>
      </c>
      <c r="I8" s="1">
        <v>409.12092944325985</v>
      </c>
      <c r="J8" s="1" t="s">
        <v>16</v>
      </c>
      <c r="K8" s="1">
        <f t="shared" si="0"/>
        <v>0.51688868855535941</v>
      </c>
      <c r="L8" s="1">
        <f t="shared" si="1"/>
        <v>0.86526543947411227</v>
      </c>
      <c r="M8" s="1">
        <f t="shared" si="2"/>
        <v>210.44670284321782</v>
      </c>
    </row>
    <row r="9" spans="1:19" x14ac:dyDescent="0.3">
      <c r="A9" s="1">
        <v>7</v>
      </c>
      <c r="C9" s="1" t="s">
        <v>15</v>
      </c>
      <c r="D9" s="1">
        <v>11</v>
      </c>
      <c r="E9" s="1">
        <v>39</v>
      </c>
      <c r="F9" s="1">
        <v>30</v>
      </c>
      <c r="G9" s="1">
        <v>0.42830172693548496</v>
      </c>
      <c r="H9" s="1">
        <v>1.6451544167899685</v>
      </c>
      <c r="I9" s="1">
        <v>445.09592853622314</v>
      </c>
      <c r="J9" s="1" t="s">
        <v>16</v>
      </c>
      <c r="K9" s="1">
        <f t="shared" si="0"/>
        <v>0.51469072733799903</v>
      </c>
      <c r="L9" s="1">
        <f t="shared" si="1"/>
        <v>0.84727891921904963</v>
      </c>
      <c r="M9" s="1">
        <f t="shared" si="2"/>
        <v>228.9517936343548</v>
      </c>
    </row>
    <row r="10" spans="1:19" x14ac:dyDescent="0.3">
      <c r="A10" s="1">
        <v>8</v>
      </c>
      <c r="C10" s="1" t="s">
        <v>15</v>
      </c>
      <c r="D10" s="1">
        <v>11</v>
      </c>
      <c r="E10" s="1">
        <v>40</v>
      </c>
      <c r="F10" s="1">
        <v>45</v>
      </c>
      <c r="G10" s="1">
        <v>0.42900221082876117</v>
      </c>
      <c r="H10" s="1">
        <v>1.6572435894216715</v>
      </c>
      <c r="I10" s="1">
        <v>402.19177870320397</v>
      </c>
      <c r="J10" s="1" t="s">
        <v>16</v>
      </c>
      <c r="K10" s="1">
        <f t="shared" si="0"/>
        <v>0.51553249971911574</v>
      </c>
      <c r="L10" s="1">
        <f t="shared" si="1"/>
        <v>0.85350502238426362</v>
      </c>
      <c r="M10" s="1">
        <f t="shared" si="2"/>
        <v>206.88243413486117</v>
      </c>
    </row>
    <row r="11" spans="1:19" x14ac:dyDescent="0.3">
      <c r="A11" s="1">
        <v>9</v>
      </c>
      <c r="C11" s="1" t="s">
        <v>15</v>
      </c>
      <c r="D11" s="1">
        <v>11</v>
      </c>
      <c r="E11" s="1">
        <v>41</v>
      </c>
      <c r="F11" s="1">
        <v>0</v>
      </c>
      <c r="G11" s="1">
        <v>0.42663807768895384</v>
      </c>
      <c r="H11" s="1">
        <v>1.6747057276674646</v>
      </c>
      <c r="I11" s="1">
        <v>408.77050104623407</v>
      </c>
      <c r="J11" s="1" t="s">
        <v>16</v>
      </c>
      <c r="K11" s="1">
        <f t="shared" si="0"/>
        <v>0.51269151793284662</v>
      </c>
      <c r="L11" s="1">
        <f t="shared" si="1"/>
        <v>0.86249828251179494</v>
      </c>
      <c r="M11" s="1">
        <f t="shared" si="2"/>
        <v>210.26644684693559</v>
      </c>
      <c r="N11" s="1">
        <f>SLOPE(K11:K14,F11:F14)</f>
        <v>4.884618067091366E-4</v>
      </c>
      <c r="O11" s="1">
        <f>SLOPE(L11:L14,F11:F14)</f>
        <v>2.1214870044432564E-4</v>
      </c>
      <c r="P11" s="1">
        <f>SLOPE(M11:M14,F11:F14)</f>
        <v>0.11688214119648192</v>
      </c>
      <c r="Q11" s="1">
        <f>(N11*41.35/0.31*60)/1000</f>
        <v>3.909270136920542E-3</v>
      </c>
      <c r="R11" s="1">
        <f>O11*41.35/0.31*60/1000</f>
        <v>1.6978739542011997E-3</v>
      </c>
      <c r="S11" s="1">
        <f>(P11*41.35/0.31*60)/1000</f>
        <v>0.93543416873700524</v>
      </c>
    </row>
    <row r="12" spans="1:19" x14ac:dyDescent="0.3">
      <c r="A12" s="1">
        <v>10</v>
      </c>
      <c r="C12" s="1" t="s">
        <v>15</v>
      </c>
      <c r="D12" s="1">
        <v>11</v>
      </c>
      <c r="E12" s="1">
        <v>42</v>
      </c>
      <c r="F12" s="1">
        <v>15</v>
      </c>
      <c r="G12" s="1">
        <v>0.4467186159628726</v>
      </c>
      <c r="H12" s="1">
        <v>1.6626165550357619</v>
      </c>
      <c r="I12" s="1">
        <v>425.8749805951112</v>
      </c>
      <c r="J12" s="1" t="s">
        <v>16</v>
      </c>
      <c r="K12" s="1">
        <f t="shared" si="0"/>
        <v>0.53682232619152692</v>
      </c>
      <c r="L12" s="1">
        <f t="shared" si="1"/>
        <v>0.85627217934658106</v>
      </c>
      <c r="M12" s="1">
        <f t="shared" si="2"/>
        <v>219.0647777702859</v>
      </c>
    </row>
    <row r="13" spans="1:19" x14ac:dyDescent="0.3">
      <c r="A13" s="1">
        <v>11</v>
      </c>
      <c r="C13" s="1" t="s">
        <v>15</v>
      </c>
      <c r="D13" s="1">
        <v>11</v>
      </c>
      <c r="E13" s="1">
        <v>43</v>
      </c>
      <c r="F13" s="1">
        <v>30</v>
      </c>
      <c r="G13" s="1">
        <v>0.43883817216351501</v>
      </c>
      <c r="H13" s="1">
        <v>1.6639597964392843</v>
      </c>
      <c r="I13" s="1">
        <v>415.30455121400587</v>
      </c>
      <c r="J13" s="1" t="s">
        <v>16</v>
      </c>
      <c r="K13" s="1">
        <f t="shared" si="0"/>
        <v>0.52735238690396347</v>
      </c>
      <c r="L13" s="1">
        <f t="shared" si="1"/>
        <v>0.85696396858716029</v>
      </c>
      <c r="M13" s="1">
        <f t="shared" si="2"/>
        <v>213.62748074928561</v>
      </c>
    </row>
    <row r="14" spans="1:19" x14ac:dyDescent="0.3">
      <c r="A14" s="1">
        <v>12</v>
      </c>
      <c r="C14" s="1" t="s">
        <v>15</v>
      </c>
      <c r="D14" s="1">
        <v>11</v>
      </c>
      <c r="E14" s="1">
        <v>44</v>
      </c>
      <c r="F14" s="1">
        <v>45</v>
      </c>
      <c r="G14" s="1">
        <v>0.44958865413671273</v>
      </c>
      <c r="H14" s="1">
        <v>1.6948543487203027</v>
      </c>
      <c r="I14" s="1">
        <v>423.65526984227955</v>
      </c>
      <c r="J14" s="1" t="s">
        <v>16</v>
      </c>
      <c r="K14" s="1">
        <f t="shared" si="0"/>
        <v>0.54027125469749127</v>
      </c>
      <c r="L14" s="1">
        <f t="shared" si="1"/>
        <v>0.87287512112048482</v>
      </c>
      <c r="M14" s="1">
        <f t="shared" si="2"/>
        <v>217.92298624709312</v>
      </c>
    </row>
    <row r="15" spans="1:19" x14ac:dyDescent="0.3">
      <c r="A15" s="1">
        <v>13</v>
      </c>
      <c r="C15" s="1" t="s">
        <v>15</v>
      </c>
      <c r="D15" s="1">
        <v>11</v>
      </c>
      <c r="E15" s="1">
        <v>45</v>
      </c>
      <c r="F15" s="1">
        <v>0</v>
      </c>
      <c r="G15" s="1">
        <v>0.42632675151416444</v>
      </c>
      <c r="H15" s="1">
        <v>1.6921678659132577</v>
      </c>
      <c r="I15" s="1">
        <v>394.12696199658308</v>
      </c>
      <c r="J15" s="1" t="s">
        <v>16</v>
      </c>
      <c r="K15" s="1">
        <f t="shared" si="0"/>
        <v>0.51231739687457267</v>
      </c>
      <c r="L15" s="1">
        <f t="shared" si="1"/>
        <v>0.87149154263932616</v>
      </c>
      <c r="M15" s="1">
        <f t="shared" si="2"/>
        <v>202.73399301928961</v>
      </c>
      <c r="N15" s="1">
        <f>SLOPE(K15:K18,F15:F18)</f>
        <v>1.4154246704703777E-4</v>
      </c>
      <c r="O15" s="1">
        <f>SLOPE(L15:L18,F15:F18)</f>
        <v>9.223856541060726E-6</v>
      </c>
      <c r="P15" s="1">
        <f>SLOPE(M15:M18,F15:F18)</f>
        <v>0.29407770045022819</v>
      </c>
      <c r="Q15" s="1">
        <f>(N15*41.35/0.31*60)/1000</f>
        <v>1.1327963249796798E-3</v>
      </c>
      <c r="R15" s="1">
        <f>O15*41.35/0.31*60/1000</f>
        <v>7.3820606704424717E-5</v>
      </c>
      <c r="S15" s="1">
        <f>(P15*41.35/0.31*60)/1000</f>
        <v>2.3535702413452135</v>
      </c>
    </row>
    <row r="16" spans="1:19" x14ac:dyDescent="0.3">
      <c r="A16" s="1">
        <v>14</v>
      </c>
      <c r="C16" s="1" t="s">
        <v>15</v>
      </c>
      <c r="D16" s="1">
        <v>11</v>
      </c>
      <c r="E16" s="1">
        <v>46</v>
      </c>
      <c r="F16" s="1">
        <v>15</v>
      </c>
      <c r="G16" s="1">
        <v>0.43244625663736935</v>
      </c>
      <c r="H16" s="1">
        <v>1.6773922104745098</v>
      </c>
      <c r="I16" s="1">
        <v>423.47856657125806</v>
      </c>
      <c r="J16" s="1" t="s">
        <v>16</v>
      </c>
      <c r="K16" s="1">
        <f t="shared" si="0"/>
        <v>0.51967121392627313</v>
      </c>
      <c r="L16" s="1">
        <f t="shared" si="1"/>
        <v>0.86388186099295361</v>
      </c>
      <c r="M16" s="1">
        <f t="shared" si="2"/>
        <v>217.83209228862788</v>
      </c>
    </row>
    <row r="17" spans="1:19" x14ac:dyDescent="0.3">
      <c r="A17" s="1">
        <v>15</v>
      </c>
      <c r="C17" s="1" t="s">
        <v>15</v>
      </c>
      <c r="D17" s="1">
        <v>11</v>
      </c>
      <c r="E17" s="1">
        <v>47</v>
      </c>
      <c r="F17" s="1">
        <v>30</v>
      </c>
      <c r="G17" s="1">
        <v>0.43219330412035289</v>
      </c>
      <c r="H17" s="1">
        <v>1.6760489690709874</v>
      </c>
      <c r="I17" s="1">
        <v>420.42894607362894</v>
      </c>
      <c r="J17" s="1" t="s">
        <v>16</v>
      </c>
      <c r="K17" s="1">
        <f t="shared" si="0"/>
        <v>0.51936724056642536</v>
      </c>
      <c r="L17" s="1">
        <f t="shared" si="1"/>
        <v>0.86319007175237439</v>
      </c>
      <c r="M17" s="1">
        <f t="shared" si="2"/>
        <v>216.26340554477807</v>
      </c>
    </row>
    <row r="18" spans="1:19" x14ac:dyDescent="0.3">
      <c r="A18" s="1">
        <v>16</v>
      </c>
      <c r="C18" s="1" t="s">
        <v>15</v>
      </c>
      <c r="D18" s="1">
        <v>11</v>
      </c>
      <c r="E18" s="1">
        <v>48</v>
      </c>
      <c r="F18" s="1">
        <v>45</v>
      </c>
      <c r="G18" s="1">
        <v>0.43230032249293682</v>
      </c>
      <c r="H18" s="1">
        <v>1.6935111073167803</v>
      </c>
      <c r="I18" s="1">
        <v>423.72873075270422</v>
      </c>
      <c r="J18" s="1" t="s">
        <v>16</v>
      </c>
      <c r="K18" s="1">
        <f t="shared" si="0"/>
        <v>0.51949584468020715</v>
      </c>
      <c r="L18" s="1">
        <f t="shared" si="1"/>
        <v>0.8721833318799056</v>
      </c>
      <c r="M18" s="1">
        <f t="shared" si="2"/>
        <v>217.96077362308429</v>
      </c>
    </row>
    <row r="19" spans="1:19" x14ac:dyDescent="0.3">
      <c r="A19" s="1">
        <v>17</v>
      </c>
      <c r="C19" s="1" t="s">
        <v>15</v>
      </c>
      <c r="D19" s="1">
        <v>11</v>
      </c>
      <c r="E19" s="1">
        <v>49</v>
      </c>
      <c r="F19" s="1">
        <v>0</v>
      </c>
      <c r="G19" s="1">
        <v>0.43383749548095962</v>
      </c>
      <c r="H19" s="1">
        <v>1.6679895206498518</v>
      </c>
      <c r="I19" s="1">
        <v>398.25566370545016</v>
      </c>
      <c r="J19" s="1" t="s">
        <v>16</v>
      </c>
      <c r="K19" s="1">
        <f t="shared" si="0"/>
        <v>0.52134306740543546</v>
      </c>
      <c r="L19" s="1">
        <f t="shared" si="1"/>
        <v>0.85903933630889828</v>
      </c>
      <c r="M19" s="1">
        <f t="shared" si="2"/>
        <v>204.85774567803679</v>
      </c>
      <c r="N19" s="1">
        <f>SLOPE(K19:K22,F19:F22)</f>
        <v>5.8251428192150345E-3</v>
      </c>
      <c r="O19" s="1">
        <f>SLOPE(L19:L22,F19:F22)</f>
        <v>-1.2452206330428132E-4</v>
      </c>
      <c r="P19" s="1">
        <f>SLOPE(M19:M22,F19:F22)</f>
        <v>1.3443250499692347</v>
      </c>
      <c r="Q19" s="1">
        <f>(N19*41.35/0.31*60)/1000</f>
        <v>4.661993333700807E-2</v>
      </c>
      <c r="R19" s="1">
        <f>O19*41.35/0.31*60/1000</f>
        <v>-9.9657819050942564E-4</v>
      </c>
      <c r="S19" s="1">
        <f>(P19*41.35/0.31*60)/1000</f>
        <v>10.758936932173134</v>
      </c>
    </row>
    <row r="20" spans="1:19" x14ac:dyDescent="0.3">
      <c r="A20" s="1">
        <v>18</v>
      </c>
      <c r="C20" s="1" t="s">
        <v>15</v>
      </c>
      <c r="D20" s="1">
        <v>11</v>
      </c>
      <c r="E20" s="1">
        <v>50</v>
      </c>
      <c r="F20" s="1">
        <v>15</v>
      </c>
      <c r="G20" s="1">
        <v>0.59062914025929014</v>
      </c>
      <c r="H20" s="1">
        <v>1.689481383106213</v>
      </c>
      <c r="I20" s="1">
        <v>485.49446569475793</v>
      </c>
      <c r="J20" s="1" t="s">
        <v>16</v>
      </c>
      <c r="K20" s="1">
        <f t="shared" si="0"/>
        <v>0.7097597853787343</v>
      </c>
      <c r="L20" s="1">
        <f t="shared" si="1"/>
        <v>0.87010796415816771</v>
      </c>
      <c r="M20" s="1">
        <f t="shared" si="2"/>
        <v>249.73229722841978</v>
      </c>
    </row>
    <row r="21" spans="1:19" x14ac:dyDescent="0.3">
      <c r="A21" s="1">
        <v>19</v>
      </c>
      <c r="C21" s="1" t="s">
        <v>15</v>
      </c>
      <c r="D21" s="1">
        <v>11</v>
      </c>
      <c r="E21" s="1">
        <v>51</v>
      </c>
      <c r="F21" s="1">
        <v>30</v>
      </c>
      <c r="G21" s="1">
        <v>0.61390077182480052</v>
      </c>
      <c r="H21" s="1">
        <v>1.6532138652111037</v>
      </c>
      <c r="I21" s="1">
        <v>492.66385346620257</v>
      </c>
      <c r="J21" s="1" t="s">
        <v>16</v>
      </c>
      <c r="K21" s="1">
        <f t="shared" si="0"/>
        <v>0.73772533448472399</v>
      </c>
      <c r="L21" s="1">
        <f t="shared" si="1"/>
        <v>0.85142965466252551</v>
      </c>
      <c r="M21" s="1">
        <f t="shared" si="2"/>
        <v>253.42014086907193</v>
      </c>
    </row>
    <row r="22" spans="1:19" x14ac:dyDescent="0.3">
      <c r="A22" s="1">
        <v>20</v>
      </c>
      <c r="C22" s="1" t="s">
        <v>15</v>
      </c>
      <c r="D22" s="1">
        <v>11</v>
      </c>
      <c r="E22" s="1">
        <v>52</v>
      </c>
      <c r="F22" s="1">
        <v>45</v>
      </c>
      <c r="G22" s="1">
        <v>0.66845095501368723</v>
      </c>
      <c r="H22" s="1">
        <v>1.6679895206498518</v>
      </c>
      <c r="I22" s="1">
        <v>526.53826760702293</v>
      </c>
      <c r="J22" s="1" t="s">
        <v>16</v>
      </c>
      <c r="K22" s="1">
        <f t="shared" si="0"/>
        <v>0.80327835866419062</v>
      </c>
      <c r="L22" s="1">
        <f t="shared" si="1"/>
        <v>0.85903933630889828</v>
      </c>
      <c r="M22" s="1">
        <f t="shared" si="2"/>
        <v>270.84471696294781</v>
      </c>
    </row>
    <row r="23" spans="1:19" x14ac:dyDescent="0.3">
      <c r="A23" s="1">
        <v>21</v>
      </c>
      <c r="C23" s="1" t="s">
        <v>15</v>
      </c>
      <c r="D23" s="1">
        <v>11</v>
      </c>
      <c r="E23" s="1">
        <v>53</v>
      </c>
      <c r="F23" s="1">
        <v>0</v>
      </c>
      <c r="G23" s="1">
        <v>0.43251435923810455</v>
      </c>
      <c r="H23" s="1">
        <v>1.7526137290717725</v>
      </c>
      <c r="I23" s="1">
        <v>409.11298772321391</v>
      </c>
      <c r="J23" s="1" t="s">
        <v>16</v>
      </c>
      <c r="K23" s="1">
        <f t="shared" si="0"/>
        <v>0.51975305290777063</v>
      </c>
      <c r="L23" s="1">
        <f t="shared" si="1"/>
        <v>0.90262205846539623</v>
      </c>
      <c r="M23" s="1">
        <f t="shared" si="2"/>
        <v>210.44261772148906</v>
      </c>
      <c r="N23" s="1">
        <f>SLOPE(K23:K26,F23:F26)</f>
        <v>1.639117886563457E-4</v>
      </c>
      <c r="O23" s="1">
        <f>SLOPE(L23:L26,F23:F26)</f>
        <v>-3.2283497893702257E-4</v>
      </c>
      <c r="P23" s="1">
        <f>SLOPE(M23:M26,F23:F26)</f>
        <v>0.17498278498399183</v>
      </c>
      <c r="Q23" s="1">
        <f>(N23*41.35/0.31*60)/1000</f>
        <v>1.3118230569561086E-3</v>
      </c>
      <c r="R23" s="1">
        <f>O23*41.35/0.31*60/1000</f>
        <v>-2.5837212346540421E-3</v>
      </c>
      <c r="S23" s="1">
        <f>(P23*41.35/0.31*60)/1000</f>
        <v>1.4004267404686572</v>
      </c>
    </row>
    <row r="24" spans="1:19" x14ac:dyDescent="0.3">
      <c r="A24" s="1">
        <v>22</v>
      </c>
      <c r="C24" s="1" t="s">
        <v>15</v>
      </c>
      <c r="D24" s="1">
        <v>11</v>
      </c>
      <c r="E24" s="1">
        <v>54</v>
      </c>
      <c r="F24" s="1">
        <v>15</v>
      </c>
      <c r="G24" s="1">
        <v>0.43472282929051709</v>
      </c>
      <c r="H24" s="1">
        <v>1.6397814511758784</v>
      </c>
      <c r="I24" s="1">
        <v>413.22779142200062</v>
      </c>
      <c r="J24" s="1" t="s">
        <v>16</v>
      </c>
      <c r="K24" s="1">
        <f t="shared" si="0"/>
        <v>0.52240697416490256</v>
      </c>
      <c r="L24" s="1">
        <f t="shared" si="1"/>
        <v>0.84451176225673241</v>
      </c>
      <c r="M24" s="1">
        <f t="shared" si="2"/>
        <v>212.55922141721084</v>
      </c>
    </row>
    <row r="25" spans="1:19" x14ac:dyDescent="0.3">
      <c r="A25" s="1">
        <v>23</v>
      </c>
      <c r="C25" s="1" t="s">
        <v>15</v>
      </c>
      <c r="D25" s="1">
        <v>11</v>
      </c>
      <c r="E25" s="1">
        <v>55</v>
      </c>
      <c r="F25" s="1">
        <v>30</v>
      </c>
      <c r="G25" s="1">
        <v>0.44307026235205893</v>
      </c>
      <c r="H25" s="1">
        <v>1.6908246245097354</v>
      </c>
      <c r="I25" s="1">
        <v>442.81466945303572</v>
      </c>
      <c r="J25" s="1" t="s">
        <v>16</v>
      </c>
      <c r="K25" s="1">
        <f t="shared" si="0"/>
        <v>0.53243809503987716</v>
      </c>
      <c r="L25" s="1">
        <f t="shared" si="1"/>
        <v>0.87079975339874693</v>
      </c>
      <c r="M25" s="1">
        <f t="shared" si="2"/>
        <v>227.77834241776407</v>
      </c>
    </row>
    <row r="26" spans="1:19" x14ac:dyDescent="0.3">
      <c r="A26" s="1">
        <v>24</v>
      </c>
      <c r="C26" s="1" t="s">
        <v>15</v>
      </c>
      <c r="D26" s="1">
        <v>11</v>
      </c>
      <c r="E26" s="1">
        <v>56</v>
      </c>
      <c r="F26" s="1">
        <v>45</v>
      </c>
      <c r="G26" s="1">
        <v>0.43655187056740508</v>
      </c>
      <c r="H26" s="1">
        <v>1.7042570385449609</v>
      </c>
      <c r="I26" s="1">
        <v>416.25954304952654</v>
      </c>
      <c r="J26" s="1" t="s">
        <v>16</v>
      </c>
      <c r="K26" s="1">
        <f t="shared" si="0"/>
        <v>0.52460493538226305</v>
      </c>
      <c r="L26" s="1">
        <f t="shared" si="1"/>
        <v>0.87771764580454026</v>
      </c>
      <c r="M26" s="1">
        <f t="shared" si="2"/>
        <v>214.11871663717091</v>
      </c>
    </row>
    <row r="27" spans="1:19" x14ac:dyDescent="0.3">
      <c r="A27" s="1">
        <v>25</v>
      </c>
      <c r="C27" s="1" t="s">
        <v>15</v>
      </c>
      <c r="D27" s="1">
        <v>11</v>
      </c>
      <c r="E27" s="1">
        <v>57</v>
      </c>
      <c r="F27" s="1">
        <v>0</v>
      </c>
      <c r="G27" s="1">
        <v>0.42404044991805451</v>
      </c>
      <c r="H27" s="1">
        <v>1.6814219346850772</v>
      </c>
      <c r="I27" s="1">
        <v>394.33642486279393</v>
      </c>
      <c r="J27" s="1" t="s">
        <v>83</v>
      </c>
      <c r="K27" s="1">
        <f t="shared" si="0"/>
        <v>0.50956994535287214</v>
      </c>
      <c r="L27" s="1">
        <f t="shared" si="1"/>
        <v>0.8659572287146915</v>
      </c>
      <c r="M27" s="1">
        <f t="shared" si="2"/>
        <v>202.84173810488605</v>
      </c>
      <c r="N27" s="1">
        <f>SLOPE(K27:K30,F27:F30)</f>
        <v>-3.6632686955995195E-6</v>
      </c>
      <c r="O27" s="1">
        <f>SLOPE(L27:L30,F27:F30)</f>
        <v>2.3059641352644415E-5</v>
      </c>
      <c r="P27" s="1">
        <f>SLOPE(M27:M30,F27:F30)</f>
        <v>4.1263133728741838E-2</v>
      </c>
      <c r="Q27" s="1">
        <f>(N27*41.35/0.31*60)/1000</f>
        <v>-2.9317966560588414E-5</v>
      </c>
      <c r="R27" s="1">
        <f>O27*41.35/0.31*60/1000</f>
        <v>1.8455151676100256E-4</v>
      </c>
      <c r="S27" s="1">
        <f>(P27*41.35/0.31*60)/1000</f>
        <v>0.3302381767129306</v>
      </c>
    </row>
    <row r="28" spans="1:19" x14ac:dyDescent="0.3">
      <c r="A28" s="1">
        <v>26</v>
      </c>
      <c r="C28" s="1" t="s">
        <v>15</v>
      </c>
      <c r="D28" s="1">
        <v>11</v>
      </c>
      <c r="E28" s="1">
        <v>58</v>
      </c>
      <c r="F28" s="1">
        <v>15</v>
      </c>
      <c r="G28" s="1">
        <v>0.42569437022162337</v>
      </c>
      <c r="H28" s="1">
        <v>1.6639597964392843</v>
      </c>
      <c r="I28" s="1">
        <v>393.5740197383866</v>
      </c>
      <c r="J28" s="1" t="s">
        <v>83</v>
      </c>
      <c r="K28" s="1">
        <f t="shared" si="0"/>
        <v>0.51155746347495334</v>
      </c>
      <c r="L28" s="1">
        <f t="shared" si="1"/>
        <v>0.85696396858716029</v>
      </c>
      <c r="M28" s="1">
        <f t="shared" si="2"/>
        <v>202.44956641892361</v>
      </c>
    </row>
    <row r="29" spans="1:19" x14ac:dyDescent="0.3">
      <c r="A29" s="1">
        <v>27</v>
      </c>
      <c r="C29" s="1" t="s">
        <v>15</v>
      </c>
      <c r="D29" s="1">
        <v>11</v>
      </c>
      <c r="E29" s="1">
        <v>59</v>
      </c>
      <c r="F29" s="1">
        <v>30</v>
      </c>
      <c r="G29" s="1">
        <v>0.4248284942979903</v>
      </c>
      <c r="H29" s="1">
        <v>1.670676003456897</v>
      </c>
      <c r="I29" s="1">
        <v>395.39763720392858</v>
      </c>
      <c r="J29" s="1" t="s">
        <v>83</v>
      </c>
      <c r="K29" s="1">
        <f t="shared" si="0"/>
        <v>0.51051693928162845</v>
      </c>
      <c r="L29" s="1">
        <f t="shared" si="1"/>
        <v>0.86042291479005695</v>
      </c>
      <c r="M29" s="1">
        <f t="shared" si="2"/>
        <v>203.38761249589373</v>
      </c>
    </row>
    <row r="30" spans="1:19" x14ac:dyDescent="0.3">
      <c r="A30" s="1">
        <v>28</v>
      </c>
      <c r="C30" s="1" t="s">
        <v>15</v>
      </c>
      <c r="D30" s="1">
        <v>11</v>
      </c>
      <c r="E30" s="1">
        <v>60</v>
      </c>
      <c r="F30" s="1">
        <v>45</v>
      </c>
      <c r="G30" s="1">
        <v>0.42417665511952496</v>
      </c>
      <c r="H30" s="1">
        <v>1.6814219346850772</v>
      </c>
      <c r="I30" s="1">
        <v>397.7394519024661</v>
      </c>
      <c r="J30" s="1" t="s">
        <v>83</v>
      </c>
      <c r="K30" s="1">
        <f t="shared" si="0"/>
        <v>0.50973362331586713</v>
      </c>
      <c r="L30" s="1">
        <f t="shared" si="1"/>
        <v>0.8659572287146915</v>
      </c>
      <c r="M30" s="1">
        <f t="shared" si="2"/>
        <v>204.59221276566643</v>
      </c>
    </row>
    <row r="31" spans="1:19" x14ac:dyDescent="0.3">
      <c r="A31" s="1">
        <v>29</v>
      </c>
      <c r="C31" s="1" t="s">
        <v>15</v>
      </c>
      <c r="D31" s="1">
        <v>11</v>
      </c>
      <c r="E31" s="1">
        <v>61</v>
      </c>
      <c r="F31" s="1">
        <v>0</v>
      </c>
      <c r="G31" s="1">
        <v>0.42322321870923224</v>
      </c>
      <c r="H31" s="1">
        <v>1.7136597283696187</v>
      </c>
      <c r="I31" s="1">
        <v>406.62325848882131</v>
      </c>
      <c r="J31" s="1" t="s">
        <v>83</v>
      </c>
      <c r="K31" s="1">
        <f t="shared" si="0"/>
        <v>0.50858787757490265</v>
      </c>
      <c r="L31" s="1">
        <f t="shared" si="1"/>
        <v>0.88256017048859559</v>
      </c>
      <c r="M31" s="1">
        <f t="shared" si="2"/>
        <v>209.16193205951791</v>
      </c>
      <c r="N31" s="1">
        <f>SLOPE(K31:K34,F31:F34)</f>
        <v>6.2353509712316971E-6</v>
      </c>
      <c r="O31" s="1">
        <f>SLOPE(L31:L34,F31:F34)</f>
        <v>-2.9977533758437886E-4</v>
      </c>
      <c r="P31" s="1">
        <f>SLOPE(M31:M34,F31:F34)</f>
        <v>5.8032558425362597E-2</v>
      </c>
      <c r="Q31" s="1">
        <f>(N31*41.35/0.31*60)/1000</f>
        <v>4.9902921805244642E-5</v>
      </c>
      <c r="R31" s="1">
        <f>O31*41.35/0.31*60/1000</f>
        <v>-2.399169717893045E-3</v>
      </c>
      <c r="S31" s="1">
        <f>(P31*41.35/0.31*60)/1000</f>
        <v>0.46444766920427294</v>
      </c>
    </row>
    <row r="32" spans="1:19" x14ac:dyDescent="0.3">
      <c r="A32" s="1">
        <v>30</v>
      </c>
      <c r="C32" s="1" t="s">
        <v>15</v>
      </c>
      <c r="D32" s="1">
        <v>11</v>
      </c>
      <c r="E32" s="1">
        <v>62</v>
      </c>
      <c r="F32" s="1">
        <v>15</v>
      </c>
      <c r="G32" s="1">
        <v>0.42476039169725516</v>
      </c>
      <c r="H32" s="1">
        <v>1.7082867627555283</v>
      </c>
      <c r="I32" s="1">
        <v>407.99816877176937</v>
      </c>
      <c r="J32" s="1" t="s">
        <v>83</v>
      </c>
      <c r="K32" s="1">
        <f t="shared" si="0"/>
        <v>0.51043510030013106</v>
      </c>
      <c r="L32" s="1">
        <f t="shared" si="1"/>
        <v>0.87979301352627814</v>
      </c>
      <c r="M32" s="1">
        <f t="shared" si="2"/>
        <v>209.86916875881218</v>
      </c>
    </row>
    <row r="33" spans="1:19" x14ac:dyDescent="0.3">
      <c r="A33" s="1">
        <v>31</v>
      </c>
      <c r="C33" s="1" t="s">
        <v>15</v>
      </c>
      <c r="D33" s="1">
        <v>11</v>
      </c>
      <c r="E33" s="1">
        <v>63</v>
      </c>
      <c r="F33" s="1">
        <v>30</v>
      </c>
      <c r="G33" s="1">
        <v>0.4240501788610167</v>
      </c>
      <c r="H33" s="1">
        <v>1.6653030378428069</v>
      </c>
      <c r="I33" s="1">
        <v>411.19471109024784</v>
      </c>
      <c r="J33" s="1" t="s">
        <v>83</v>
      </c>
      <c r="K33" s="1">
        <f t="shared" si="0"/>
        <v>0.50958163663594314</v>
      </c>
      <c r="L33" s="1">
        <f t="shared" si="1"/>
        <v>0.85765575782773962</v>
      </c>
      <c r="M33" s="1">
        <f t="shared" si="2"/>
        <v>211.51343025464428</v>
      </c>
    </row>
    <row r="34" spans="1:19" x14ac:dyDescent="0.3">
      <c r="A34" s="1">
        <v>32</v>
      </c>
      <c r="C34" s="1" t="s">
        <v>15</v>
      </c>
      <c r="D34" s="1">
        <v>11</v>
      </c>
      <c r="E34" s="1">
        <v>64</v>
      </c>
      <c r="F34" s="1">
        <v>45</v>
      </c>
      <c r="G34" s="1">
        <v>0.42371939480030285</v>
      </c>
      <c r="H34" s="1">
        <v>1.6988840729308705</v>
      </c>
      <c r="I34" s="1">
        <v>411.19868195027078</v>
      </c>
      <c r="J34" s="1" t="s">
        <v>83</v>
      </c>
      <c r="K34" s="1">
        <f t="shared" si="0"/>
        <v>0.50918413301152687</v>
      </c>
      <c r="L34" s="1">
        <f t="shared" si="1"/>
        <v>0.87495048884222282</v>
      </c>
      <c r="M34" s="1">
        <f t="shared" si="2"/>
        <v>211.51547281550867</v>
      </c>
    </row>
    <row r="35" spans="1:19" x14ac:dyDescent="0.3">
      <c r="A35" s="1">
        <v>33</v>
      </c>
      <c r="C35" s="1" t="s">
        <v>15</v>
      </c>
      <c r="D35" s="1">
        <v>11</v>
      </c>
      <c r="E35" s="1" t="s">
        <v>84</v>
      </c>
      <c r="G35" s="1">
        <v>0.38702434655608575</v>
      </c>
      <c r="H35" s="1">
        <v>1.8554664809086396</v>
      </c>
      <c r="I35" s="1">
        <v>479.12141743982858</v>
      </c>
      <c r="K35" s="1">
        <f t="shared" si="0"/>
        <v>0.46508764709340228</v>
      </c>
      <c r="L35" s="1">
        <f t="shared" si="1"/>
        <v>0.95559275077589878</v>
      </c>
      <c r="M35" s="1">
        <f t="shared" si="2"/>
        <v>246.45408070174219</v>
      </c>
    </row>
    <row r="36" spans="1:19" x14ac:dyDescent="0.3">
      <c r="A36" s="1">
        <v>34</v>
      </c>
      <c r="C36" s="1" t="s">
        <v>15</v>
      </c>
      <c r="D36" s="1">
        <v>11</v>
      </c>
      <c r="E36" s="1" t="s">
        <v>85</v>
      </c>
      <c r="G36" s="1">
        <v>0.54683717512736718</v>
      </c>
      <c r="H36" s="1">
        <v>1.9720179933410467</v>
      </c>
      <c r="I36" s="1">
        <v>731.01365502032456</v>
      </c>
      <c r="K36" s="1">
        <f t="shared" si="0"/>
        <v>0.65713492545444829</v>
      </c>
      <c r="L36" s="1">
        <f t="shared" si="1"/>
        <v>1.0156185079201796</v>
      </c>
      <c r="M36" s="1">
        <f t="shared" si="2"/>
        <v>376.02430567838371</v>
      </c>
    </row>
    <row r="37" spans="1:19" x14ac:dyDescent="0.3">
      <c r="A37" s="1">
        <v>35</v>
      </c>
      <c r="C37" s="1" t="s">
        <v>15</v>
      </c>
      <c r="D37" s="1">
        <v>11</v>
      </c>
      <c r="E37" s="1" t="s">
        <v>86</v>
      </c>
      <c r="G37" s="1">
        <v>0.38548104848746917</v>
      </c>
      <c r="H37" s="1">
        <v>1.8503093343408341</v>
      </c>
      <c r="I37" s="1">
        <v>444.06066676261611</v>
      </c>
      <c r="K37" s="1">
        <f t="shared" si="0"/>
        <v>0.46323306385107216</v>
      </c>
      <c r="L37" s="1">
        <f t="shared" si="1"/>
        <v>0.95293674382261206</v>
      </c>
      <c r="M37" s="1">
        <f t="shared" si="2"/>
        <v>228.4192678915831</v>
      </c>
    </row>
    <row r="38" spans="1:19" x14ac:dyDescent="0.3">
      <c r="A38" s="1">
        <v>36</v>
      </c>
      <c r="B38" s="1" t="s">
        <v>48</v>
      </c>
      <c r="C38" s="1" t="s">
        <v>15</v>
      </c>
      <c r="D38" s="1">
        <v>16.899999999999999</v>
      </c>
      <c r="E38" s="1">
        <v>665</v>
      </c>
      <c r="F38" s="1">
        <v>0</v>
      </c>
      <c r="G38" s="1">
        <v>0.39773338814834708</v>
      </c>
      <c r="H38" s="1">
        <v>1.8358946960901705</v>
      </c>
      <c r="I38" s="1">
        <v>429.22043016445048</v>
      </c>
      <c r="J38" s="1" t="s">
        <v>16</v>
      </c>
      <c r="K38" s="1">
        <f t="shared" si="0"/>
        <v>0.46823444520304403</v>
      </c>
      <c r="L38" s="1">
        <f t="shared" si="1"/>
        <v>0.92628000862265336</v>
      </c>
      <c r="M38" s="1">
        <f t="shared" si="2"/>
        <v>216.29456393752122</v>
      </c>
      <c r="N38" s="1">
        <f>SLOPE(K38:K41,F38:F41)</f>
        <v>8.5931544594786504E-4</v>
      </c>
      <c r="O38" s="1">
        <f>SLOPE(L38:L41,F38:F41)</f>
        <v>7.6807964513714297E-5</v>
      </c>
      <c r="P38" s="1">
        <f>SLOPE(M38:M41,F38:F41)</f>
        <v>0.96667912367880104</v>
      </c>
      <c r="Q38" s="1">
        <f>(N38*41.35/0.31*60)/1000</f>
        <v>6.87729555289243E-3</v>
      </c>
      <c r="R38" s="1">
        <f>O38*41.35/0.31*60/1000</f>
        <v>6.1471148373717802E-4</v>
      </c>
      <c r="S38" s="1">
        <f>(P38*41.35/0.31*60)/1000</f>
        <v>7.736551309184212</v>
      </c>
    </row>
    <row r="39" spans="1:19" x14ac:dyDescent="0.3">
      <c r="A39" s="1">
        <v>37</v>
      </c>
      <c r="B39" s="1" t="s">
        <v>87</v>
      </c>
      <c r="C39" s="1" t="s">
        <v>15</v>
      </c>
      <c r="D39" s="1">
        <v>16.899999999999999</v>
      </c>
      <c r="E39" s="1">
        <v>666</v>
      </c>
      <c r="F39" s="1">
        <v>15</v>
      </c>
      <c r="G39" s="1">
        <v>0.42292162147740497</v>
      </c>
      <c r="H39" s="1">
        <v>1.8533568343359639</v>
      </c>
      <c r="I39" s="1">
        <v>461.86884127318359</v>
      </c>
      <c r="J39" s="1" t="s">
        <v>16</v>
      </c>
      <c r="K39" s="1">
        <f t="shared" si="0"/>
        <v>0.49788747109906784</v>
      </c>
      <c r="L39" s="1">
        <f t="shared" si="1"/>
        <v>0.9350903339639326</v>
      </c>
      <c r="M39" s="1">
        <f t="shared" si="2"/>
        <v>232.74688854217894</v>
      </c>
    </row>
    <row r="40" spans="1:19" x14ac:dyDescent="0.3">
      <c r="A40" s="1">
        <v>38</v>
      </c>
      <c r="C40" s="1" t="s">
        <v>15</v>
      </c>
      <c r="D40" s="1">
        <v>16.899999999999999</v>
      </c>
      <c r="E40" s="1">
        <v>667</v>
      </c>
      <c r="F40" s="1">
        <v>30</v>
      </c>
      <c r="G40" s="1">
        <v>0.42587922013790469</v>
      </c>
      <c r="H40" s="1">
        <v>1.8157460750373322</v>
      </c>
      <c r="I40" s="1">
        <v>495.67078721858502</v>
      </c>
      <c r="J40" s="1" t="s">
        <v>16</v>
      </c>
      <c r="K40" s="1">
        <f t="shared" si="0"/>
        <v>0.50136932504746168</v>
      </c>
      <c r="L40" s="1">
        <f t="shared" si="1"/>
        <v>0.916114248613485</v>
      </c>
      <c r="M40" s="1">
        <f t="shared" si="2"/>
        <v>249.78050727206809</v>
      </c>
    </row>
    <row r="41" spans="1:19" x14ac:dyDescent="0.3">
      <c r="A41" s="1">
        <v>39</v>
      </c>
      <c r="C41" s="1" t="s">
        <v>15</v>
      </c>
      <c r="D41" s="1">
        <v>16.899999999999999</v>
      </c>
      <c r="E41" s="1">
        <v>668</v>
      </c>
      <c r="F41" s="1">
        <v>45</v>
      </c>
      <c r="G41" s="1">
        <v>0.43324402996026729</v>
      </c>
      <c r="H41" s="1">
        <v>1.8560433171430089</v>
      </c>
      <c r="I41" s="1">
        <v>513.86824598878036</v>
      </c>
      <c r="J41" s="1" t="s">
        <v>16</v>
      </c>
      <c r="K41" s="1">
        <f t="shared" si="0"/>
        <v>0.51003959951763933</v>
      </c>
      <c r="L41" s="1">
        <f t="shared" si="1"/>
        <v>0.93644576863182161</v>
      </c>
      <c r="M41" s="1">
        <f t="shared" si="2"/>
        <v>258.95064721149822</v>
      </c>
    </row>
    <row r="42" spans="1:19" x14ac:dyDescent="0.3">
      <c r="A42" s="1">
        <v>40</v>
      </c>
      <c r="C42" s="1" t="s">
        <v>15</v>
      </c>
      <c r="D42" s="1">
        <v>16.899999999999999</v>
      </c>
      <c r="E42" s="1">
        <v>669</v>
      </c>
      <c r="F42" s="1">
        <v>0</v>
      </c>
      <c r="G42" s="1">
        <v>0.40722883647942487</v>
      </c>
      <c r="H42" s="1">
        <v>1.8412676617042609</v>
      </c>
      <c r="I42" s="1">
        <v>431.66647993859056</v>
      </c>
      <c r="J42" s="1" t="s">
        <v>16</v>
      </c>
      <c r="K42" s="1">
        <f t="shared" si="0"/>
        <v>0.47941302893209736</v>
      </c>
      <c r="L42" s="1">
        <f t="shared" si="1"/>
        <v>0.92899087795843149</v>
      </c>
      <c r="M42" s="1">
        <f t="shared" si="2"/>
        <v>217.52718762475902</v>
      </c>
      <c r="N42" s="1">
        <f>SLOPE(K42:K45,F42:F45)</f>
        <v>2.1144092596744341E-2</v>
      </c>
      <c r="O42" s="1">
        <f>SLOPE(L42:L45,F42:F45)</f>
        <v>5.4669198271527426E-4</v>
      </c>
      <c r="P42" s="1">
        <f>SLOPE(M42:M45,F42:F45)</f>
        <v>0.69628897739500528</v>
      </c>
      <c r="Q42" s="1">
        <f>(N42*41.35/0.31*60)/1000</f>
        <v>0.16922094752426681</v>
      </c>
      <c r="R42" s="1">
        <f>O42*41.35/0.31*60/1000</f>
        <v>4.375299384247083E-3</v>
      </c>
      <c r="S42" s="1">
        <f>(P42*41.35/0.31*60)/1000</f>
        <v>5.5725579126355109</v>
      </c>
    </row>
    <row r="43" spans="1:19" x14ac:dyDescent="0.3">
      <c r="A43" s="1">
        <v>41</v>
      </c>
      <c r="C43" s="1" t="s">
        <v>15</v>
      </c>
      <c r="D43" s="1">
        <v>16.899999999999999</v>
      </c>
      <c r="E43" s="1">
        <v>670</v>
      </c>
      <c r="F43" s="1">
        <v>15</v>
      </c>
      <c r="G43" s="1">
        <v>0.41693832155567045</v>
      </c>
      <c r="H43" s="1">
        <v>1.8372379374936934</v>
      </c>
      <c r="I43" s="1">
        <v>465.59549340472648</v>
      </c>
      <c r="J43" s="1" t="s">
        <v>16</v>
      </c>
      <c r="K43" s="1">
        <f t="shared" si="0"/>
        <v>0.49084358893373192</v>
      </c>
      <c r="L43" s="1">
        <f t="shared" si="1"/>
        <v>0.92695772595659798</v>
      </c>
      <c r="M43" s="1">
        <f t="shared" si="2"/>
        <v>234.62483875398519</v>
      </c>
    </row>
    <row r="44" spans="1:19" x14ac:dyDescent="0.3">
      <c r="A44" s="1">
        <v>42</v>
      </c>
      <c r="C44" s="1" t="s">
        <v>15</v>
      </c>
      <c r="D44" s="1">
        <v>16.899999999999999</v>
      </c>
      <c r="E44" s="1">
        <v>671</v>
      </c>
      <c r="F44" s="1">
        <v>30</v>
      </c>
      <c r="G44" s="1">
        <v>0.41834901828518511</v>
      </c>
      <c r="H44" s="1">
        <v>1.8667892483711894</v>
      </c>
      <c r="I44" s="1">
        <v>482.95708614008993</v>
      </c>
      <c r="J44" s="1" t="s">
        <v>16</v>
      </c>
      <c r="K44" s="1">
        <f t="shared" si="0"/>
        <v>0.49250434163938028</v>
      </c>
      <c r="L44" s="1">
        <f t="shared" si="1"/>
        <v>0.94186750730337809</v>
      </c>
      <c r="M44" s="1">
        <f t="shared" si="2"/>
        <v>243.37376556652652</v>
      </c>
    </row>
    <row r="45" spans="1:19" x14ac:dyDescent="0.3">
      <c r="A45" s="1">
        <v>43</v>
      </c>
      <c r="C45" s="1" t="s">
        <v>15</v>
      </c>
      <c r="D45" s="1">
        <v>16.899999999999999</v>
      </c>
      <c r="E45" s="1">
        <v>672</v>
      </c>
      <c r="F45" s="1">
        <v>45</v>
      </c>
      <c r="G45" s="1">
        <v>1.3047821983973731</v>
      </c>
      <c r="H45" s="1">
        <v>1.8855946280205051</v>
      </c>
      <c r="I45" s="1">
        <v>494.96595956451057</v>
      </c>
      <c r="J45" s="1" t="s">
        <v>16</v>
      </c>
      <c r="K45" s="1">
        <f t="shared" si="0"/>
        <v>1.5360640745340983</v>
      </c>
      <c r="L45" s="1">
        <f t="shared" si="1"/>
        <v>0.95135554997860183</v>
      </c>
      <c r="M45" s="1">
        <f t="shared" si="2"/>
        <v>249.42532755699551</v>
      </c>
    </row>
    <row r="46" spans="1:19" x14ac:dyDescent="0.3">
      <c r="A46" s="1">
        <v>44</v>
      </c>
      <c r="C46" s="1" t="s">
        <v>15</v>
      </c>
      <c r="D46" s="1">
        <v>16.899999999999999</v>
      </c>
      <c r="E46" s="1">
        <v>673</v>
      </c>
      <c r="F46" s="1">
        <v>0</v>
      </c>
      <c r="G46" s="1">
        <v>0.39087448336001729</v>
      </c>
      <c r="H46" s="1">
        <v>1.8721622139852796</v>
      </c>
      <c r="I46" s="1">
        <v>429.74458368748054</v>
      </c>
      <c r="J46" s="1" t="s">
        <v>16</v>
      </c>
      <c r="K46" s="1">
        <f t="shared" si="0"/>
        <v>0.46015975101351264</v>
      </c>
      <c r="L46" s="1">
        <f t="shared" si="1"/>
        <v>0.94457837663915623</v>
      </c>
      <c r="M46" s="1">
        <f t="shared" si="2"/>
        <v>216.5586975847865</v>
      </c>
      <c r="N46" s="1">
        <f>SLOPE(K46:K49,F46:F49)</f>
        <v>2.5663401580156009E-4</v>
      </c>
      <c r="O46" s="1">
        <f>SLOPE(L46:L49,F46:F49)</f>
        <v>1.8524273794484625E-4</v>
      </c>
      <c r="P46" s="1">
        <f>SLOPE(M46:M49,F46:F49)</f>
        <v>1.7948248183961024</v>
      </c>
      <c r="Q46" s="1">
        <f>(N46*41.35/0.31*60)/1000</f>
        <v>2.0538999780763565E-3</v>
      </c>
      <c r="R46" s="1">
        <f>O46*41.35/0.31*60/1000</f>
        <v>1.482539460777947E-3</v>
      </c>
      <c r="S46" s="1">
        <f>(P46*41.35/0.31*60)/1000</f>
        <v>14.364388304647516</v>
      </c>
    </row>
    <row r="47" spans="1:19" x14ac:dyDescent="0.3">
      <c r="A47" s="1">
        <v>45</v>
      </c>
      <c r="C47" s="1" t="s">
        <v>15</v>
      </c>
      <c r="D47" s="1">
        <v>16.899999999999999</v>
      </c>
      <c r="E47" s="1">
        <v>674</v>
      </c>
      <c r="F47" s="1">
        <v>15</v>
      </c>
      <c r="G47" s="1">
        <v>0.40718019176461401</v>
      </c>
      <c r="H47" s="1">
        <v>1.8681324897747118</v>
      </c>
      <c r="I47" s="1">
        <v>431.87395737478994</v>
      </c>
      <c r="J47" s="1" t="s">
        <v>16</v>
      </c>
      <c r="K47" s="1">
        <f t="shared" si="0"/>
        <v>0.47935576159741983</v>
      </c>
      <c r="L47" s="1">
        <f t="shared" si="1"/>
        <v>0.9425452246373226</v>
      </c>
      <c r="M47" s="1">
        <f t="shared" si="2"/>
        <v>217.63174052680154</v>
      </c>
    </row>
    <row r="48" spans="1:19" x14ac:dyDescent="0.3">
      <c r="A48" s="1">
        <v>46</v>
      </c>
      <c r="C48" s="1" t="s">
        <v>15</v>
      </c>
      <c r="D48" s="1">
        <v>16.899999999999999</v>
      </c>
      <c r="E48" s="1">
        <v>675</v>
      </c>
      <c r="F48" s="1">
        <v>30</v>
      </c>
      <c r="G48" s="1">
        <v>0.40240328077018861</v>
      </c>
      <c r="H48" s="1">
        <v>1.8869378694240275</v>
      </c>
      <c r="I48" s="1">
        <v>450.82587954934672</v>
      </c>
      <c r="J48" s="1" t="s">
        <v>16</v>
      </c>
      <c r="K48" s="1">
        <f t="shared" si="0"/>
        <v>0.47373210933208665</v>
      </c>
      <c r="L48" s="1">
        <f t="shared" si="1"/>
        <v>0.95203326731254623</v>
      </c>
      <c r="M48" s="1">
        <f t="shared" si="2"/>
        <v>227.18207283729535</v>
      </c>
    </row>
    <row r="49" spans="1:19" x14ac:dyDescent="0.3">
      <c r="A49" s="1">
        <v>47</v>
      </c>
      <c r="C49" s="1" t="s">
        <v>15</v>
      </c>
      <c r="D49" s="1">
        <v>16.899999999999999</v>
      </c>
      <c r="E49" s="1">
        <v>676</v>
      </c>
      <c r="F49" s="1">
        <v>45</v>
      </c>
      <c r="G49" s="1">
        <v>0.40336644612344341</v>
      </c>
      <c r="H49" s="1">
        <v>1.8842513866169828</v>
      </c>
      <c r="I49" s="1">
        <v>601.51207570042959</v>
      </c>
      <c r="J49" s="1" t="s">
        <v>16</v>
      </c>
      <c r="K49" s="1">
        <f t="shared" si="0"/>
        <v>0.47486600255870171</v>
      </c>
      <c r="L49" s="1">
        <f t="shared" si="1"/>
        <v>0.95067783264465733</v>
      </c>
      <c r="M49" s="1">
        <f t="shared" si="2"/>
        <v>303.11649440109369</v>
      </c>
    </row>
    <row r="50" spans="1:19" x14ac:dyDescent="0.3">
      <c r="A50" s="1">
        <v>48</v>
      </c>
      <c r="C50" s="1" t="s">
        <v>15</v>
      </c>
      <c r="D50" s="1">
        <v>16.899999999999999</v>
      </c>
      <c r="E50" s="1">
        <v>677</v>
      </c>
      <c r="F50" s="1">
        <v>0</v>
      </c>
      <c r="G50" s="1">
        <v>0.40452419033594167</v>
      </c>
      <c r="H50" s="1">
        <v>1.8694757311782344</v>
      </c>
      <c r="I50" s="1">
        <v>454.56047340093551</v>
      </c>
      <c r="J50" s="1" t="s">
        <v>16</v>
      </c>
      <c r="K50" s="1">
        <f t="shared" si="0"/>
        <v>0.4762289651240269</v>
      </c>
      <c r="L50" s="1">
        <f t="shared" si="1"/>
        <v>0.94322294197126721</v>
      </c>
      <c r="M50" s="1">
        <f t="shared" si="2"/>
        <v>229.06402507406014</v>
      </c>
      <c r="N50" s="1">
        <f>SLOPE(K50:K53,F50:F53)</f>
        <v>1.5071235358200586E-3</v>
      </c>
      <c r="O50" s="1">
        <f>SLOPE(L50:L53,F50:F53)</f>
        <v>3.3885866697227487E-4</v>
      </c>
      <c r="P50" s="1">
        <f>SLOPE(M50:M53,F50:F53)</f>
        <v>4.247842671602478</v>
      </c>
      <c r="Q50" s="1">
        <f>(N50*41.35/0.31*60)/1000</f>
        <v>1.2061849975385697E-2</v>
      </c>
      <c r="R50" s="1">
        <f>O50*41.35/0.31*60/1000</f>
        <v>2.711962428252303E-3</v>
      </c>
      <c r="S50" s="1">
        <f>(P50*41.35/0.31*60)/1000</f>
        <v>33.996444091115322</v>
      </c>
    </row>
    <row r="51" spans="1:19" x14ac:dyDescent="0.3">
      <c r="A51" s="1">
        <v>49</v>
      </c>
      <c r="C51" s="1" t="s">
        <v>15</v>
      </c>
      <c r="D51" s="1">
        <v>16.899999999999999</v>
      </c>
      <c r="E51" s="1">
        <v>678</v>
      </c>
      <c r="F51" s="1">
        <v>15</v>
      </c>
      <c r="G51" s="1">
        <v>0.41262839982342919</v>
      </c>
      <c r="H51" s="1">
        <v>1.8520135929324413</v>
      </c>
      <c r="I51" s="1">
        <v>540.69041272883328</v>
      </c>
      <c r="J51" s="1" t="s">
        <v>16</v>
      </c>
      <c r="K51" s="1">
        <f t="shared" si="0"/>
        <v>0.48576970308130296</v>
      </c>
      <c r="L51" s="1">
        <f t="shared" si="1"/>
        <v>0.93441261662998798</v>
      </c>
      <c r="M51" s="1">
        <f t="shared" si="2"/>
        <v>272.46698625592927</v>
      </c>
    </row>
    <row r="52" spans="1:19" x14ac:dyDescent="0.3">
      <c r="A52" s="1">
        <v>50</v>
      </c>
      <c r="C52" s="1" t="s">
        <v>15</v>
      </c>
      <c r="D52" s="1">
        <v>16.899999999999999</v>
      </c>
      <c r="E52" s="1">
        <v>679</v>
      </c>
      <c r="F52" s="1">
        <v>30</v>
      </c>
      <c r="G52" s="1">
        <v>0.46371507931778344</v>
      </c>
      <c r="H52" s="1">
        <v>1.8600730413535767</v>
      </c>
      <c r="I52" s="1">
        <v>459.61438549515105</v>
      </c>
      <c r="J52" s="1" t="s">
        <v>16</v>
      </c>
      <c r="K52" s="1">
        <f t="shared" si="0"/>
        <v>0.5459118579596427</v>
      </c>
      <c r="L52" s="1">
        <f t="shared" si="1"/>
        <v>0.93847892063365534</v>
      </c>
      <c r="M52" s="1">
        <f t="shared" si="2"/>
        <v>231.61081370706648</v>
      </c>
    </row>
    <row r="53" spans="1:19" x14ac:dyDescent="0.3">
      <c r="A53" s="1">
        <v>51</v>
      </c>
      <c r="C53" s="1" t="s">
        <v>15</v>
      </c>
      <c r="D53" s="1">
        <v>16.899999999999999</v>
      </c>
      <c r="E53" s="1">
        <v>680</v>
      </c>
      <c r="F53" s="1">
        <v>45</v>
      </c>
      <c r="G53" s="1">
        <v>0.45150525590026019</v>
      </c>
      <c r="H53" s="1">
        <v>1.9003702834592531</v>
      </c>
      <c r="I53" s="1">
        <v>903.0621639886225</v>
      </c>
      <c r="J53" s="1" t="s">
        <v>16</v>
      </c>
      <c r="K53" s="1">
        <f t="shared" si="0"/>
        <v>0.53153775695558325</v>
      </c>
      <c r="L53" s="1">
        <f t="shared" si="1"/>
        <v>0.95881044065199184</v>
      </c>
      <c r="M53" s="1">
        <f t="shared" si="2"/>
        <v>455.07488283713826</v>
      </c>
    </row>
    <row r="54" spans="1:19" x14ac:dyDescent="0.3">
      <c r="A54" s="1">
        <v>52</v>
      </c>
      <c r="C54" s="1" t="s">
        <v>15</v>
      </c>
      <c r="D54" s="1">
        <v>16.899999999999999</v>
      </c>
      <c r="E54" s="1">
        <v>681</v>
      </c>
      <c r="F54" s="1">
        <v>0</v>
      </c>
      <c r="G54" s="1">
        <v>0.39965971885485674</v>
      </c>
      <c r="H54" s="1">
        <v>1.8748486967923246</v>
      </c>
      <c r="I54" s="1">
        <v>440.97814669241922</v>
      </c>
      <c r="J54" s="1" t="s">
        <v>16</v>
      </c>
      <c r="K54" s="1">
        <f t="shared" si="0"/>
        <v>0.47050223165627414</v>
      </c>
      <c r="L54" s="1">
        <f t="shared" si="1"/>
        <v>0.94593381130704535</v>
      </c>
      <c r="M54" s="1">
        <f t="shared" si="2"/>
        <v>222.21956188867566</v>
      </c>
      <c r="N54" s="1">
        <f>SLOPE(K54:K57,F54:F57)</f>
        <v>9.6987958009861121E-3</v>
      </c>
      <c r="O54" s="1">
        <f>SLOPE(L54:L57,F54:F57)</f>
        <v>-6.1446371610972771E-4</v>
      </c>
      <c r="P54" s="1">
        <f>SLOPE(M54:M57,F54:F57)</f>
        <v>8.4613046137900874</v>
      </c>
      <c r="Q54" s="1">
        <f>(N54*41.35/0.31*60)/1000</f>
        <v>7.762165284595661E-2</v>
      </c>
      <c r="R54" s="1">
        <f>O54*41.35/0.31*60/1000</f>
        <v>-4.9176918698975308E-3</v>
      </c>
      <c r="S54" s="1">
        <f>(P54*41.35/0.31*60)/1000</f>
        <v>67.717731441332916</v>
      </c>
    </row>
    <row r="55" spans="1:19" x14ac:dyDescent="0.3">
      <c r="A55" s="1">
        <v>53</v>
      </c>
      <c r="C55" s="1" t="s">
        <v>15</v>
      </c>
      <c r="D55" s="1">
        <v>16.899999999999999</v>
      </c>
      <c r="E55" s="1">
        <v>682</v>
      </c>
      <c r="F55" s="1">
        <v>15</v>
      </c>
      <c r="G55" s="1">
        <v>0.39892031918973181</v>
      </c>
      <c r="H55" s="1">
        <v>1.8815649038099374</v>
      </c>
      <c r="I55" s="1">
        <v>568.67703417061762</v>
      </c>
      <c r="J55" s="1" t="s">
        <v>16</v>
      </c>
      <c r="K55" s="1">
        <f t="shared" si="0"/>
        <v>0.46963176816917568</v>
      </c>
      <c r="L55" s="1">
        <f t="shared" si="1"/>
        <v>0.9493223979767681</v>
      </c>
      <c r="M55" s="1">
        <f t="shared" si="2"/>
        <v>286.57012220990975</v>
      </c>
    </row>
    <row r="56" spans="1:19" x14ac:dyDescent="0.3">
      <c r="A56" s="1">
        <v>54</v>
      </c>
      <c r="C56" s="1" t="s">
        <v>15</v>
      </c>
      <c r="D56" s="1">
        <v>16.899999999999999</v>
      </c>
      <c r="E56" s="1">
        <v>683</v>
      </c>
      <c r="F56" s="1">
        <v>30</v>
      </c>
      <c r="G56" s="1">
        <v>0.41774582382153058</v>
      </c>
      <c r="H56" s="1">
        <v>1.8399244203007383</v>
      </c>
      <c r="I56" s="1">
        <v>531.32315393468321</v>
      </c>
      <c r="J56" s="1" t="s">
        <v>16</v>
      </c>
      <c r="K56" s="1">
        <f t="shared" si="0"/>
        <v>0.49179422668937889</v>
      </c>
      <c r="L56" s="1">
        <f t="shared" si="1"/>
        <v>0.92831316062448699</v>
      </c>
      <c r="M56" s="1">
        <f t="shared" si="2"/>
        <v>267.7465978173027</v>
      </c>
    </row>
    <row r="57" spans="1:19" x14ac:dyDescent="0.3">
      <c r="A57" s="1">
        <v>55</v>
      </c>
      <c r="C57" s="1" t="s">
        <v>15</v>
      </c>
      <c r="D57" s="1">
        <v>16.899999999999999</v>
      </c>
      <c r="E57" s="1">
        <v>684</v>
      </c>
      <c r="F57" s="1">
        <v>45</v>
      </c>
      <c r="G57" s="1">
        <v>0.80530799566253175</v>
      </c>
      <c r="H57" s="1">
        <v>1.8278352476690354</v>
      </c>
      <c r="I57" s="1">
        <v>1292.9708367925964</v>
      </c>
      <c r="J57" s="1" t="s">
        <v>16</v>
      </c>
      <c r="K57" s="1">
        <f t="shared" si="0"/>
        <v>0.94805453553217867</v>
      </c>
      <c r="L57" s="1">
        <f t="shared" si="1"/>
        <v>0.922213704618986</v>
      </c>
      <c r="M57" s="1">
        <f t="shared" si="2"/>
        <v>651.55930070904901</v>
      </c>
    </row>
    <row r="58" spans="1:19" x14ac:dyDescent="0.3">
      <c r="A58" s="1">
        <v>56</v>
      </c>
      <c r="C58" s="1" t="s">
        <v>15</v>
      </c>
      <c r="D58" s="1">
        <v>16.899999999999999</v>
      </c>
      <c r="E58" s="1">
        <v>685</v>
      </c>
      <c r="F58" s="1">
        <v>0</v>
      </c>
      <c r="G58" s="1">
        <v>0.39095231490371463</v>
      </c>
      <c r="H58" s="1">
        <v>1.8439541445113061</v>
      </c>
      <c r="I58" s="1">
        <v>457.08594037553468</v>
      </c>
      <c r="J58" s="1" t="s">
        <v>16</v>
      </c>
      <c r="K58" s="1">
        <f t="shared" si="0"/>
        <v>0.46025137874899663</v>
      </c>
      <c r="L58" s="1">
        <f t="shared" si="1"/>
        <v>0.93034631262632073</v>
      </c>
      <c r="M58" s="1">
        <f t="shared" si="2"/>
        <v>230.33666901088358</v>
      </c>
      <c r="N58" s="1">
        <f>SLOPE(K58:K61,F58:F61)</f>
        <v>4.122980849220173E-2</v>
      </c>
      <c r="O58" s="1">
        <f>SLOPE(L58:L61,F58:F61)</f>
        <v>-4.5181155596304795E-5</v>
      </c>
      <c r="P58" s="1">
        <f>SLOPE(M58:M61,F58:F61)</f>
        <v>3.9050658988806513</v>
      </c>
      <c r="Q58" s="1">
        <f>(N58*41.35/0.31*60)/1000</f>
        <v>0.32997146731984672</v>
      </c>
      <c r="R58" s="1">
        <f>O58*41.35/0.31*60/1000</f>
        <v>-3.6159499043365227E-4</v>
      </c>
      <c r="S58" s="1">
        <f>(P58*41.35/0.31*60)/1000</f>
        <v>31.253124177815792</v>
      </c>
    </row>
    <row r="59" spans="1:19" x14ac:dyDescent="0.3">
      <c r="A59" s="1">
        <v>57</v>
      </c>
      <c r="C59" s="1" t="s">
        <v>15</v>
      </c>
      <c r="D59" s="1">
        <v>16.899999999999999</v>
      </c>
      <c r="E59" s="1">
        <v>686</v>
      </c>
      <c r="F59" s="1">
        <v>15</v>
      </c>
      <c r="G59" s="1">
        <v>0.40862980426597739</v>
      </c>
      <c r="H59" s="1">
        <v>1.8627595241606216</v>
      </c>
      <c r="I59" s="1">
        <v>467.21163343406903</v>
      </c>
      <c r="J59" s="1" t="s">
        <v>16</v>
      </c>
      <c r="K59" s="1">
        <f t="shared" si="0"/>
        <v>0.48106232817081024</v>
      </c>
      <c r="L59" s="1">
        <f t="shared" si="1"/>
        <v>0.93983435530154447</v>
      </c>
      <c r="M59" s="1">
        <f t="shared" si="2"/>
        <v>235.43925083305302</v>
      </c>
    </row>
    <row r="60" spans="1:19" x14ac:dyDescent="0.3">
      <c r="A60" s="1">
        <v>58</v>
      </c>
      <c r="C60" s="1" t="s">
        <v>15</v>
      </c>
      <c r="D60" s="1">
        <v>16.899999999999999</v>
      </c>
      <c r="E60" s="1">
        <v>687</v>
      </c>
      <c r="F60" s="1">
        <v>30</v>
      </c>
      <c r="G60" s="1">
        <v>1.7451336147511083</v>
      </c>
      <c r="H60" s="1">
        <v>1.8533568343359639</v>
      </c>
      <c r="I60" s="1">
        <v>577.53105930680078</v>
      </c>
      <c r="J60" s="1" t="s">
        <v>16</v>
      </c>
      <c r="K60" s="1">
        <f t="shared" si="0"/>
        <v>2.0544708949689512</v>
      </c>
      <c r="L60" s="1">
        <f t="shared" si="1"/>
        <v>0.9350903339639326</v>
      </c>
      <c r="M60" s="1">
        <f t="shared" si="2"/>
        <v>291.03187978558913</v>
      </c>
    </row>
    <row r="61" spans="1:19" x14ac:dyDescent="0.3">
      <c r="A61" s="1">
        <v>59</v>
      </c>
      <c r="C61" s="1" t="s">
        <v>15</v>
      </c>
      <c r="D61" s="1">
        <v>16.899999999999999</v>
      </c>
      <c r="E61" s="1">
        <v>688</v>
      </c>
      <c r="F61" s="1">
        <v>45</v>
      </c>
      <c r="G61" s="1">
        <v>1.6965472735980314</v>
      </c>
      <c r="H61" s="1">
        <v>1.8426109031077833</v>
      </c>
      <c r="I61" s="1">
        <v>807.77839959280868</v>
      </c>
      <c r="J61" s="1" t="s">
        <v>16</v>
      </c>
      <c r="K61" s="1">
        <f t="shared" si="0"/>
        <v>1.9972722810930361</v>
      </c>
      <c r="L61" s="1">
        <f t="shared" si="1"/>
        <v>0.92966859529237611</v>
      </c>
      <c r="M61" s="1">
        <f t="shared" si="2"/>
        <v>407.0590876374041</v>
      </c>
    </row>
    <row r="62" spans="1:19" x14ac:dyDescent="0.3">
      <c r="A62" s="1">
        <v>60</v>
      </c>
      <c r="C62" s="1" t="s">
        <v>15</v>
      </c>
      <c r="D62" s="1">
        <v>16.899999999999999</v>
      </c>
      <c r="E62" s="1">
        <v>689</v>
      </c>
      <c r="F62" s="1">
        <v>0</v>
      </c>
      <c r="G62" s="1">
        <v>0.38929839460014576</v>
      </c>
      <c r="H62" s="1">
        <v>1.8520135929324413</v>
      </c>
      <c r="I62" s="1">
        <v>425.84122828491604</v>
      </c>
      <c r="J62" s="1" t="s">
        <v>83</v>
      </c>
      <c r="K62" s="1">
        <f t="shared" si="0"/>
        <v>0.4583042893699607</v>
      </c>
      <c r="L62" s="1">
        <f t="shared" si="1"/>
        <v>0.93441261662998798</v>
      </c>
      <c r="M62" s="1">
        <f t="shared" si="2"/>
        <v>214.59170231765211</v>
      </c>
      <c r="N62" s="1">
        <f>SLOPE(K62:K65,F62:F65)</f>
        <v>2.0860581111867393E-4</v>
      </c>
      <c r="O62" s="1">
        <f>SLOPE(L62:L65,F62:F65)</f>
        <v>1.6988114504210066E-3</v>
      </c>
      <c r="P62" s="1">
        <f>SLOPE(M62:M65,F62:F65)</f>
        <v>0.26653152721958184</v>
      </c>
      <c r="Q62" s="1">
        <f>(N62*41.35/0.31*60)/1000</f>
        <v>1.6695194109207418E-3</v>
      </c>
      <c r="R62" s="1">
        <f>O62*41.35/0.31*60/1000</f>
        <v>1.3595971640304894E-2</v>
      </c>
      <c r="S62" s="1">
        <f>(P62*41.35/0.31*60)/1000</f>
        <v>2.133111996876718</v>
      </c>
    </row>
    <row r="63" spans="1:19" x14ac:dyDescent="0.3">
      <c r="A63" s="1">
        <v>61</v>
      </c>
      <c r="C63" s="1" t="s">
        <v>15</v>
      </c>
      <c r="D63" s="1">
        <v>16.899999999999999</v>
      </c>
      <c r="E63" s="1">
        <v>690</v>
      </c>
      <c r="F63" s="1">
        <v>15</v>
      </c>
      <c r="G63" s="1">
        <v>0.39116635164888236</v>
      </c>
      <c r="H63" s="1">
        <v>1.8587297999500541</v>
      </c>
      <c r="I63" s="1">
        <v>441.16179896848087</v>
      </c>
      <c r="J63" s="1" t="s">
        <v>83</v>
      </c>
      <c r="K63" s="1">
        <f t="shared" si="0"/>
        <v>0.46050335502157769</v>
      </c>
      <c r="L63" s="1">
        <f t="shared" si="1"/>
        <v>0.93780120329971073</v>
      </c>
      <c r="M63" s="1">
        <f t="shared" si="2"/>
        <v>222.31210871584241</v>
      </c>
    </row>
    <row r="64" spans="1:19" x14ac:dyDescent="0.3">
      <c r="A64" s="1">
        <v>62</v>
      </c>
      <c r="C64" s="1" t="s">
        <v>15</v>
      </c>
      <c r="D64" s="1">
        <v>16.899999999999999</v>
      </c>
      <c r="E64" s="1">
        <v>691</v>
      </c>
      <c r="F64" s="1">
        <v>30</v>
      </c>
      <c r="G64" s="1">
        <v>0.39702317531210862</v>
      </c>
      <c r="H64" s="1">
        <v>1.8882811108275501</v>
      </c>
      <c r="I64" s="1">
        <v>452.86491617113393</v>
      </c>
      <c r="J64" s="1" t="s">
        <v>83</v>
      </c>
      <c r="K64" s="1">
        <f t="shared" si="0"/>
        <v>0.46739834211675202</v>
      </c>
      <c r="L64" s="1">
        <f t="shared" si="1"/>
        <v>0.95271098464649084</v>
      </c>
      <c r="M64" s="1">
        <f t="shared" si="2"/>
        <v>228.2095927454067</v>
      </c>
    </row>
    <row r="65" spans="1:19" x14ac:dyDescent="0.3">
      <c r="A65" s="1">
        <v>63</v>
      </c>
      <c r="C65" s="1" t="s">
        <v>15</v>
      </c>
      <c r="D65" s="1">
        <v>16.899999999999999</v>
      </c>
      <c r="E65" s="1">
        <v>692</v>
      </c>
      <c r="F65" s="1">
        <v>45</v>
      </c>
      <c r="G65" s="1">
        <v>0.39620594410328641</v>
      </c>
      <c r="H65" s="1">
        <v>2.0105160785481022</v>
      </c>
      <c r="I65" s="1">
        <v>448.38578606524106</v>
      </c>
      <c r="J65" s="1" t="s">
        <v>83</v>
      </c>
      <c r="K65" s="1">
        <f t="shared" si="0"/>
        <v>0.46643625089416962</v>
      </c>
      <c r="L65" s="1">
        <f t="shared" si="1"/>
        <v>1.0143832620354449</v>
      </c>
      <c r="M65" s="1">
        <f t="shared" si="2"/>
        <v>225.95245066877644</v>
      </c>
    </row>
    <row r="66" spans="1:19" x14ac:dyDescent="0.3">
      <c r="A66" s="1">
        <v>64</v>
      </c>
      <c r="C66" s="1" t="s">
        <v>15</v>
      </c>
      <c r="D66" s="1">
        <v>16.899999999999999</v>
      </c>
      <c r="E66" s="1">
        <v>693</v>
      </c>
      <c r="F66" s="1">
        <v>0</v>
      </c>
      <c r="G66" s="1">
        <v>0.39595299158626995</v>
      </c>
      <c r="H66" s="1">
        <v>1.8547000757394863</v>
      </c>
      <c r="I66" s="1">
        <v>513.91887445407303</v>
      </c>
      <c r="J66" s="1" t="s">
        <v>83</v>
      </c>
      <c r="K66" s="1">
        <f t="shared" si="0"/>
        <v>0.46613846075384646</v>
      </c>
      <c r="L66" s="1">
        <f t="shared" si="1"/>
        <v>0.93576805129787699</v>
      </c>
      <c r="M66" s="1">
        <f t="shared" si="2"/>
        <v>258.97616012060911</v>
      </c>
      <c r="N66" s="1">
        <f>SLOPE(K66:K69,F66:F69)</f>
        <v>-7.4752960865733434E-5</v>
      </c>
      <c r="O66" s="1">
        <f>SLOPE(L66:L69,F66:F69)</f>
        <v>1.7168839126595391E-4</v>
      </c>
      <c r="P66" s="1">
        <f>SLOPE(M66:M69,F66:F69)</f>
        <v>-0.47540721486944654</v>
      </c>
      <c r="Q66" s="1">
        <f>(N66*41.35/0.31*60)/1000</f>
        <v>-5.9826482550930527E-4</v>
      </c>
      <c r="R66" s="1">
        <f>O66*41.35/0.31*60/1000</f>
        <v>1.3740609636478441E-3</v>
      </c>
      <c r="S66" s="1">
        <f>(P66*41.35/0.31*60)/1000</f>
        <v>-3.8047912906164418</v>
      </c>
    </row>
    <row r="67" spans="1:19" x14ac:dyDescent="0.3">
      <c r="A67" s="1">
        <v>65</v>
      </c>
      <c r="C67" s="1" t="s">
        <v>15</v>
      </c>
      <c r="D67" s="1">
        <v>16.899999999999999</v>
      </c>
      <c r="E67" s="1">
        <v>694</v>
      </c>
      <c r="F67" s="1">
        <v>15</v>
      </c>
      <c r="G67" s="1">
        <v>0.39366668999016002</v>
      </c>
      <c r="H67" s="1">
        <v>1.8641027655641444</v>
      </c>
      <c r="I67" s="1">
        <v>426.920309496154</v>
      </c>
      <c r="J67" s="1" t="s">
        <v>83</v>
      </c>
      <c r="K67" s="1">
        <f t="shared" ref="K67:K130" si="3">(G67*28*1)/(0.082*(D67+273.15))</f>
        <v>0.46344689602400263</v>
      </c>
      <c r="L67" s="1">
        <f t="shared" ref="L67:L130" si="4">(H67*12*1)/(0.082*(D67+273.15))</f>
        <v>0.94051207263548908</v>
      </c>
      <c r="M67" s="1">
        <f t="shared" ref="M67:M130" si="5">(I67*12*1)/(0.0821*(D67+273.15))</f>
        <v>215.13547745889704</v>
      </c>
    </row>
    <row r="68" spans="1:19" x14ac:dyDescent="0.3">
      <c r="A68" s="1">
        <v>66</v>
      </c>
      <c r="C68" s="1" t="s">
        <v>15</v>
      </c>
      <c r="D68" s="1">
        <v>16.899999999999999</v>
      </c>
      <c r="E68" s="1">
        <v>695</v>
      </c>
      <c r="F68" s="1">
        <v>30</v>
      </c>
      <c r="G68" s="1">
        <v>0.39567085224036708</v>
      </c>
      <c r="H68" s="1">
        <v>1.8627595241606216</v>
      </c>
      <c r="I68" s="1">
        <v>537.25264066396028</v>
      </c>
      <c r="J68" s="1" t="s">
        <v>83</v>
      </c>
      <c r="K68" s="1">
        <f t="shared" si="3"/>
        <v>0.46580631021271685</v>
      </c>
      <c r="L68" s="1">
        <f t="shared" si="4"/>
        <v>0.93983435530154447</v>
      </c>
      <c r="M68" s="1">
        <f t="shared" si="5"/>
        <v>270.73460970199073</v>
      </c>
    </row>
    <row r="69" spans="1:19" x14ac:dyDescent="0.3">
      <c r="A69" s="1">
        <v>67</v>
      </c>
      <c r="C69" s="1" t="s">
        <v>15</v>
      </c>
      <c r="D69" s="1">
        <v>16.899999999999999</v>
      </c>
      <c r="E69" s="1">
        <v>696</v>
      </c>
      <c r="F69" s="1">
        <v>45</v>
      </c>
      <c r="G69" s="1">
        <v>0.39211005911621283</v>
      </c>
      <c r="H69" s="1">
        <v>1.8721622139852796</v>
      </c>
      <c r="I69" s="1">
        <v>429.97092270878892</v>
      </c>
      <c r="J69" s="1" t="s">
        <v>83</v>
      </c>
      <c r="K69" s="1">
        <f t="shared" si="3"/>
        <v>0.46161434131432172</v>
      </c>
      <c r="L69" s="1">
        <f t="shared" si="4"/>
        <v>0.94457837663915623</v>
      </c>
      <c r="M69" s="1">
        <f t="shared" si="5"/>
        <v>216.67275529610555</v>
      </c>
    </row>
    <row r="70" spans="1:19" x14ac:dyDescent="0.3">
      <c r="A70" s="1">
        <v>68</v>
      </c>
      <c r="C70" s="1" t="s">
        <v>15</v>
      </c>
      <c r="D70" s="1">
        <v>16.899999999999999</v>
      </c>
      <c r="E70" s="1" t="s">
        <v>88</v>
      </c>
      <c r="G70" s="1">
        <v>0.3874888112091821</v>
      </c>
      <c r="H70" s="1">
        <v>1.8264920062655128</v>
      </c>
      <c r="I70" s="1">
        <v>420.54310829928886</v>
      </c>
      <c r="K70" s="1">
        <f t="shared" si="3"/>
        <v>0.45617394451995663</v>
      </c>
      <c r="L70" s="1">
        <f t="shared" si="4"/>
        <v>0.92153598728504149</v>
      </c>
      <c r="M70" s="1">
        <f t="shared" si="5"/>
        <v>211.92185141716996</v>
      </c>
    </row>
    <row r="71" spans="1:19" x14ac:dyDescent="0.3">
      <c r="A71" s="1">
        <v>69</v>
      </c>
      <c r="C71" s="1" t="s">
        <v>15</v>
      </c>
      <c r="D71" s="1">
        <v>16.899999999999999</v>
      </c>
      <c r="E71" s="1" t="s">
        <v>89</v>
      </c>
      <c r="G71" s="1">
        <v>0.38759582958176603</v>
      </c>
      <c r="H71" s="1">
        <v>1.8251487648619904</v>
      </c>
      <c r="I71" s="1">
        <v>411.51535803710146</v>
      </c>
      <c r="K71" s="1">
        <f t="shared" si="3"/>
        <v>0.45629993265624719</v>
      </c>
      <c r="L71" s="1">
        <f t="shared" si="4"/>
        <v>0.92085826995109699</v>
      </c>
      <c r="M71" s="1">
        <f t="shared" si="5"/>
        <v>207.37254954552202</v>
      </c>
    </row>
    <row r="72" spans="1:19" x14ac:dyDescent="0.3">
      <c r="A72" s="1">
        <v>70</v>
      </c>
      <c r="B72" s="1" t="s">
        <v>90</v>
      </c>
      <c r="C72" s="1" t="s">
        <v>15</v>
      </c>
      <c r="D72" s="1">
        <v>20.8</v>
      </c>
      <c r="E72" s="1">
        <v>333</v>
      </c>
      <c r="F72" s="1">
        <v>0</v>
      </c>
      <c r="G72" s="1">
        <v>0.40406201102476241</v>
      </c>
      <c r="H72" s="1">
        <v>2.2114301430143004</v>
      </c>
      <c r="I72" s="1">
        <v>653.08606019052172</v>
      </c>
      <c r="J72" s="1" t="s">
        <v>83</v>
      </c>
      <c r="K72" s="1">
        <f t="shared" si="3"/>
        <v>0.4693736826278464</v>
      </c>
      <c r="L72" s="1">
        <f t="shared" si="4"/>
        <v>1.100948880312796</v>
      </c>
      <c r="M72" s="1">
        <f t="shared" si="5"/>
        <v>324.73944077202304</v>
      </c>
      <c r="N72" s="1">
        <f>SLOPE(K72:K75,F72:F75)</f>
        <v>-1.5273547195958562E-4</v>
      </c>
      <c r="O72" s="1">
        <f>SLOPE(L72:L75,F72:F75)</f>
        <v>-1.2648982086913689E-3</v>
      </c>
      <c r="P72" s="1">
        <f>SLOPE(M72:M75,F72:F75)</f>
        <v>6.7859653878219683</v>
      </c>
      <c r="Q72" s="1">
        <f>(N72*41.35/0.31*60)/1000</f>
        <v>-1.2223764707475224E-3</v>
      </c>
      <c r="R72" s="1">
        <f>O72*41.35/0.31*60/1000</f>
        <v>-1.0123265986333183E-2</v>
      </c>
      <c r="S72" s="1">
        <f>(P72*41.35/0.31*60)/1000</f>
        <v>54.309613313504215</v>
      </c>
    </row>
    <row r="73" spans="1:19" x14ac:dyDescent="0.3">
      <c r="A73" s="1">
        <v>71</v>
      </c>
      <c r="B73" s="1" t="s">
        <v>91</v>
      </c>
      <c r="C73" s="1" t="s">
        <v>15</v>
      </c>
      <c r="D73" s="1">
        <v>20.8</v>
      </c>
      <c r="E73" s="1">
        <v>334</v>
      </c>
      <c r="F73" s="1">
        <v>15</v>
      </c>
      <c r="G73" s="1">
        <v>0.39784462882719707</v>
      </c>
      <c r="H73" s="1">
        <v>2.0053871249193875</v>
      </c>
      <c r="I73" s="1">
        <v>758.63864050455607</v>
      </c>
      <c r="J73" s="1" t="s">
        <v>83</v>
      </c>
      <c r="K73" s="1">
        <f t="shared" si="3"/>
        <v>0.46215133680282106</v>
      </c>
      <c r="L73" s="1">
        <f t="shared" si="4"/>
        <v>0.99837144607439676</v>
      </c>
      <c r="M73" s="1">
        <f t="shared" si="5"/>
        <v>377.22423258219288</v>
      </c>
    </row>
    <row r="74" spans="1:19" x14ac:dyDescent="0.3">
      <c r="A74" s="1">
        <v>72</v>
      </c>
      <c r="C74" s="1" t="s">
        <v>15</v>
      </c>
      <c r="D74" s="1">
        <v>20.8</v>
      </c>
      <c r="E74" s="1">
        <v>335</v>
      </c>
      <c r="F74" s="1">
        <v>30</v>
      </c>
      <c r="G74" s="1">
        <v>0.39800030662870101</v>
      </c>
      <c r="H74" s="1">
        <v>2.0363609119532633</v>
      </c>
      <c r="I74" s="1">
        <v>1323.8111124288414</v>
      </c>
      <c r="J74" s="1" t="s">
        <v>83</v>
      </c>
      <c r="K74" s="1">
        <f t="shared" si="3"/>
        <v>0.46233217801283732</v>
      </c>
      <c r="L74" s="1">
        <f t="shared" si="4"/>
        <v>1.0137915832474895</v>
      </c>
      <c r="M74" s="1">
        <f t="shared" si="5"/>
        <v>658.24966500206858</v>
      </c>
    </row>
    <row r="75" spans="1:19" x14ac:dyDescent="0.3">
      <c r="A75" s="1">
        <v>73</v>
      </c>
      <c r="C75" s="1" t="s">
        <v>15</v>
      </c>
      <c r="D75" s="1">
        <v>20.8</v>
      </c>
      <c r="E75" s="1">
        <v>336</v>
      </c>
      <c r="F75" s="1">
        <v>45</v>
      </c>
      <c r="G75" s="1">
        <v>0.39743597459824914</v>
      </c>
      <c r="H75" s="1">
        <v>2.0740681309510252</v>
      </c>
      <c r="I75" s="1">
        <v>1147.0606718994973</v>
      </c>
      <c r="J75" s="1" t="s">
        <v>83</v>
      </c>
      <c r="K75" s="1">
        <f t="shared" si="3"/>
        <v>0.46167662862652836</v>
      </c>
      <c r="L75" s="1">
        <f t="shared" si="4"/>
        <v>1.0325639241538633</v>
      </c>
      <c r="M75" s="1">
        <f t="shared" si="5"/>
        <v>570.36256602316291</v>
      </c>
    </row>
    <row r="76" spans="1:19" x14ac:dyDescent="0.3">
      <c r="A76" s="1">
        <v>74</v>
      </c>
      <c r="C76" s="1" t="s">
        <v>15</v>
      </c>
      <c r="D76" s="1">
        <v>20.8</v>
      </c>
      <c r="E76" s="1">
        <v>337</v>
      </c>
      <c r="F76" s="1">
        <v>0</v>
      </c>
      <c r="G76" s="1">
        <v>0.39981006107118489</v>
      </c>
      <c r="H76" s="1">
        <v>1.9676799059216254</v>
      </c>
      <c r="I76" s="1">
        <v>440.99327760983914</v>
      </c>
      <c r="J76" s="1" t="s">
        <v>16</v>
      </c>
      <c r="K76" s="1">
        <f t="shared" si="3"/>
        <v>0.46443445707927666</v>
      </c>
      <c r="L76" s="1">
        <f t="shared" si="4"/>
        <v>0.97959910516802284</v>
      </c>
      <c r="M76" s="1">
        <f t="shared" si="5"/>
        <v>219.27877363277867</v>
      </c>
      <c r="N76" s="1">
        <f>SLOPE(K76:K79,F76:F79)</f>
        <v>1.9380149673412062E-4</v>
      </c>
      <c r="O76" s="1">
        <f>SLOPE(L76:L79,F76:F79)</f>
        <v>4.8718694257017921E-4</v>
      </c>
      <c r="P76" s="1">
        <f>SLOPE(M76:M79,F76:F79)</f>
        <v>5.8143646699092728E-2</v>
      </c>
      <c r="Q76" s="1">
        <f>(N76*41.35/0.31*60)/1000</f>
        <v>1.5510371399914623E-3</v>
      </c>
      <c r="R76" s="1">
        <f>O76*41.35/0.31*60/1000</f>
        <v>3.899067111343918E-3</v>
      </c>
      <c r="S76" s="1">
        <f>(P76*41.35/0.31*60)/1000</f>
        <v>0.46533673374338413</v>
      </c>
    </row>
    <row r="77" spans="1:19" x14ac:dyDescent="0.3">
      <c r="A77" s="1">
        <v>75</v>
      </c>
      <c r="C77" s="1" t="s">
        <v>15</v>
      </c>
      <c r="D77" s="1">
        <v>20.8</v>
      </c>
      <c r="E77" s="1">
        <v>338</v>
      </c>
      <c r="F77" s="1">
        <v>15</v>
      </c>
      <c r="G77" s="1">
        <v>0.42982668717367178</v>
      </c>
      <c r="H77" s="1">
        <v>2.0269341072038229</v>
      </c>
      <c r="I77" s="1">
        <v>478.09397403955711</v>
      </c>
      <c r="J77" s="1" t="s">
        <v>16</v>
      </c>
      <c r="K77" s="1">
        <f t="shared" si="3"/>
        <v>0.49930290288554174</v>
      </c>
      <c r="L77" s="1">
        <f t="shared" si="4"/>
        <v>1.0090984980208959</v>
      </c>
      <c r="M77" s="1">
        <f t="shared" si="5"/>
        <v>237.72666303854015</v>
      </c>
    </row>
    <row r="78" spans="1:19" x14ac:dyDescent="0.3">
      <c r="A78" s="1">
        <v>76</v>
      </c>
      <c r="C78" s="1" t="s">
        <v>15</v>
      </c>
      <c r="D78" s="1">
        <v>20.8</v>
      </c>
      <c r="E78" s="1">
        <v>339</v>
      </c>
      <c r="F78" s="1">
        <v>30</v>
      </c>
      <c r="G78" s="1">
        <v>0.40981235981781583</v>
      </c>
      <c r="H78" s="1">
        <v>2.060601267023253</v>
      </c>
      <c r="I78" s="1">
        <v>449.98547866270837</v>
      </c>
      <c r="J78" s="1" t="s">
        <v>16</v>
      </c>
      <c r="K78" s="1">
        <f t="shared" si="3"/>
        <v>0.47605350482282299</v>
      </c>
      <c r="L78" s="1">
        <f t="shared" si="4"/>
        <v>1.025859516687301</v>
      </c>
      <c r="M78" s="1">
        <f t="shared" si="5"/>
        <v>223.7500409269642</v>
      </c>
    </row>
    <row r="79" spans="1:19" x14ac:dyDescent="0.3">
      <c r="A79" s="1">
        <v>77</v>
      </c>
      <c r="C79" s="1" t="s">
        <v>15</v>
      </c>
      <c r="D79" s="1">
        <v>20.8</v>
      </c>
      <c r="E79" s="1">
        <v>340</v>
      </c>
      <c r="F79" s="1">
        <v>45</v>
      </c>
      <c r="G79" s="1">
        <v>0.41482323905372537</v>
      </c>
      <c r="H79" s="1">
        <v>2.0053871249193875</v>
      </c>
      <c r="I79" s="1">
        <v>456.20943347780945</v>
      </c>
      <c r="J79" s="1" t="s">
        <v>16</v>
      </c>
      <c r="K79" s="1">
        <f t="shared" si="3"/>
        <v>0.48187433127022228</v>
      </c>
      <c r="L79" s="1">
        <f t="shared" si="4"/>
        <v>0.99837144607439676</v>
      </c>
      <c r="M79" s="1">
        <f t="shared" si="5"/>
        <v>226.84483000492529</v>
      </c>
    </row>
    <row r="80" spans="1:19" x14ac:dyDescent="0.3">
      <c r="A80" s="1">
        <v>78</v>
      </c>
      <c r="C80" s="1" t="s">
        <v>15</v>
      </c>
      <c r="D80" s="1">
        <v>20.8</v>
      </c>
      <c r="E80" s="1">
        <v>341</v>
      </c>
      <c r="F80" s="1">
        <v>0</v>
      </c>
      <c r="G80" s="1">
        <v>0.398691126872875</v>
      </c>
      <c r="H80" s="1">
        <v>1.9919202609916153</v>
      </c>
      <c r="I80" s="1">
        <v>446.58399246708768</v>
      </c>
      <c r="J80" s="1" t="s">
        <v>16</v>
      </c>
      <c r="K80" s="1">
        <f t="shared" si="3"/>
        <v>0.46313466088228461</v>
      </c>
      <c r="L80" s="1">
        <f t="shared" si="4"/>
        <v>0.99166703860783456</v>
      </c>
      <c r="M80" s="1">
        <f t="shared" si="5"/>
        <v>222.05869151332431</v>
      </c>
      <c r="N80" s="1">
        <f>SLOPE(K80:K83,F80:F83)</f>
        <v>6.5155580958784257E-4</v>
      </c>
      <c r="O80" s="1">
        <f>SLOPE(L80:L83,F80:F83)</f>
        <v>2.9678177051981371E-3</v>
      </c>
      <c r="P80" s="1">
        <f>SLOPE(M80:M83,F80:F83)</f>
        <v>0.39293100904791023</v>
      </c>
      <c r="Q80" s="1">
        <f>(N80*41.35/0.31*60)/1000</f>
        <v>5.2145482696368955E-3</v>
      </c>
      <c r="R80" s="1">
        <f>O80*41.35/0.31*60/1000</f>
        <v>2.3752115247085738E-2</v>
      </c>
      <c r="S80" s="1">
        <f>(P80*41.35/0.31*60)/1000</f>
        <v>3.1447155917673073</v>
      </c>
    </row>
    <row r="81" spans="1:19" x14ac:dyDescent="0.3">
      <c r="A81" s="1">
        <v>79</v>
      </c>
      <c r="C81" s="1" t="s">
        <v>15</v>
      </c>
      <c r="D81" s="1">
        <v>20.8</v>
      </c>
      <c r="E81" s="1">
        <v>342</v>
      </c>
      <c r="F81" s="1">
        <v>15</v>
      </c>
      <c r="G81" s="1">
        <v>0.43490567544773923</v>
      </c>
      <c r="H81" s="1">
        <v>1.9959603201699467</v>
      </c>
      <c r="I81" s="1">
        <v>497.22769698622983</v>
      </c>
      <c r="J81" s="1" t="s">
        <v>16</v>
      </c>
      <c r="K81" s="1">
        <f t="shared" si="3"/>
        <v>0.50520284736232302</v>
      </c>
      <c r="L81" s="1">
        <f t="shared" si="4"/>
        <v>0.99367836084780314</v>
      </c>
      <c r="M81" s="1">
        <f t="shared" si="5"/>
        <v>247.24068403567594</v>
      </c>
    </row>
    <row r="82" spans="1:19" x14ac:dyDescent="0.3">
      <c r="A82" s="1">
        <v>80</v>
      </c>
      <c r="C82" s="1" t="s">
        <v>15</v>
      </c>
      <c r="D82" s="1">
        <v>20.8</v>
      </c>
      <c r="E82" s="1">
        <v>343</v>
      </c>
      <c r="F82" s="1">
        <v>30</v>
      </c>
      <c r="G82" s="1">
        <v>0.42213036586181851</v>
      </c>
      <c r="H82" s="1">
        <v>1.9851868290277292</v>
      </c>
      <c r="I82" s="1">
        <v>466.08177997668474</v>
      </c>
      <c r="J82" s="1" t="s">
        <v>16</v>
      </c>
      <c r="K82" s="1">
        <f t="shared" si="3"/>
        <v>0.49036256556536162</v>
      </c>
      <c r="L82" s="1">
        <f t="shared" si="4"/>
        <v>0.98831483487455363</v>
      </c>
      <c r="M82" s="1">
        <f t="shared" si="5"/>
        <v>231.7537393762525</v>
      </c>
    </row>
    <row r="83" spans="1:19" x14ac:dyDescent="0.3">
      <c r="A83" s="1">
        <v>81</v>
      </c>
      <c r="C83" s="1" t="s">
        <v>15</v>
      </c>
      <c r="D83" s="1">
        <v>20.8</v>
      </c>
      <c r="E83" s="1">
        <v>344</v>
      </c>
      <c r="F83" s="1">
        <v>45</v>
      </c>
      <c r="G83" s="1">
        <v>0.43099427068495166</v>
      </c>
      <c r="H83" s="1">
        <v>2.2935780129737102</v>
      </c>
      <c r="I83" s="1">
        <v>496.47729795360641</v>
      </c>
      <c r="J83" s="1" t="s">
        <v>16</v>
      </c>
      <c r="K83" s="1">
        <f t="shared" si="3"/>
        <v>0.50065921196066387</v>
      </c>
      <c r="L83" s="1">
        <f t="shared" si="4"/>
        <v>1.1418457658588246</v>
      </c>
      <c r="M83" s="1">
        <f t="shared" si="5"/>
        <v>246.8675568521943</v>
      </c>
    </row>
    <row r="84" spans="1:19" x14ac:dyDescent="0.3">
      <c r="A84" s="1">
        <v>82</v>
      </c>
      <c r="C84" s="1" t="s">
        <v>15</v>
      </c>
      <c r="D84" s="1">
        <v>20.8</v>
      </c>
      <c r="E84" s="1">
        <v>345</v>
      </c>
      <c r="F84" s="1">
        <v>0</v>
      </c>
      <c r="G84" s="1">
        <v>0.39860355810952902</v>
      </c>
      <c r="H84" s="1">
        <v>2.0565612078449211</v>
      </c>
      <c r="I84" s="1">
        <v>441.31377061603052</v>
      </c>
      <c r="J84" s="1" t="s">
        <v>16</v>
      </c>
      <c r="K84" s="1">
        <f t="shared" si="3"/>
        <v>0.46303293770165049</v>
      </c>
      <c r="L84" s="1">
        <f t="shared" si="4"/>
        <v>1.0238481944473323</v>
      </c>
      <c r="M84" s="1">
        <f t="shared" si="5"/>
        <v>219.43813504920757</v>
      </c>
      <c r="N84" s="1">
        <f>SLOPE(K84:K87,F84:F87)</f>
        <v>-1.6275708901466458E-5</v>
      </c>
      <c r="O84" s="1">
        <f>SLOPE(L84:L87,F84:F87)</f>
        <v>-8.6710336567535754E-4</v>
      </c>
      <c r="P84" s="1">
        <f>SLOPE(M84:M87,F84:F87)</f>
        <v>-4.1080901689300807E-2</v>
      </c>
      <c r="Q84" s="1">
        <f>(N84*41.35/0.31*60)/1000</f>
        <v>-1.302581734985106E-4</v>
      </c>
      <c r="R84" s="1">
        <f>O84*41.35/0.31*60/1000</f>
        <v>-6.9396240330340704E-3</v>
      </c>
      <c r="S84" s="1">
        <f>(P84*41.35/0.31*60)/1000</f>
        <v>-0.3287797325521139</v>
      </c>
    </row>
    <row r="85" spans="1:19" x14ac:dyDescent="0.3">
      <c r="A85" s="1">
        <v>83</v>
      </c>
      <c r="C85" s="1" t="s">
        <v>15</v>
      </c>
      <c r="D85" s="1">
        <v>20.8</v>
      </c>
      <c r="E85" s="1">
        <v>346</v>
      </c>
      <c r="F85" s="1">
        <v>15</v>
      </c>
      <c r="G85" s="1">
        <v>0.41403512018361138</v>
      </c>
      <c r="H85" s="1">
        <v>2.0565612078449211</v>
      </c>
      <c r="I85" s="1">
        <v>470.44668170451234</v>
      </c>
      <c r="J85" s="1" t="s">
        <v>16</v>
      </c>
      <c r="K85" s="1">
        <f t="shared" si="3"/>
        <v>0.48095882264451478</v>
      </c>
      <c r="L85" s="1">
        <f t="shared" si="4"/>
        <v>1.0238481944473323</v>
      </c>
      <c r="M85" s="1">
        <f t="shared" si="5"/>
        <v>233.92413594803978</v>
      </c>
    </row>
    <row r="86" spans="1:19" x14ac:dyDescent="0.3">
      <c r="A86" s="1">
        <v>84</v>
      </c>
      <c r="C86" s="1" t="s">
        <v>15</v>
      </c>
      <c r="D86" s="1">
        <v>20.8</v>
      </c>
      <c r="E86" s="1">
        <v>347</v>
      </c>
      <c r="F86" s="1">
        <v>30</v>
      </c>
      <c r="G86" s="1">
        <v>0.40273874971197859</v>
      </c>
      <c r="H86" s="1">
        <v>2.021547361632714</v>
      </c>
      <c r="I86" s="1">
        <v>447.62293203096493</v>
      </c>
      <c r="J86" s="1" t="s">
        <v>16</v>
      </c>
      <c r="K86" s="1">
        <f t="shared" si="3"/>
        <v>0.46783653234270806</v>
      </c>
      <c r="L86" s="1">
        <f t="shared" si="4"/>
        <v>1.0064167350342712</v>
      </c>
      <c r="M86" s="1">
        <f t="shared" si="5"/>
        <v>222.57529211703496</v>
      </c>
    </row>
    <row r="87" spans="1:19" x14ac:dyDescent="0.3">
      <c r="A87" s="1">
        <v>85</v>
      </c>
      <c r="C87" s="1" t="s">
        <v>15</v>
      </c>
      <c r="D87" s="1">
        <v>20.8</v>
      </c>
      <c r="E87" s="1">
        <v>348</v>
      </c>
      <c r="F87" s="1">
        <v>45</v>
      </c>
      <c r="G87" s="1">
        <v>0.4016684648266387</v>
      </c>
      <c r="H87" s="1">
        <v>1.9811467698493974</v>
      </c>
      <c r="I87" s="1">
        <v>444.79078084332173</v>
      </c>
      <c r="J87" s="1" t="s">
        <v>16</v>
      </c>
      <c r="K87" s="1">
        <f t="shared" si="3"/>
        <v>0.46659324902384608</v>
      </c>
      <c r="L87" s="1">
        <f t="shared" si="4"/>
        <v>0.98630351263458482</v>
      </c>
      <c r="M87" s="1">
        <f t="shared" si="5"/>
        <v>221.1670379084108</v>
      </c>
    </row>
    <row r="88" spans="1:19" x14ac:dyDescent="0.3">
      <c r="A88" s="1">
        <v>86</v>
      </c>
      <c r="C88" s="1" t="s">
        <v>15</v>
      </c>
      <c r="D88" s="1">
        <v>20.8</v>
      </c>
      <c r="E88" s="1">
        <v>349</v>
      </c>
      <c r="F88" s="1">
        <v>0</v>
      </c>
      <c r="G88" s="1">
        <v>0.39580135768245728</v>
      </c>
      <c r="H88" s="1">
        <v>2.0538678350593669</v>
      </c>
      <c r="I88" s="1">
        <v>451.91908752483607</v>
      </c>
      <c r="J88" s="1" t="s">
        <v>16</v>
      </c>
      <c r="K88" s="1">
        <f t="shared" si="3"/>
        <v>0.45977779592135726</v>
      </c>
      <c r="L88" s="1">
        <f t="shared" si="4"/>
        <v>1.0225073129540201</v>
      </c>
      <c r="M88" s="1">
        <f t="shared" si="5"/>
        <v>224.71150542427105</v>
      </c>
      <c r="N88" s="1">
        <f>SLOPE(K88:K91,F88:F91)</f>
        <v>1.693879333819226E-4</v>
      </c>
      <c r="O88" s="1">
        <f>SLOPE(L88:L91,F88:F91)</f>
        <v>8.1793771092056951E-4</v>
      </c>
      <c r="P88" s="1">
        <f>SLOPE(M88:M91,F88:F91)</f>
        <v>0.25067085398320238</v>
      </c>
      <c r="Q88" s="1">
        <f>(N88*41.35/0.31*60)/1000</f>
        <v>1.3556498797437095E-3</v>
      </c>
      <c r="R88" s="1">
        <f>O88*41.35/0.31*60/1000</f>
        <v>6.5461401961094618E-3</v>
      </c>
      <c r="S88" s="1">
        <f>(P88*41.35/0.31*60)/1000</f>
        <v>2.0061754475236295</v>
      </c>
    </row>
    <row r="89" spans="1:19" x14ac:dyDescent="0.3">
      <c r="A89" s="1">
        <v>87</v>
      </c>
      <c r="C89" s="1" t="s">
        <v>15</v>
      </c>
      <c r="D89" s="1">
        <v>20.8</v>
      </c>
      <c r="E89" s="1">
        <v>350</v>
      </c>
      <c r="F89" s="1">
        <v>15</v>
      </c>
      <c r="G89" s="1">
        <v>0.40605663285653221</v>
      </c>
      <c r="H89" s="1">
        <v>2.0430943439171489</v>
      </c>
      <c r="I89" s="1">
        <v>507.35372677097268</v>
      </c>
      <c r="J89" s="1" t="s">
        <v>16</v>
      </c>
      <c r="K89" s="1">
        <f t="shared" si="3"/>
        <v>0.47169071063118012</v>
      </c>
      <c r="L89" s="1">
        <f t="shared" si="4"/>
        <v>1.0171437869807702</v>
      </c>
      <c r="M89" s="1">
        <f t="shared" si="5"/>
        <v>252.27573446774144</v>
      </c>
    </row>
    <row r="90" spans="1:19" x14ac:dyDescent="0.3">
      <c r="A90" s="1">
        <v>88</v>
      </c>
      <c r="C90" s="1" t="s">
        <v>15</v>
      </c>
      <c r="D90" s="1">
        <v>20.8</v>
      </c>
      <c r="E90" s="1">
        <v>351</v>
      </c>
      <c r="F90" s="1">
        <v>30</v>
      </c>
      <c r="G90" s="1">
        <v>0.40113332238396876</v>
      </c>
      <c r="H90" s="1">
        <v>2.1804563559804251</v>
      </c>
      <c r="I90" s="1">
        <v>475.85633253711495</v>
      </c>
      <c r="J90" s="1" t="s">
        <v>16</v>
      </c>
      <c r="K90" s="1">
        <f t="shared" si="3"/>
        <v>0.46597160736441512</v>
      </c>
      <c r="L90" s="1">
        <f t="shared" si="4"/>
        <v>1.0855287431397036</v>
      </c>
      <c r="M90" s="1">
        <f t="shared" si="5"/>
        <v>236.61402185011949</v>
      </c>
    </row>
    <row r="91" spans="1:19" x14ac:dyDescent="0.3">
      <c r="A91" s="1">
        <v>89</v>
      </c>
      <c r="C91" s="1" t="s">
        <v>15</v>
      </c>
      <c r="D91" s="1">
        <v>20.8</v>
      </c>
      <c r="E91" s="1">
        <v>352</v>
      </c>
      <c r="F91" s="1">
        <v>45</v>
      </c>
      <c r="G91" s="1">
        <v>0.40473337154374839</v>
      </c>
      <c r="H91" s="1">
        <v>2.0902283676643516</v>
      </c>
      <c r="I91" s="1">
        <v>487.62452588228268</v>
      </c>
      <c r="J91" s="1" t="s">
        <v>16</v>
      </c>
      <c r="K91" s="1">
        <f t="shared" si="3"/>
        <v>0.47015356034604172</v>
      </c>
      <c r="L91" s="1">
        <f t="shared" si="4"/>
        <v>1.0406092131137374</v>
      </c>
      <c r="M91" s="1">
        <f t="shared" si="5"/>
        <v>242.46561899597182</v>
      </c>
    </row>
    <row r="92" spans="1:19" x14ac:dyDescent="0.3">
      <c r="A92" s="1">
        <v>90</v>
      </c>
      <c r="C92" s="1" t="s">
        <v>15</v>
      </c>
      <c r="D92" s="1">
        <v>20.8</v>
      </c>
      <c r="E92" s="1">
        <v>353</v>
      </c>
      <c r="F92" s="1">
        <v>0</v>
      </c>
      <c r="G92" s="1">
        <v>0.40011168681159887</v>
      </c>
      <c r="H92" s="1">
        <v>1.9959603201699467</v>
      </c>
      <c r="I92" s="1">
        <v>449.25153999596188</v>
      </c>
      <c r="J92" s="1" t="s">
        <v>16</v>
      </c>
      <c r="K92" s="1">
        <f t="shared" si="3"/>
        <v>0.46478483692368322</v>
      </c>
      <c r="L92" s="1">
        <f t="shared" si="4"/>
        <v>0.99367836084780314</v>
      </c>
      <c r="M92" s="1">
        <f t="shared" si="5"/>
        <v>223.38509846879768</v>
      </c>
      <c r="N92" s="1">
        <f>SLOPE(K92:K95,F92:F95)</f>
        <v>6.3595825522393395E-5</v>
      </c>
      <c r="O92" s="1">
        <f>SLOPE(L92:L95,F92:F95)</f>
        <v>-6.3915351181224715E-4</v>
      </c>
      <c r="P92" s="1">
        <f>SLOPE(M92:M95,F92:F95)</f>
        <v>0.28414798536998315</v>
      </c>
      <c r="Q92" s="1">
        <f>(N92*41.35/0.31*60)/1000</f>
        <v>5.0897175200341298E-4</v>
      </c>
      <c r="R92" s="1">
        <f>O92*41.35/0.31*60/1000</f>
        <v>-5.115289880019953E-3</v>
      </c>
      <c r="S92" s="1">
        <f>(P92*41.35/0.31*60)/1000</f>
        <v>2.2741004893642844</v>
      </c>
    </row>
    <row r="93" spans="1:19" x14ac:dyDescent="0.3">
      <c r="A93" s="1">
        <v>91</v>
      </c>
      <c r="C93" s="1" t="s">
        <v>15</v>
      </c>
      <c r="D93" s="1">
        <v>20.8</v>
      </c>
      <c r="E93" s="1">
        <v>354</v>
      </c>
      <c r="F93" s="1">
        <v>15</v>
      </c>
      <c r="G93" s="1">
        <v>0.40314740394092652</v>
      </c>
      <c r="H93" s="1">
        <v>2.2100834566215233</v>
      </c>
      <c r="I93" s="1">
        <v>523.55266330747565</v>
      </c>
      <c r="J93" s="1" t="s">
        <v>16</v>
      </c>
      <c r="K93" s="1">
        <f t="shared" si="3"/>
        <v>0.46831124051900075</v>
      </c>
      <c r="L93" s="1">
        <f t="shared" si="4"/>
        <v>1.1002784395661398</v>
      </c>
      <c r="M93" s="1">
        <f t="shared" si="5"/>
        <v>260.33046708664142</v>
      </c>
    </row>
    <row r="94" spans="1:19" x14ac:dyDescent="0.3">
      <c r="A94" s="1">
        <v>92</v>
      </c>
      <c r="C94" s="1" t="s">
        <v>15</v>
      </c>
      <c r="D94" s="1">
        <v>20.8</v>
      </c>
      <c r="E94" s="1">
        <v>355</v>
      </c>
      <c r="F94" s="1">
        <v>30</v>
      </c>
      <c r="G94" s="1">
        <v>0.40353659844468648</v>
      </c>
      <c r="H94" s="1">
        <v>2.0821482493076884</v>
      </c>
      <c r="I94" s="1">
        <v>485.30361429363967</v>
      </c>
      <c r="J94" s="1" t="s">
        <v>16</v>
      </c>
      <c r="K94" s="1">
        <f t="shared" si="3"/>
        <v>0.46876334354404148</v>
      </c>
      <c r="L94" s="1">
        <f t="shared" si="4"/>
        <v>1.0365865686338005</v>
      </c>
      <c r="M94" s="1">
        <f t="shared" si="5"/>
        <v>241.31157272654548</v>
      </c>
    </row>
    <row r="95" spans="1:19" x14ac:dyDescent="0.3">
      <c r="A95" s="1">
        <v>93</v>
      </c>
      <c r="C95" s="1" t="s">
        <v>15</v>
      </c>
      <c r="D95" s="1">
        <v>20.8</v>
      </c>
      <c r="E95" s="1">
        <v>356</v>
      </c>
      <c r="F95" s="1">
        <v>45</v>
      </c>
      <c r="G95" s="1">
        <v>0.40271928998679052</v>
      </c>
      <c r="H95" s="1">
        <v>1.9744133378855115</v>
      </c>
      <c r="I95" s="1">
        <v>490.57383614469677</v>
      </c>
      <c r="J95" s="1" t="s">
        <v>16</v>
      </c>
      <c r="K95" s="1">
        <f t="shared" si="3"/>
        <v>0.46781392719145598</v>
      </c>
      <c r="L95" s="1">
        <f t="shared" si="4"/>
        <v>0.98295130890130389</v>
      </c>
      <c r="M95" s="1">
        <f t="shared" si="5"/>
        <v>243.93212919066215</v>
      </c>
    </row>
    <row r="96" spans="1:19" x14ac:dyDescent="0.3">
      <c r="A96" s="1">
        <v>94</v>
      </c>
      <c r="C96" s="1" t="s">
        <v>15</v>
      </c>
      <c r="D96" s="1">
        <v>20.8</v>
      </c>
      <c r="E96" s="1">
        <v>357</v>
      </c>
      <c r="F96" s="1">
        <v>0</v>
      </c>
      <c r="G96" s="1">
        <v>0.40028682433829077</v>
      </c>
      <c r="H96" s="1">
        <v>2.2033500246576372</v>
      </c>
      <c r="I96" s="1">
        <v>435.89734198571387</v>
      </c>
      <c r="J96" s="1" t="s">
        <v>16</v>
      </c>
      <c r="K96" s="1">
        <f t="shared" si="3"/>
        <v>0.46498828328495145</v>
      </c>
      <c r="L96" s="1">
        <f t="shared" si="4"/>
        <v>1.0969262358328589</v>
      </c>
      <c r="M96" s="1">
        <f t="shared" si="5"/>
        <v>216.74487896611575</v>
      </c>
      <c r="N96" s="1">
        <f>SLOPE(K96:K99,F96:F99)</f>
        <v>8.0097585936383196E-5</v>
      </c>
      <c r="O96" s="1">
        <f>SLOPE(L96:L99,F96:F99)</f>
        <v>-1.9040517205036226E-3</v>
      </c>
      <c r="P96" s="1">
        <f>SLOPE(M96:M99,F96:F99)</f>
        <v>0.23023471826511832</v>
      </c>
      <c r="Q96" s="1">
        <f>(N96*41.35/0.31*60)/1000</f>
        <v>6.4103906680053791E-4</v>
      </c>
      <c r="R96" s="1">
        <f>O96*41.35/0.31*60/1000</f>
        <v>-1.5238555866353188E-2</v>
      </c>
      <c r="S96" s="1">
        <f>(P96*41.35/0.31*60)/1000</f>
        <v>1.8426204387605112</v>
      </c>
    </row>
    <row r="97" spans="1:19" x14ac:dyDescent="0.3">
      <c r="A97" s="1">
        <v>95</v>
      </c>
      <c r="C97" s="1" t="s">
        <v>15</v>
      </c>
      <c r="D97" s="1">
        <v>20.8</v>
      </c>
      <c r="E97" s="1">
        <v>358</v>
      </c>
      <c r="F97" s="1">
        <v>15</v>
      </c>
      <c r="G97" s="1">
        <v>0.40384795404769447</v>
      </c>
      <c r="H97" s="1">
        <v>2.111775349948787</v>
      </c>
      <c r="I97" s="1">
        <v>452.65302619158257</v>
      </c>
      <c r="J97" s="1" t="s">
        <v>16</v>
      </c>
      <c r="K97" s="1">
        <f t="shared" si="3"/>
        <v>0.46912502596407407</v>
      </c>
      <c r="L97" s="1">
        <f t="shared" si="4"/>
        <v>1.0513362650602369</v>
      </c>
      <c r="M97" s="1">
        <f t="shared" si="5"/>
        <v>225.07644788243755</v>
      </c>
    </row>
    <row r="98" spans="1:19" x14ac:dyDescent="0.3">
      <c r="A98" s="1">
        <v>96</v>
      </c>
      <c r="C98" s="1" t="s">
        <v>15</v>
      </c>
      <c r="D98" s="1">
        <v>20.8</v>
      </c>
      <c r="E98" s="1">
        <v>359</v>
      </c>
      <c r="F98" s="1">
        <v>30</v>
      </c>
      <c r="G98" s="1">
        <v>0.40438309649036441</v>
      </c>
      <c r="H98" s="1">
        <v>2.0107738704904961</v>
      </c>
      <c r="I98" s="1">
        <v>462.68416680832917</v>
      </c>
      <c r="J98" s="1" t="s">
        <v>16</v>
      </c>
      <c r="K98" s="1">
        <f t="shared" si="3"/>
        <v>0.46974666762350509</v>
      </c>
      <c r="L98" s="1">
        <f t="shared" si="4"/>
        <v>1.0010532090610214</v>
      </c>
      <c r="M98" s="1">
        <f t="shared" si="5"/>
        <v>230.06431578033377</v>
      </c>
    </row>
    <row r="99" spans="1:19" x14ac:dyDescent="0.3">
      <c r="A99" s="1">
        <v>97</v>
      </c>
      <c r="C99" s="1" t="s">
        <v>15</v>
      </c>
      <c r="D99" s="1">
        <v>20.8</v>
      </c>
      <c r="E99" s="1">
        <v>360</v>
      </c>
      <c r="F99" s="1">
        <v>45</v>
      </c>
      <c r="G99" s="1">
        <v>0.4035560581698745</v>
      </c>
      <c r="H99" s="1">
        <v>2.0457877167027037</v>
      </c>
      <c r="I99" s="1">
        <v>455.70497167652326</v>
      </c>
      <c r="J99" s="1" t="s">
        <v>16</v>
      </c>
      <c r="K99" s="1">
        <f t="shared" si="3"/>
        <v>0.46878594869529361</v>
      </c>
      <c r="L99" s="1">
        <f t="shared" si="4"/>
        <v>1.0184846684740829</v>
      </c>
      <c r="M99" s="1">
        <f t="shared" si="5"/>
        <v>226.59399224673959</v>
      </c>
    </row>
    <row r="100" spans="1:19" x14ac:dyDescent="0.3">
      <c r="A100" s="1">
        <v>98</v>
      </c>
      <c r="C100" s="1" t="s">
        <v>15</v>
      </c>
      <c r="D100" s="1">
        <v>20.8</v>
      </c>
      <c r="E100" s="1">
        <v>361</v>
      </c>
      <c r="F100" s="1">
        <v>0</v>
      </c>
      <c r="G100" s="1">
        <v>0.40277766916235458</v>
      </c>
      <c r="H100" s="1">
        <v>2.0942684268426834</v>
      </c>
      <c r="I100" s="1">
        <v>726.92145197340085</v>
      </c>
      <c r="J100" s="1" t="s">
        <v>83</v>
      </c>
      <c r="K100" s="1">
        <f t="shared" si="3"/>
        <v>0.46788174264521215</v>
      </c>
      <c r="L100" s="1">
        <f t="shared" si="4"/>
        <v>1.0426205353537064</v>
      </c>
      <c r="M100" s="1">
        <f t="shared" si="5"/>
        <v>361.45322980889307</v>
      </c>
      <c r="N100" s="1">
        <f>SLOPE(K100:K103,F100:F103)</f>
        <v>2.2725712058713137E-4</v>
      </c>
      <c r="O100" s="1">
        <f>SLOPE(L100:L103,F100:F103)</f>
        <v>-1.0727051946499329E-3</v>
      </c>
      <c r="P100" s="1">
        <f>SLOPE(M100:M103,F100:F103)</f>
        <v>1.8370696212103552</v>
      </c>
      <c r="Q100" s="1">
        <f>(N100*41.35/0.31*60)/1000</f>
        <v>1.8187900521828163E-3</v>
      </c>
      <c r="R100" s="1">
        <f>O100*41.35/0.31*60/1000</f>
        <v>-8.5851018965370438E-3</v>
      </c>
      <c r="S100" s="1">
        <f>(P100*41.35/0.31*60)/1000</f>
        <v>14.702483000719004</v>
      </c>
    </row>
    <row r="101" spans="1:19" x14ac:dyDescent="0.3">
      <c r="A101" s="1">
        <v>99</v>
      </c>
      <c r="C101" s="1" t="s">
        <v>15</v>
      </c>
      <c r="D101" s="1">
        <v>20.8</v>
      </c>
      <c r="E101" s="1">
        <v>362</v>
      </c>
      <c r="F101" s="1">
        <v>15</v>
      </c>
      <c r="G101" s="1">
        <v>0.39671596476629317</v>
      </c>
      <c r="H101" s="1">
        <v>1.9663332195288483</v>
      </c>
      <c r="I101" s="1">
        <v>725.141795945063</v>
      </c>
      <c r="J101" s="1" t="s">
        <v>83</v>
      </c>
      <c r="K101" s="1">
        <f t="shared" si="3"/>
        <v>0.46084023803020296</v>
      </c>
      <c r="L101" s="1">
        <f t="shared" si="4"/>
        <v>0.97892866442136672</v>
      </c>
      <c r="M101" s="1">
        <f t="shared" si="5"/>
        <v>360.56831656600383</v>
      </c>
    </row>
    <row r="102" spans="1:19" x14ac:dyDescent="0.3">
      <c r="A102" s="1">
        <v>100</v>
      </c>
      <c r="C102" s="1" t="s">
        <v>15</v>
      </c>
      <c r="D102" s="1">
        <v>20.8</v>
      </c>
      <c r="E102" s="1">
        <v>363</v>
      </c>
      <c r="F102" s="1">
        <v>30</v>
      </c>
      <c r="G102" s="1">
        <v>0.40279712888754254</v>
      </c>
      <c r="H102" s="1">
        <v>2.0148139296688279</v>
      </c>
      <c r="I102" s="1">
        <v>823.52733930493139</v>
      </c>
      <c r="J102" s="1" t="s">
        <v>83</v>
      </c>
      <c r="K102" s="1">
        <f t="shared" si="3"/>
        <v>0.46790434779646412</v>
      </c>
      <c r="L102" s="1">
        <f t="shared" si="4"/>
        <v>1.0030645313009903</v>
      </c>
      <c r="M102" s="1">
        <f t="shared" si="5"/>
        <v>409.48938268310133</v>
      </c>
    </row>
    <row r="103" spans="1:19" x14ac:dyDescent="0.3">
      <c r="A103" s="1">
        <v>101</v>
      </c>
      <c r="C103" s="1" t="s">
        <v>15</v>
      </c>
      <c r="D103" s="1">
        <v>20.8</v>
      </c>
      <c r="E103" s="1">
        <v>364</v>
      </c>
      <c r="F103" s="1">
        <v>45</v>
      </c>
      <c r="G103" s="1">
        <v>0.41053236964977174</v>
      </c>
      <c r="H103" s="1">
        <v>1.9703732787071797</v>
      </c>
      <c r="I103" s="1">
        <v>878.85353378764376</v>
      </c>
      <c r="J103" s="1" t="s">
        <v>83</v>
      </c>
      <c r="K103" s="1">
        <f t="shared" si="3"/>
        <v>0.47688989541914834</v>
      </c>
      <c r="L103" s="1">
        <f t="shared" si="4"/>
        <v>0.98093998666133519</v>
      </c>
      <c r="M103" s="1">
        <f t="shared" si="5"/>
        <v>436.99968883037832</v>
      </c>
    </row>
    <row r="104" spans="1:19" x14ac:dyDescent="0.3">
      <c r="A104" s="1">
        <v>102</v>
      </c>
      <c r="C104" s="1" t="s">
        <v>15</v>
      </c>
      <c r="D104" s="1">
        <v>20.8</v>
      </c>
      <c r="E104" s="1" t="s">
        <v>92</v>
      </c>
      <c r="G104" s="1">
        <v>0.37198265405234771</v>
      </c>
      <c r="H104" s="1">
        <v>1.9744133378855115</v>
      </c>
      <c r="I104" s="1">
        <v>441.43189794761764</v>
      </c>
      <c r="K104" s="1">
        <f t="shared" si="3"/>
        <v>0.4321090907888655</v>
      </c>
      <c r="L104" s="1">
        <f t="shared" si="4"/>
        <v>0.98295130890130389</v>
      </c>
      <c r="M104" s="1">
        <f t="shared" si="5"/>
        <v>219.496872489704</v>
      </c>
    </row>
    <row r="105" spans="1:19" x14ac:dyDescent="0.3">
      <c r="A105" s="1">
        <v>103</v>
      </c>
      <c r="C105" s="1" t="s">
        <v>15</v>
      </c>
      <c r="D105" s="1">
        <v>20.8</v>
      </c>
      <c r="E105" s="1" t="s">
        <v>65</v>
      </c>
      <c r="G105" s="1">
        <v>0.3765654193341213</v>
      </c>
      <c r="H105" s="1">
        <v>2.0646413262015844</v>
      </c>
      <c r="I105" s="1">
        <v>431.21291550851123</v>
      </c>
      <c r="K105" s="1">
        <f t="shared" si="3"/>
        <v>0.43743260390872002</v>
      </c>
      <c r="L105" s="1">
        <f t="shared" si="4"/>
        <v>1.0278708389272695</v>
      </c>
      <c r="M105" s="1">
        <f t="shared" si="5"/>
        <v>214.41560243232988</v>
      </c>
    </row>
    <row r="106" spans="1:19" x14ac:dyDescent="0.3">
      <c r="A106" s="1">
        <v>104</v>
      </c>
      <c r="B106" s="1" t="s">
        <v>25</v>
      </c>
      <c r="C106" s="1" t="s">
        <v>15</v>
      </c>
      <c r="D106" s="1">
        <v>18.5</v>
      </c>
      <c r="E106" s="1">
        <v>365</v>
      </c>
      <c r="F106" s="1">
        <v>0</v>
      </c>
      <c r="G106" s="1">
        <v>0.40416358224979082</v>
      </c>
      <c r="H106" s="1">
        <v>1.7822349996458</v>
      </c>
      <c r="I106" s="1">
        <v>468.95180947925274</v>
      </c>
      <c r="J106" s="1" t="s">
        <v>16</v>
      </c>
      <c r="K106" s="1">
        <f t="shared" si="3"/>
        <v>0.47319416034898765</v>
      </c>
      <c r="L106" s="1">
        <f t="shared" si="4"/>
        <v>0.89427354019182714</v>
      </c>
      <c r="M106" s="1">
        <f t="shared" si="5"/>
        <v>235.01973060375468</v>
      </c>
      <c r="N106" s="1">
        <f>SLOPE(K106:K109,F106:F109)</f>
        <v>3.716285199908724E-4</v>
      </c>
      <c r="O106" s="1">
        <f>SLOPE(L106:L109,F106:F109)</f>
        <v>1.3111042358765034E-4</v>
      </c>
      <c r="P106" s="1">
        <f>SLOPE(M106:M109,F106:F109)</f>
        <v>0.46514111138840469</v>
      </c>
      <c r="Q106" s="1">
        <f>(N106*41.35/0.31*60)/1000</f>
        <v>2.9742269616043694E-3</v>
      </c>
      <c r="R106" s="1">
        <f>O106*41.35/0.31*60/1000</f>
        <v>1.0493063255514854E-3</v>
      </c>
      <c r="S106" s="1">
        <f>(P106*41.35/0.31*60)/1000</f>
        <v>3.7226293463052644</v>
      </c>
    </row>
    <row r="107" spans="1:19" x14ac:dyDescent="0.3">
      <c r="A107" s="1">
        <v>105</v>
      </c>
      <c r="B107" s="1" t="s">
        <v>93</v>
      </c>
      <c r="C107" s="1" t="s">
        <v>15</v>
      </c>
      <c r="D107" s="1">
        <v>18.5</v>
      </c>
      <c r="E107" s="1">
        <v>366</v>
      </c>
      <c r="F107" s="1">
        <v>15</v>
      </c>
      <c r="G107" s="1">
        <v>0.4262394546226112</v>
      </c>
      <c r="H107" s="1">
        <v>1.7770778530779943</v>
      </c>
      <c r="I107" s="1">
        <v>547.77544289806644</v>
      </c>
      <c r="J107" s="1" t="s">
        <v>16</v>
      </c>
      <c r="K107" s="1">
        <f t="shared" si="3"/>
        <v>0.49904056103971572</v>
      </c>
      <c r="L107" s="1">
        <f t="shared" si="4"/>
        <v>0.89168583446312333</v>
      </c>
      <c r="M107" s="1">
        <f t="shared" si="5"/>
        <v>274.52295613106395</v>
      </c>
    </row>
    <row r="108" spans="1:19" x14ac:dyDescent="0.3">
      <c r="A108" s="1">
        <v>106</v>
      </c>
      <c r="C108" s="1" t="s">
        <v>15</v>
      </c>
      <c r="D108" s="1">
        <v>18.5</v>
      </c>
      <c r="E108" s="1">
        <v>367</v>
      </c>
      <c r="F108" s="1">
        <v>30</v>
      </c>
      <c r="G108" s="1">
        <v>0.42206008842436987</v>
      </c>
      <c r="H108" s="1">
        <v>1.7977064393492168</v>
      </c>
      <c r="I108" s="1">
        <v>532.067947774255</v>
      </c>
      <c r="J108" s="1" t="s">
        <v>16</v>
      </c>
      <c r="K108" s="1">
        <f t="shared" si="3"/>
        <v>0.49414736490373767</v>
      </c>
      <c r="L108" s="1">
        <f t="shared" si="4"/>
        <v>0.90203665737793814</v>
      </c>
      <c r="M108" s="1">
        <f t="shared" si="5"/>
        <v>266.65099317487608</v>
      </c>
    </row>
    <row r="109" spans="1:19" x14ac:dyDescent="0.3">
      <c r="A109" s="1">
        <v>107</v>
      </c>
      <c r="C109" s="1" t="s">
        <v>15</v>
      </c>
      <c r="D109" s="1">
        <v>18.5</v>
      </c>
      <c r="E109" s="1">
        <v>368</v>
      </c>
      <c r="F109" s="1">
        <v>45</v>
      </c>
      <c r="G109" s="1">
        <v>0.42142743207326</v>
      </c>
      <c r="H109" s="1">
        <v>1.7884235755271667</v>
      </c>
      <c r="I109" s="1">
        <v>520.59412061094304</v>
      </c>
      <c r="J109" s="1" t="s">
        <v>16</v>
      </c>
      <c r="K109" s="1">
        <f t="shared" si="3"/>
        <v>0.49340665172719061</v>
      </c>
      <c r="L109" s="1">
        <f t="shared" si="4"/>
        <v>0.89737878706627139</v>
      </c>
      <c r="M109" s="1">
        <f t="shared" si="5"/>
        <v>260.90077382523754</v>
      </c>
    </row>
    <row r="110" spans="1:19" x14ac:dyDescent="0.3">
      <c r="A110" s="1">
        <v>108</v>
      </c>
      <c r="C110" s="1" t="s">
        <v>15</v>
      </c>
      <c r="D110" s="1">
        <v>18.5</v>
      </c>
      <c r="E110" s="1">
        <v>369</v>
      </c>
      <c r="F110" s="1">
        <v>0</v>
      </c>
      <c r="G110" s="1">
        <v>0.4030899835933619</v>
      </c>
      <c r="H110" s="1">
        <v>1.8028635859170223</v>
      </c>
      <c r="I110" s="1">
        <v>413.20240018310915</v>
      </c>
      <c r="J110" s="1" t="s">
        <v>16</v>
      </c>
      <c r="K110" s="1">
        <f t="shared" si="3"/>
        <v>0.47193719253424099</v>
      </c>
      <c r="L110" s="1">
        <f t="shared" si="4"/>
        <v>0.90462436310664185</v>
      </c>
      <c r="M110" s="1">
        <f t="shared" si="5"/>
        <v>207.08037545200153</v>
      </c>
      <c r="N110" s="1">
        <f>SLOPE(K110:K113,F110:F113)</f>
        <v>1.1746663506859711E-5</v>
      </c>
      <c r="O110" s="1">
        <f>SLOPE(L110:L113,F110:F113)</f>
        <v>-4.1403291659257343E-5</v>
      </c>
      <c r="P110" s="1">
        <f>SLOPE(M110:M113,F110:F113)</f>
        <v>0.22933768523650461</v>
      </c>
      <c r="Q110" s="1">
        <f>(N110*41.35/0.31*60)/1000</f>
        <v>9.4011200517803037E-5</v>
      </c>
      <c r="R110" s="1">
        <f>O110*41.35/0.31*60/1000</f>
        <v>-3.313598922794112E-4</v>
      </c>
      <c r="S110" s="1">
        <f>(P110*41.35/0.31*60)/1000</f>
        <v>1.8354412808766709</v>
      </c>
    </row>
    <row r="111" spans="1:19" x14ac:dyDescent="0.3">
      <c r="A111" s="1">
        <v>109</v>
      </c>
      <c r="C111" s="1" t="s">
        <v>15</v>
      </c>
      <c r="D111" s="1">
        <v>18.5</v>
      </c>
      <c r="E111" s="1">
        <v>370</v>
      </c>
      <c r="F111" s="1">
        <v>15</v>
      </c>
      <c r="G111" s="1">
        <v>0.40564936610467017</v>
      </c>
      <c r="H111" s="1">
        <v>1.8100835911119502</v>
      </c>
      <c r="I111" s="1">
        <v>499.43311818792671</v>
      </c>
      <c r="J111" s="1" t="s">
        <v>16</v>
      </c>
      <c r="K111" s="1">
        <f t="shared" si="3"/>
        <v>0.47493371402118167</v>
      </c>
      <c r="L111" s="1">
        <f t="shared" si="4"/>
        <v>0.90824715112682686</v>
      </c>
      <c r="M111" s="1">
        <f t="shared" si="5"/>
        <v>250.2957329911159</v>
      </c>
    </row>
    <row r="112" spans="1:19" x14ac:dyDescent="0.3">
      <c r="A112" s="1">
        <v>110</v>
      </c>
      <c r="C112" s="1" t="s">
        <v>15</v>
      </c>
      <c r="D112" s="1">
        <v>18.5</v>
      </c>
      <c r="E112" s="1">
        <v>371</v>
      </c>
      <c r="F112" s="1">
        <v>30</v>
      </c>
      <c r="G112" s="1">
        <v>0.40525635231079893</v>
      </c>
      <c r="H112" s="1">
        <v>1.8038950152305835</v>
      </c>
      <c r="I112" s="1">
        <v>479.43784192994389</v>
      </c>
      <c r="J112" s="1" t="s">
        <v>16</v>
      </c>
      <c r="K112" s="1">
        <f t="shared" si="3"/>
        <v>0.47447357401756912</v>
      </c>
      <c r="L112" s="1">
        <f t="shared" si="4"/>
        <v>0.9051419042523825</v>
      </c>
      <c r="M112" s="1">
        <f t="shared" si="5"/>
        <v>240.27490708852031</v>
      </c>
    </row>
    <row r="113" spans="1:19" x14ac:dyDescent="0.3">
      <c r="A113" s="1">
        <v>111</v>
      </c>
      <c r="C113" s="1" t="s">
        <v>15</v>
      </c>
      <c r="D113" s="1">
        <v>18.5</v>
      </c>
      <c r="E113" s="1">
        <v>372</v>
      </c>
      <c r="F113" s="1">
        <v>45</v>
      </c>
      <c r="G113" s="1">
        <v>0.40372263994447183</v>
      </c>
      <c r="H113" s="1">
        <v>1.8008007272899003</v>
      </c>
      <c r="I113" s="1">
        <v>442.74819300796389</v>
      </c>
      <c r="J113" s="1" t="s">
        <v>16</v>
      </c>
      <c r="K113" s="1">
        <f t="shared" si="3"/>
        <v>0.47267790571078816</v>
      </c>
      <c r="L113" s="1">
        <f t="shared" si="4"/>
        <v>0.90358928081516043</v>
      </c>
      <c r="M113" s="1">
        <f t="shared" si="5"/>
        <v>221.88753501469196</v>
      </c>
    </row>
    <row r="114" spans="1:19" x14ac:dyDescent="0.3">
      <c r="A114" s="1">
        <v>112</v>
      </c>
      <c r="C114" s="1" t="s">
        <v>15</v>
      </c>
      <c r="D114" s="1">
        <v>18.5</v>
      </c>
      <c r="E114" s="1">
        <v>373</v>
      </c>
      <c r="F114" s="1">
        <v>0</v>
      </c>
      <c r="G114" s="1">
        <v>0.4026490412880428</v>
      </c>
      <c r="H114" s="1">
        <v>1.7956435807220947</v>
      </c>
      <c r="I114" s="1">
        <v>412.56679968557324</v>
      </c>
      <c r="J114" s="1" t="s">
        <v>16</v>
      </c>
      <c r="K114" s="1">
        <f t="shared" si="3"/>
        <v>0.47142093789604145</v>
      </c>
      <c r="L114" s="1">
        <f t="shared" si="4"/>
        <v>0.90100157508645673</v>
      </c>
      <c r="M114" s="1">
        <f t="shared" si="5"/>
        <v>206.76183812112231</v>
      </c>
      <c r="N114" s="1">
        <f>SLOPE(K114:K117,F114:F117)</f>
        <v>7.6757338163607009E-4</v>
      </c>
      <c r="O114" s="1">
        <f>SLOPE(L114:L117,F114:F117)</f>
        <v>6.9005486098763964E-5</v>
      </c>
      <c r="P114" s="1">
        <f>SLOPE(M114:M117,F114:F117)</f>
        <v>2.022370378044406</v>
      </c>
      <c r="Q114" s="1">
        <f>(N114*41.35/0.31*60)/1000</f>
        <v>6.1430630962551296E-3</v>
      </c>
      <c r="R114" s="1">
        <f>O114*41.35/0.31*60/1000</f>
        <v>5.5226648713236595E-4</v>
      </c>
      <c r="S114" s="1">
        <f>(P114*41.35/0.31*60)/1000</f>
        <v>16.185486799768292</v>
      </c>
    </row>
    <row r="115" spans="1:19" x14ac:dyDescent="0.3">
      <c r="A115" s="1">
        <v>113</v>
      </c>
      <c r="C115" s="1" t="s">
        <v>15</v>
      </c>
      <c r="D115" s="1">
        <v>18.5</v>
      </c>
      <c r="E115" s="1">
        <v>374</v>
      </c>
      <c r="F115" s="1">
        <v>15</v>
      </c>
      <c r="G115" s="1">
        <v>0.43871045330130826</v>
      </c>
      <c r="H115" s="1">
        <v>1.7894550048407276</v>
      </c>
      <c r="I115" s="1">
        <v>574.71738317962433</v>
      </c>
      <c r="J115" s="1" t="s">
        <v>16</v>
      </c>
      <c r="K115" s="1">
        <f t="shared" si="3"/>
        <v>0.51364158895922829</v>
      </c>
      <c r="L115" s="1">
        <f t="shared" si="4"/>
        <v>0.89789632821201215</v>
      </c>
      <c r="M115" s="1">
        <f t="shared" si="5"/>
        <v>288.02516983175406</v>
      </c>
    </row>
    <row r="116" spans="1:19" x14ac:dyDescent="0.3">
      <c r="A116" s="1">
        <v>114</v>
      </c>
      <c r="C116" s="1" t="s">
        <v>15</v>
      </c>
      <c r="D116" s="1">
        <v>18.5</v>
      </c>
      <c r="E116" s="1">
        <v>375</v>
      </c>
      <c r="F116" s="1">
        <v>30</v>
      </c>
      <c r="G116" s="1">
        <v>0.44180663514083102</v>
      </c>
      <c r="H116" s="1">
        <v>1.7884235755271667</v>
      </c>
      <c r="I116" s="1">
        <v>598.00439130724158</v>
      </c>
      <c r="J116" s="1" t="s">
        <v>16</v>
      </c>
      <c r="K116" s="1">
        <f t="shared" si="3"/>
        <v>0.51726659435354228</v>
      </c>
      <c r="L116" s="1">
        <f t="shared" si="4"/>
        <v>0.89737878706627139</v>
      </c>
      <c r="M116" s="1">
        <f t="shared" si="5"/>
        <v>299.69567896743143</v>
      </c>
    </row>
    <row r="117" spans="1:19" x14ac:dyDescent="0.3">
      <c r="A117" s="1">
        <v>115</v>
      </c>
      <c r="C117" s="1" t="s">
        <v>15</v>
      </c>
      <c r="D117" s="1">
        <v>18.5</v>
      </c>
      <c r="E117" s="1">
        <v>376</v>
      </c>
      <c r="F117" s="1">
        <v>45</v>
      </c>
      <c r="G117" s="1">
        <v>0.43439688727101339</v>
      </c>
      <c r="H117" s="1">
        <v>1.8028635859170223</v>
      </c>
      <c r="I117" s="1">
        <v>606.57353336853851</v>
      </c>
      <c r="J117" s="1" t="s">
        <v>16</v>
      </c>
      <c r="K117" s="1">
        <f t="shared" si="3"/>
        <v>0.50859127184640696</v>
      </c>
      <c r="L117" s="1">
        <f t="shared" si="4"/>
        <v>0.90462436310664185</v>
      </c>
      <c r="M117" s="1">
        <f t="shared" si="5"/>
        <v>303.99018731145014</v>
      </c>
    </row>
    <row r="118" spans="1:19" x14ac:dyDescent="0.3">
      <c r="A118" s="1">
        <v>116</v>
      </c>
      <c r="C118" s="1" t="s">
        <v>15</v>
      </c>
      <c r="D118" s="1">
        <v>18.5</v>
      </c>
      <c r="E118" s="1">
        <v>377</v>
      </c>
      <c r="F118" s="1">
        <v>0</v>
      </c>
      <c r="G118" s="1">
        <v>0.40223685608959248</v>
      </c>
      <c r="H118" s="1">
        <v>1.7770778530779943</v>
      </c>
      <c r="I118" s="1">
        <v>442.71609197273483</v>
      </c>
      <c r="J118" s="1" t="s">
        <v>16</v>
      </c>
      <c r="K118" s="1">
        <f t="shared" si="3"/>
        <v>0.47093835203859413</v>
      </c>
      <c r="L118" s="1">
        <f t="shared" si="4"/>
        <v>0.89168583446312333</v>
      </c>
      <c r="M118" s="1">
        <f t="shared" si="5"/>
        <v>221.87144727070819</v>
      </c>
      <c r="N118" s="1">
        <f>SLOPE(K118:K121,F118:F121)</f>
        <v>5.7663398501502626E-4</v>
      </c>
      <c r="O118" s="1">
        <f>SLOPE(L118:L121,F118:F121)</f>
        <v>3.3467660757900827E-4</v>
      </c>
      <c r="P118" s="1">
        <f>SLOPE(M118:M121,F118:F121)</f>
        <v>1.8003166104173276</v>
      </c>
      <c r="Q118" s="1">
        <f>(N118*41.35/0.31*60)/1000</f>
        <v>4.6149319897492913E-3</v>
      </c>
      <c r="R118" s="1">
        <f>O118*41.35/0.31*60/1000</f>
        <v>2.6784924625919983E-3</v>
      </c>
      <c r="S118" s="1">
        <f>(P118*41.35/0.31*60)/1000</f>
        <v>14.408340356275451</v>
      </c>
    </row>
    <row r="119" spans="1:19" x14ac:dyDescent="0.3">
      <c r="A119" s="1">
        <v>117</v>
      </c>
      <c r="C119" s="1" t="s">
        <v>15</v>
      </c>
      <c r="D119" s="1">
        <v>18.5</v>
      </c>
      <c r="E119" s="1">
        <v>378</v>
      </c>
      <c r="F119" s="1">
        <v>15</v>
      </c>
      <c r="G119" s="1">
        <v>0.41513921137131898</v>
      </c>
      <c r="H119" s="1">
        <v>1.7915178634678501</v>
      </c>
      <c r="I119" s="1">
        <v>551.08184952666272</v>
      </c>
      <c r="J119" s="1" t="s">
        <v>16</v>
      </c>
      <c r="K119" s="1">
        <f t="shared" si="3"/>
        <v>0.48604441166938872</v>
      </c>
      <c r="L119" s="1">
        <f t="shared" si="4"/>
        <v>0.89893141050349379</v>
      </c>
      <c r="M119" s="1">
        <f t="shared" si="5"/>
        <v>276.17999376139551</v>
      </c>
    </row>
    <row r="120" spans="1:19" x14ac:dyDescent="0.3">
      <c r="A120" s="1">
        <v>118</v>
      </c>
      <c r="C120" s="1" t="s">
        <v>15</v>
      </c>
      <c r="D120" s="1">
        <v>18.5</v>
      </c>
      <c r="E120" s="1">
        <v>379</v>
      </c>
      <c r="F120" s="1">
        <v>30</v>
      </c>
      <c r="G120" s="1">
        <v>0.41890639237110988</v>
      </c>
      <c r="H120" s="1">
        <v>1.7956435807220947</v>
      </c>
      <c r="I120" s="1">
        <v>593.27269871447368</v>
      </c>
      <c r="J120" s="1" t="s">
        <v>16</v>
      </c>
      <c r="K120" s="1">
        <f t="shared" si="3"/>
        <v>0.4904550219479194</v>
      </c>
      <c r="L120" s="1">
        <f t="shared" si="4"/>
        <v>0.90100157508645673</v>
      </c>
      <c r="M120" s="1">
        <f t="shared" si="5"/>
        <v>297.3243455042192</v>
      </c>
    </row>
    <row r="121" spans="1:19" x14ac:dyDescent="0.3">
      <c r="A121" s="1">
        <v>119</v>
      </c>
      <c r="C121" s="1" t="s">
        <v>15</v>
      </c>
      <c r="D121" s="1">
        <v>18.5</v>
      </c>
      <c r="E121" s="1">
        <v>380</v>
      </c>
      <c r="F121" s="1">
        <v>45</v>
      </c>
      <c r="G121" s="1">
        <v>0.42560679827150127</v>
      </c>
      <c r="H121" s="1">
        <v>1.809052161798389</v>
      </c>
      <c r="I121" s="1">
        <v>608.26755085619925</v>
      </c>
      <c r="J121" s="1" t="s">
        <v>16</v>
      </c>
      <c r="K121" s="1">
        <f t="shared" si="3"/>
        <v>0.49829984786316855</v>
      </c>
      <c r="L121" s="1">
        <f t="shared" si="4"/>
        <v>0.90772960998108609</v>
      </c>
      <c r="M121" s="1">
        <f t="shared" si="5"/>
        <v>304.83916054396667</v>
      </c>
    </row>
    <row r="122" spans="1:19" x14ac:dyDescent="0.3">
      <c r="A122" s="1">
        <v>120</v>
      </c>
      <c r="C122" s="1" t="s">
        <v>15</v>
      </c>
      <c r="D122" s="1">
        <v>18.5</v>
      </c>
      <c r="E122" s="1">
        <v>381</v>
      </c>
      <c r="F122" s="1">
        <v>0</v>
      </c>
      <c r="G122" s="1">
        <v>0.40072231512784451</v>
      </c>
      <c r="H122" s="1">
        <v>1.8080207324848281</v>
      </c>
      <c r="I122" s="1">
        <v>415.9924387307347</v>
      </c>
      <c r="J122" s="1" t="s">
        <v>16</v>
      </c>
      <c r="K122" s="1">
        <f t="shared" si="3"/>
        <v>0.46916512958564793</v>
      </c>
      <c r="L122" s="1">
        <f t="shared" si="4"/>
        <v>0.90721206883534544</v>
      </c>
      <c r="M122" s="1">
        <f t="shared" si="5"/>
        <v>208.47863022910792</v>
      </c>
      <c r="N122" s="1">
        <f>SLOPE(K122:K125,F122:F125)</f>
        <v>1.2078862143613089E-3</v>
      </c>
      <c r="O122" s="1">
        <f>SLOPE(L122:L125,F122:F125)</f>
        <v>-4.1403291659261043E-5</v>
      </c>
      <c r="P122" s="1">
        <f>SLOPE(M122:M125,F122:F125)</f>
        <v>2.0121018008844596</v>
      </c>
      <c r="Q122" s="1">
        <f>(N122*41.35/0.31*60)/1000</f>
        <v>9.6669861220335714E-3</v>
      </c>
      <c r="R122" s="1">
        <f>O122*41.35/0.31*60/1000</f>
        <v>-3.3135989227944086E-4</v>
      </c>
      <c r="S122" s="1">
        <f>(P122*41.35/0.31*60)/1000</f>
        <v>16.103305058046274</v>
      </c>
    </row>
    <row r="123" spans="1:19" x14ac:dyDescent="0.3">
      <c r="A123" s="1">
        <v>121</v>
      </c>
      <c r="C123" s="1" t="s">
        <v>15</v>
      </c>
      <c r="D123" s="1">
        <v>18.5</v>
      </c>
      <c r="E123" s="1">
        <v>382</v>
      </c>
      <c r="F123" s="1">
        <v>15</v>
      </c>
      <c r="G123" s="1">
        <v>0.43272897507263264</v>
      </c>
      <c r="H123" s="1">
        <v>1.8142093083661948</v>
      </c>
      <c r="I123" s="1">
        <v>555.0302768598408</v>
      </c>
      <c r="J123" s="1" t="s">
        <v>16</v>
      </c>
      <c r="K123" s="1">
        <f t="shared" si="3"/>
        <v>0.50663848256278265</v>
      </c>
      <c r="L123" s="1">
        <f t="shared" si="4"/>
        <v>0.91031731570978991</v>
      </c>
      <c r="M123" s="1">
        <f t="shared" si="5"/>
        <v>278.15878627140296</v>
      </c>
    </row>
    <row r="124" spans="1:19" x14ac:dyDescent="0.3">
      <c r="A124" s="1">
        <v>122</v>
      </c>
      <c r="C124" s="1" t="s">
        <v>15</v>
      </c>
      <c r="D124" s="1">
        <v>18.5</v>
      </c>
      <c r="E124" s="1">
        <v>383</v>
      </c>
      <c r="F124" s="1">
        <v>30</v>
      </c>
      <c r="G124" s="1">
        <v>0.45574424626982835</v>
      </c>
      <c r="H124" s="1">
        <v>1.798737868662778</v>
      </c>
      <c r="I124" s="1">
        <v>604.03571724057008</v>
      </c>
      <c r="J124" s="1" t="s">
        <v>16</v>
      </c>
      <c r="K124" s="1">
        <f t="shared" si="3"/>
        <v>0.53358473009141405</v>
      </c>
      <c r="L124" s="1">
        <f t="shared" si="4"/>
        <v>0.9025541985236788</v>
      </c>
      <c r="M124" s="1">
        <f t="shared" si="5"/>
        <v>302.71833623707357</v>
      </c>
    </row>
    <row r="125" spans="1:19" x14ac:dyDescent="0.3">
      <c r="A125" s="1">
        <v>123</v>
      </c>
      <c r="C125" s="1" t="s">
        <v>15</v>
      </c>
      <c r="D125" s="1">
        <v>18.5</v>
      </c>
      <c r="E125" s="1">
        <v>384</v>
      </c>
      <c r="F125" s="1">
        <v>45</v>
      </c>
      <c r="G125" s="1">
        <v>0.44463441731624653</v>
      </c>
      <c r="H125" s="1">
        <v>1.809052161798389</v>
      </c>
      <c r="I125" s="1">
        <v>600.40188005263713</v>
      </c>
      <c r="J125" s="1" t="s">
        <v>16</v>
      </c>
      <c r="K125" s="1">
        <f t="shared" si="3"/>
        <v>0.52057735779416958</v>
      </c>
      <c r="L125" s="1">
        <f t="shared" si="4"/>
        <v>0.90772960998108609</v>
      </c>
      <c r="M125" s="1">
        <f t="shared" si="5"/>
        <v>300.89720361810737</v>
      </c>
    </row>
    <row r="126" spans="1:19" x14ac:dyDescent="0.3">
      <c r="A126" s="1">
        <v>124</v>
      </c>
      <c r="C126" s="1" t="s">
        <v>15</v>
      </c>
      <c r="D126" s="1">
        <v>18.5</v>
      </c>
      <c r="E126" s="1">
        <v>385</v>
      </c>
      <c r="F126" s="1">
        <v>0</v>
      </c>
      <c r="G126" s="1">
        <v>0.40117284313545304</v>
      </c>
      <c r="H126" s="1">
        <v>1.8069893031712669</v>
      </c>
      <c r="I126" s="1">
        <v>413.71876826407998</v>
      </c>
      <c r="J126" s="1" t="s">
        <v>16</v>
      </c>
      <c r="K126" s="1">
        <f t="shared" si="3"/>
        <v>0.46969260715076483</v>
      </c>
      <c r="L126" s="1">
        <f t="shared" si="4"/>
        <v>0.90669452768960468</v>
      </c>
      <c r="M126" s="1">
        <f t="shared" si="5"/>
        <v>207.3391583052267</v>
      </c>
      <c r="N126" s="1">
        <f>SLOPE(K126:K129,F126:F129)</f>
        <v>6.2571558540037422E-4</v>
      </c>
      <c r="O126" s="1">
        <f>SLOPE(L126:L129,F126:F129)</f>
        <v>-1.380109721975072E-5</v>
      </c>
      <c r="P126" s="1">
        <f>SLOPE(M126:M129,F126:F129)</f>
        <v>2.2683351297296919</v>
      </c>
      <c r="Q126" s="1">
        <f>(N126*41.35/0.31*60)/1000</f>
        <v>5.0077431205752532E-3</v>
      </c>
      <c r="R126" s="1">
        <f>O126*41.35/0.31*60/1000</f>
        <v>-1.1045329742645659E-4</v>
      </c>
      <c r="S126" s="1">
        <f>(P126*41.35/0.31*60)/1000</f>
        <v>18.153998247933437</v>
      </c>
    </row>
    <row r="127" spans="1:19" x14ac:dyDescent="0.3">
      <c r="A127" s="1">
        <v>125</v>
      </c>
      <c r="C127" s="1" t="s">
        <v>15</v>
      </c>
      <c r="D127" s="1">
        <v>18.5</v>
      </c>
      <c r="E127" s="1">
        <v>386</v>
      </c>
      <c r="F127" s="1">
        <v>15</v>
      </c>
      <c r="G127" s="1">
        <v>0.40998210353954417</v>
      </c>
      <c r="H127" s="1">
        <v>1.8111150204255115</v>
      </c>
      <c r="I127" s="1">
        <v>505.3176965316365</v>
      </c>
      <c r="J127" s="1" t="s">
        <v>16</v>
      </c>
      <c r="K127" s="1">
        <f t="shared" si="3"/>
        <v>0.48000647698783777</v>
      </c>
      <c r="L127" s="1">
        <f t="shared" si="4"/>
        <v>0.90876469227256784</v>
      </c>
      <c r="M127" s="1">
        <f t="shared" si="5"/>
        <v>253.24484628826067</v>
      </c>
    </row>
    <row r="128" spans="1:19" x14ac:dyDescent="0.3">
      <c r="A128" s="1">
        <v>126</v>
      </c>
      <c r="C128" s="1" t="s">
        <v>15</v>
      </c>
      <c r="D128" s="1">
        <v>18.5</v>
      </c>
      <c r="E128" s="1">
        <v>387</v>
      </c>
      <c r="F128" s="1">
        <v>30</v>
      </c>
      <c r="G128" s="1">
        <v>0.41977869127945844</v>
      </c>
      <c r="H128" s="1">
        <v>1.8100835911119502</v>
      </c>
      <c r="I128" s="1">
        <v>589.01059840848563</v>
      </c>
      <c r="J128" s="1" t="s">
        <v>16</v>
      </c>
      <c r="K128" s="1">
        <f t="shared" si="3"/>
        <v>0.49147630829740108</v>
      </c>
      <c r="L128" s="1">
        <f t="shared" si="4"/>
        <v>0.90824715112682686</v>
      </c>
      <c r="M128" s="1">
        <f t="shared" si="5"/>
        <v>295.18835275299853</v>
      </c>
    </row>
    <row r="129" spans="1:19" x14ac:dyDescent="0.3">
      <c r="A129" s="1">
        <v>127</v>
      </c>
      <c r="C129" s="1" t="s">
        <v>15</v>
      </c>
      <c r="D129" s="1">
        <v>18.5</v>
      </c>
      <c r="E129" s="1">
        <v>388</v>
      </c>
      <c r="F129" s="1">
        <v>45</v>
      </c>
      <c r="G129" s="1">
        <v>0.42462905663796774</v>
      </c>
      <c r="H129" s="1">
        <v>1.805957873857706</v>
      </c>
      <c r="I129" s="1">
        <v>612.12976398047647</v>
      </c>
      <c r="J129" s="1" t="s">
        <v>16</v>
      </c>
      <c r="K129" s="1">
        <f t="shared" si="3"/>
        <v>0.49715510931759577</v>
      </c>
      <c r="L129" s="1">
        <f t="shared" si="4"/>
        <v>0.90617698654386414</v>
      </c>
      <c r="M129" s="1">
        <f t="shared" si="5"/>
        <v>306.77474597013202</v>
      </c>
    </row>
    <row r="130" spans="1:19" x14ac:dyDescent="0.3">
      <c r="A130" s="1">
        <v>128</v>
      </c>
      <c r="C130" s="1" t="s">
        <v>15</v>
      </c>
      <c r="D130" s="1">
        <v>18.5</v>
      </c>
      <c r="E130" s="1">
        <v>389</v>
      </c>
      <c r="F130" s="1">
        <v>0</v>
      </c>
      <c r="G130" s="1">
        <v>0.39990753043323324</v>
      </c>
      <c r="H130" s="1">
        <v>1.7853292875864835</v>
      </c>
      <c r="I130" s="1">
        <v>435.82812698500715</v>
      </c>
      <c r="J130" s="1" t="s">
        <v>83</v>
      </c>
      <c r="K130" s="1">
        <f t="shared" si="3"/>
        <v>0.4682111807976706</v>
      </c>
      <c r="L130" s="1">
        <f t="shared" si="4"/>
        <v>0.89582616362904932</v>
      </c>
      <c r="M130" s="1">
        <f t="shared" si="5"/>
        <v>218.41947706161258</v>
      </c>
      <c r="N130" s="1">
        <f>SLOPE(K130:K133,F130:F133)</f>
        <v>1.3123342542057233E-4</v>
      </c>
      <c r="O130" s="1">
        <f>SLOPE(L130:L133,F130:F133)</f>
        <v>3.0707441313950536E-4</v>
      </c>
      <c r="P130" s="1">
        <f>SLOPE(M130:M133,F130:F133)</f>
        <v>2.409852118807768</v>
      </c>
      <c r="Q130" s="1">
        <f>(N130*41.35/0.31*60)/1000</f>
        <v>1.0502907369949676E-3</v>
      </c>
      <c r="R130" s="1">
        <f>O130*41.35/0.31*60/1000</f>
        <v>2.4575858677390737E-3</v>
      </c>
      <c r="S130" s="1">
        <f>(P130*41.35/0.31*60)/1000</f>
        <v>19.28659066697443</v>
      </c>
    </row>
    <row r="131" spans="1:19" x14ac:dyDescent="0.3">
      <c r="A131" s="1">
        <v>129</v>
      </c>
      <c r="C131" s="1" t="s">
        <v>15</v>
      </c>
      <c r="D131" s="1">
        <v>18.5</v>
      </c>
      <c r="E131" s="1">
        <v>390</v>
      </c>
      <c r="F131" s="1">
        <v>15</v>
      </c>
      <c r="G131" s="1">
        <v>0.39908316003633237</v>
      </c>
      <c r="H131" s="1">
        <v>1.7946121514085334</v>
      </c>
      <c r="I131" s="1">
        <v>579.00608148623087</v>
      </c>
      <c r="J131" s="1" t="s">
        <v>83</v>
      </c>
      <c r="K131" s="1">
        <f t="shared" ref="K131:K194" si="6">(G131*28*1)/(0.082*(D131+273.15))</f>
        <v>0.4672460090827758</v>
      </c>
      <c r="L131" s="1">
        <f t="shared" ref="L131:L194" si="7">(H131*12*1)/(0.082*(D131+273.15))</f>
        <v>0.90048403394071586</v>
      </c>
      <c r="M131" s="1">
        <f t="shared" ref="M131:M194" si="8">(I131*12*1)/(0.0821*(D131+273.15))</f>
        <v>290.17449242798995</v>
      </c>
    </row>
    <row r="132" spans="1:19" x14ac:dyDescent="0.3">
      <c r="A132" s="1">
        <v>130</v>
      </c>
      <c r="C132" s="1" t="s">
        <v>15</v>
      </c>
      <c r="D132" s="1">
        <v>18.5</v>
      </c>
      <c r="E132" s="1">
        <v>391</v>
      </c>
      <c r="F132" s="1">
        <v>30</v>
      </c>
      <c r="G132" s="1">
        <v>0.40577398023443428</v>
      </c>
      <c r="H132" s="1">
        <v>1.809052161798389</v>
      </c>
      <c r="I132" s="1">
        <v>729.83600561363448</v>
      </c>
      <c r="J132" s="1" t="s">
        <v>83</v>
      </c>
      <c r="K132" s="1">
        <f t="shared" si="6"/>
        <v>0.4750796120711076</v>
      </c>
      <c r="L132" s="1">
        <f t="shared" si="7"/>
        <v>0.90772960998108609</v>
      </c>
      <c r="M132" s="1">
        <f t="shared" si="8"/>
        <v>365.7643663102773</v>
      </c>
    </row>
    <row r="133" spans="1:19" x14ac:dyDescent="0.3">
      <c r="A133" s="1">
        <v>131</v>
      </c>
      <c r="C133" s="1" t="s">
        <v>15</v>
      </c>
      <c r="D133" s="1">
        <v>18.5</v>
      </c>
      <c r="E133" s="1">
        <v>392</v>
      </c>
      <c r="F133" s="1">
        <v>45</v>
      </c>
      <c r="G133" s="1">
        <v>0.40328169763915278</v>
      </c>
      <c r="H133" s="1">
        <v>1.8111150204255115</v>
      </c>
      <c r="I133" s="1">
        <v>625.97906775074114</v>
      </c>
      <c r="J133" s="1" t="s">
        <v>83</v>
      </c>
      <c r="K133" s="1">
        <f t="shared" si="6"/>
        <v>0.47216165107258862</v>
      </c>
      <c r="L133" s="1">
        <f t="shared" si="7"/>
        <v>0.90876469227256784</v>
      </c>
      <c r="M133" s="1">
        <f t="shared" si="8"/>
        <v>313.71545837457188</v>
      </c>
    </row>
    <row r="134" spans="1:19" x14ac:dyDescent="0.3">
      <c r="A134" s="1">
        <v>132</v>
      </c>
      <c r="C134" s="1" t="s">
        <v>15</v>
      </c>
      <c r="D134" s="1">
        <v>18.5</v>
      </c>
      <c r="E134" s="1">
        <v>393</v>
      </c>
      <c r="F134" s="1">
        <v>0</v>
      </c>
      <c r="G134" s="1">
        <v>0.39934197399815008</v>
      </c>
      <c r="H134" s="1">
        <v>1.7863607169000446</v>
      </c>
      <c r="I134" s="1">
        <v>430.30766609803874</v>
      </c>
      <c r="J134" s="1" t="s">
        <v>83</v>
      </c>
      <c r="K134" s="1">
        <f t="shared" si="6"/>
        <v>0.46754902810954502</v>
      </c>
      <c r="L134" s="1">
        <f t="shared" si="7"/>
        <v>0.89634370477479008</v>
      </c>
      <c r="M134" s="1">
        <f t="shared" si="8"/>
        <v>215.65284474622695</v>
      </c>
      <c r="N134" s="1">
        <f>SLOPE(K134:K137,F134:F137)</f>
        <v>3.9205424698049997E-5</v>
      </c>
      <c r="O134" s="1">
        <f>SLOPE(L134:L137,F134:F137)</f>
        <v>2.5877057287036596E-4</v>
      </c>
      <c r="P134" s="1">
        <f>SLOPE(M134:M137,F134:F137)</f>
        <v>1.1843766477552429</v>
      </c>
      <c r="Q134" s="1">
        <f>(N134*41.35/0.31*60)/1000</f>
        <v>3.1376986669632916E-4</v>
      </c>
      <c r="R134" s="1">
        <f>O134*41.35/0.31*60/1000</f>
        <v>2.0709993267463808E-3</v>
      </c>
      <c r="S134" s="1">
        <f>(P134*41.35/0.31*60)/1000</f>
        <v>9.4788337518734114</v>
      </c>
    </row>
    <row r="135" spans="1:19" x14ac:dyDescent="0.3">
      <c r="A135" s="1">
        <v>133</v>
      </c>
      <c r="C135" s="1" t="s">
        <v>15</v>
      </c>
      <c r="D135" s="1">
        <v>18.5</v>
      </c>
      <c r="E135" s="1">
        <v>394</v>
      </c>
      <c r="F135" s="1">
        <v>15</v>
      </c>
      <c r="G135" s="1">
        <v>0.4012495287537694</v>
      </c>
      <c r="H135" s="1">
        <v>1.8049264445441446</v>
      </c>
      <c r="I135" s="1">
        <v>535.57796668344724</v>
      </c>
      <c r="J135" s="1" t="s">
        <v>83</v>
      </c>
      <c r="K135" s="1">
        <f t="shared" si="6"/>
        <v>0.46978239056610382</v>
      </c>
      <c r="L135" s="1">
        <f t="shared" si="7"/>
        <v>0.90565944539812326</v>
      </c>
      <c r="M135" s="1">
        <f t="shared" si="8"/>
        <v>268.41007306704768</v>
      </c>
    </row>
    <row r="136" spans="1:19" x14ac:dyDescent="0.3">
      <c r="A136" s="1">
        <v>134</v>
      </c>
      <c r="C136" s="1" t="s">
        <v>15</v>
      </c>
      <c r="D136" s="1">
        <v>18.5</v>
      </c>
      <c r="E136" s="1">
        <v>395</v>
      </c>
      <c r="F136" s="1">
        <v>30</v>
      </c>
      <c r="G136" s="1">
        <v>0.4023039560056193</v>
      </c>
      <c r="H136" s="1">
        <v>1.8111150204255115</v>
      </c>
      <c r="I136" s="1">
        <v>488.7269643528075</v>
      </c>
      <c r="J136" s="1" t="s">
        <v>83</v>
      </c>
      <c r="K136" s="1">
        <f t="shared" si="6"/>
        <v>0.47101691252701577</v>
      </c>
      <c r="L136" s="1">
        <f t="shared" si="7"/>
        <v>0.90876469227256784</v>
      </c>
      <c r="M136" s="1">
        <f t="shared" si="8"/>
        <v>244.9302405476042</v>
      </c>
    </row>
    <row r="137" spans="1:19" x14ac:dyDescent="0.3">
      <c r="A137" s="1">
        <v>135</v>
      </c>
      <c r="C137" s="1" t="s">
        <v>15</v>
      </c>
      <c r="D137" s="1">
        <v>18.5</v>
      </c>
      <c r="E137" s="1">
        <v>396</v>
      </c>
      <c r="F137" s="1">
        <v>45</v>
      </c>
      <c r="G137" s="1">
        <v>0.40066480091410717</v>
      </c>
      <c r="H137" s="1">
        <v>1.8100835911119502</v>
      </c>
      <c r="I137" s="1">
        <v>564.08827182905509</v>
      </c>
      <c r="J137" s="1" t="s">
        <v>83</v>
      </c>
      <c r="K137" s="1">
        <f t="shared" si="6"/>
        <v>0.46909779202414353</v>
      </c>
      <c r="L137" s="1">
        <f t="shared" si="7"/>
        <v>0.90824715112682686</v>
      </c>
      <c r="M137" s="1">
        <f t="shared" si="8"/>
        <v>282.69828797380359</v>
      </c>
    </row>
    <row r="138" spans="1:19" x14ac:dyDescent="0.3">
      <c r="A138" s="1">
        <v>136</v>
      </c>
      <c r="C138" s="1" t="s">
        <v>15</v>
      </c>
      <c r="D138" s="1">
        <v>18.5</v>
      </c>
      <c r="E138" s="1" t="s">
        <v>88</v>
      </c>
      <c r="G138" s="1">
        <v>0.40000338745612868</v>
      </c>
      <c r="H138" s="1">
        <v>1.8080207324848281</v>
      </c>
      <c r="I138" s="1">
        <v>400.01896360073931</v>
      </c>
      <c r="K138" s="1">
        <f t="shared" si="6"/>
        <v>0.46832341006684436</v>
      </c>
      <c r="L138" s="1">
        <f t="shared" si="7"/>
        <v>0.90721206883534544</v>
      </c>
      <c r="M138" s="1">
        <f t="shared" si="8"/>
        <v>200.47336882276849</v>
      </c>
    </row>
    <row r="139" spans="1:19" x14ac:dyDescent="0.3">
      <c r="A139" s="1">
        <v>137</v>
      </c>
      <c r="C139" s="1" t="s">
        <v>15</v>
      </c>
      <c r="D139" s="1">
        <v>18.5</v>
      </c>
      <c r="E139" s="1" t="s">
        <v>89</v>
      </c>
      <c r="G139" s="1">
        <v>0.40137414288353351</v>
      </c>
      <c r="H139" s="1">
        <v>1.7842978582729221</v>
      </c>
      <c r="I139" s="1">
        <v>404.76257943516379</v>
      </c>
      <c r="K139" s="1">
        <f t="shared" si="6"/>
        <v>0.46992828861602987</v>
      </c>
      <c r="L139" s="1">
        <f t="shared" si="7"/>
        <v>0.89530862248330856</v>
      </c>
      <c r="M139" s="1">
        <f t="shared" si="8"/>
        <v>202.85067773374618</v>
      </c>
    </row>
    <row r="140" spans="1:19" x14ac:dyDescent="0.3">
      <c r="A140" s="1">
        <v>138</v>
      </c>
      <c r="B140" s="1" t="s">
        <v>94</v>
      </c>
      <c r="C140" s="1" t="s">
        <v>15</v>
      </c>
      <c r="D140" s="1">
        <v>24.1</v>
      </c>
      <c r="E140" s="1">
        <v>973</v>
      </c>
      <c r="F140" s="1">
        <v>0</v>
      </c>
      <c r="G140" s="1">
        <v>0.4082087486159785</v>
      </c>
      <c r="H140" s="1">
        <v>1.8193664549340003</v>
      </c>
      <c r="I140" s="1">
        <v>454.58063459340656</v>
      </c>
      <c r="J140" s="1" t="s">
        <v>16</v>
      </c>
      <c r="K140" s="1">
        <f t="shared" si="6"/>
        <v>0.46892633536061856</v>
      </c>
      <c r="L140" s="1">
        <f t="shared" si="7"/>
        <v>0.89570647435672535</v>
      </c>
      <c r="M140" s="1">
        <f t="shared" si="8"/>
        <v>223.52554179126273</v>
      </c>
      <c r="N140" s="1">
        <f>SLOPE(K140:K143,F140:F143)</f>
        <v>6.6714972543890471E-4</v>
      </c>
      <c r="O140" s="1">
        <f>SLOPE(L140:L143,F140:F143)</f>
        <v>1.1848456698480744E-4</v>
      </c>
      <c r="P140" s="1">
        <f>SLOPE(M140:M143,F140:F143)</f>
        <v>3.396768885787544</v>
      </c>
      <c r="Q140" s="1">
        <f>(N140*41.35/0.31*60)/1000</f>
        <v>5.3393498993997502E-3</v>
      </c>
      <c r="R140" s="1">
        <f>O140*41.35/0.31*60/1000</f>
        <v>9.4825874415905567E-4</v>
      </c>
      <c r="S140" s="1">
        <f>(P140*41.35/0.31*60)/1000</f>
        <v>27.185108405286762</v>
      </c>
    </row>
    <row r="141" spans="1:19" x14ac:dyDescent="0.3">
      <c r="A141" s="1">
        <v>139</v>
      </c>
      <c r="B141" s="1" t="s">
        <v>95</v>
      </c>
      <c r="C141" s="1" t="s">
        <v>15</v>
      </c>
      <c r="D141" s="1">
        <v>24.1</v>
      </c>
      <c r="E141" s="1">
        <v>974</v>
      </c>
      <c r="F141" s="1">
        <v>15</v>
      </c>
      <c r="G141" s="1">
        <v>0.42742808170651464</v>
      </c>
      <c r="H141" s="1">
        <v>1.8080207324848281</v>
      </c>
      <c r="I141" s="1">
        <v>657.85631290566289</v>
      </c>
      <c r="J141" s="1" t="s">
        <v>16</v>
      </c>
      <c r="K141" s="1">
        <f t="shared" si="6"/>
        <v>0.49100438112709632</v>
      </c>
      <c r="L141" s="1">
        <f t="shared" si="7"/>
        <v>0.89012077334172746</v>
      </c>
      <c r="M141" s="1">
        <f t="shared" si="8"/>
        <v>323.47987919583409</v>
      </c>
    </row>
    <row r="142" spans="1:19" x14ac:dyDescent="0.3">
      <c r="A142" s="1">
        <v>140</v>
      </c>
      <c r="C142" s="1" t="s">
        <v>15</v>
      </c>
      <c r="D142" s="1">
        <v>24.1</v>
      </c>
      <c r="E142" s="1">
        <v>975</v>
      </c>
      <c r="F142" s="1">
        <v>30</v>
      </c>
      <c r="G142" s="1">
        <v>0.43111857708798917</v>
      </c>
      <c r="H142" s="1">
        <v>1.841026470518784</v>
      </c>
      <c r="I142" s="1">
        <v>685.31645561306175</v>
      </c>
      <c r="J142" s="1" t="s">
        <v>16</v>
      </c>
      <c r="K142" s="1">
        <f t="shared" si="6"/>
        <v>0.49524380637402599</v>
      </c>
      <c r="L142" s="1">
        <f t="shared" si="7"/>
        <v>0.9063700853853579</v>
      </c>
      <c r="M142" s="1">
        <f t="shared" si="8"/>
        <v>336.98252935123901</v>
      </c>
    </row>
    <row r="143" spans="1:19" x14ac:dyDescent="0.3">
      <c r="A143" s="1">
        <v>141</v>
      </c>
      <c r="C143" s="1" t="s">
        <v>15</v>
      </c>
      <c r="D143" s="1">
        <v>24.1</v>
      </c>
      <c r="E143" s="1">
        <v>976</v>
      </c>
      <c r="F143" s="1">
        <v>45</v>
      </c>
      <c r="G143" s="1">
        <v>0.43601687095794633</v>
      </c>
      <c r="H143" s="1">
        <v>1.8203978842475614</v>
      </c>
      <c r="I143" s="1">
        <v>790.82522103160079</v>
      </c>
      <c r="J143" s="1" t="s">
        <v>16</v>
      </c>
      <c r="K143" s="1">
        <f t="shared" si="6"/>
        <v>0.50087067988358724</v>
      </c>
      <c r="L143" s="1">
        <f t="shared" si="7"/>
        <v>0.8962142653580889</v>
      </c>
      <c r="M143" s="1">
        <f t="shared" si="8"/>
        <v>388.86310269550495</v>
      </c>
    </row>
    <row r="144" spans="1:19" x14ac:dyDescent="0.3">
      <c r="A144" s="1">
        <v>142</v>
      </c>
      <c r="C144" s="1" t="s">
        <v>15</v>
      </c>
      <c r="D144" s="1">
        <v>24.1</v>
      </c>
      <c r="E144" s="1">
        <v>977</v>
      </c>
      <c r="F144" s="1">
        <v>0</v>
      </c>
      <c r="G144" s="1">
        <v>0.40930151867698655</v>
      </c>
      <c r="H144" s="1">
        <v>1.798737868662778</v>
      </c>
      <c r="I144" s="1">
        <v>420.07660758431007</v>
      </c>
      <c r="J144" s="1" t="s">
        <v>16</v>
      </c>
      <c r="K144" s="1">
        <f t="shared" si="6"/>
        <v>0.4701816456934757</v>
      </c>
      <c r="L144" s="1">
        <f t="shared" si="7"/>
        <v>0.88555065432945634</v>
      </c>
      <c r="M144" s="1">
        <f t="shared" si="8"/>
        <v>206.55928598477192</v>
      </c>
      <c r="N144" s="1">
        <f>SLOPE(K144:K147,F144:F147)</f>
        <v>5.6136597165837364E-4</v>
      </c>
      <c r="O144" s="1">
        <f>SLOPE(L144:L147,F144:F147)</f>
        <v>1.1848456698480817E-4</v>
      </c>
      <c r="P144" s="1">
        <f>SLOPE(M144:M147,F144:F147)</f>
        <v>4.0008644050871274</v>
      </c>
      <c r="Q144" s="1">
        <f>(N144*41.35/0.31*60)/1000</f>
        <v>4.4927386312400806E-3</v>
      </c>
      <c r="R144" s="1">
        <f>O144*41.35/0.31*60/1000</f>
        <v>9.4825874415906163E-4</v>
      </c>
      <c r="S144" s="1">
        <f>(P144*41.35/0.31*60)/1000</f>
        <v>32.019821254906972</v>
      </c>
    </row>
    <row r="145" spans="1:19" x14ac:dyDescent="0.3">
      <c r="A145" s="1">
        <v>143</v>
      </c>
      <c r="C145" s="1" t="s">
        <v>15</v>
      </c>
      <c r="D145" s="1">
        <v>24.1</v>
      </c>
      <c r="E145" s="1">
        <v>978</v>
      </c>
      <c r="F145" s="1">
        <v>15</v>
      </c>
      <c r="G145" s="1">
        <v>0.42424562854638598</v>
      </c>
      <c r="H145" s="1">
        <v>1.8131778790526336</v>
      </c>
      <c r="I145" s="1">
        <v>699.06945627763923</v>
      </c>
      <c r="J145" s="1" t="s">
        <v>16</v>
      </c>
      <c r="K145" s="1">
        <f t="shared" si="6"/>
        <v>0.48734856507000374</v>
      </c>
      <c r="L145" s="1">
        <f t="shared" si="7"/>
        <v>0.89265972834854468</v>
      </c>
      <c r="M145" s="1">
        <f t="shared" si="8"/>
        <v>343.74512918692028</v>
      </c>
    </row>
    <row r="146" spans="1:19" x14ac:dyDescent="0.3">
      <c r="A146" s="1">
        <v>144</v>
      </c>
      <c r="C146" s="1" t="s">
        <v>15</v>
      </c>
      <c r="D146" s="1">
        <v>24.1</v>
      </c>
      <c r="E146" s="1">
        <v>979</v>
      </c>
      <c r="F146" s="1">
        <v>30</v>
      </c>
      <c r="G146" s="1">
        <v>0.42732263898132972</v>
      </c>
      <c r="H146" s="1">
        <v>1.8121464497390727</v>
      </c>
      <c r="I146" s="1">
        <v>737.03030619469121</v>
      </c>
      <c r="J146" s="1" t="s">
        <v>16</v>
      </c>
      <c r="K146" s="1">
        <f t="shared" si="6"/>
        <v>0.49088325469146982</v>
      </c>
      <c r="L146" s="1">
        <f t="shared" si="7"/>
        <v>0.89215193734718123</v>
      </c>
      <c r="M146" s="1">
        <f t="shared" si="8"/>
        <v>362.4111675062943</v>
      </c>
    </row>
    <row r="147" spans="1:19" x14ac:dyDescent="0.3">
      <c r="A147" s="1">
        <v>145</v>
      </c>
      <c r="C147" s="1" t="s">
        <v>15</v>
      </c>
      <c r="D147" s="1">
        <v>24.1</v>
      </c>
      <c r="E147" s="1">
        <v>980</v>
      </c>
      <c r="F147" s="1">
        <v>45</v>
      </c>
      <c r="G147" s="1">
        <v>0.43270980366805356</v>
      </c>
      <c r="H147" s="1">
        <v>1.8111150204255115</v>
      </c>
      <c r="I147" s="1">
        <v>814.24797067961515</v>
      </c>
      <c r="J147" s="1" t="s">
        <v>16</v>
      </c>
      <c r="K147" s="1">
        <f t="shared" si="6"/>
        <v>0.49707171440257236</v>
      </c>
      <c r="L147" s="1">
        <f t="shared" si="7"/>
        <v>0.8916441463458179</v>
      </c>
      <c r="M147" s="1">
        <f t="shared" si="8"/>
        <v>400.3804934660036</v>
      </c>
    </row>
    <row r="148" spans="1:19" x14ac:dyDescent="0.3">
      <c r="A148" s="1">
        <v>146</v>
      </c>
      <c r="C148" s="1" t="s">
        <v>15</v>
      </c>
      <c r="D148" s="1">
        <v>24.1</v>
      </c>
      <c r="E148" s="1">
        <v>981</v>
      </c>
      <c r="F148" s="1">
        <v>0</v>
      </c>
      <c r="G148" s="1">
        <v>0.40791159184500264</v>
      </c>
      <c r="H148" s="1">
        <v>1.8183350256204394</v>
      </c>
      <c r="I148" s="1">
        <v>416.50422094952989</v>
      </c>
      <c r="J148" s="1" t="s">
        <v>16</v>
      </c>
      <c r="K148" s="1">
        <f t="shared" si="6"/>
        <v>0.46858497904203461</v>
      </c>
      <c r="L148" s="1">
        <f t="shared" si="7"/>
        <v>0.89519868335536201</v>
      </c>
      <c r="M148" s="1">
        <f t="shared" si="8"/>
        <v>204.80267869167565</v>
      </c>
      <c r="N148" s="1">
        <f>SLOPE(K148:K151,F148:F151)</f>
        <v>7.7697102707365517E-4</v>
      </c>
      <c r="O148" s="1">
        <f>SLOPE(L148:L151,F148:F151)</f>
        <v>2.6066604736657263E-4</v>
      </c>
      <c r="P148" s="1">
        <f>SLOPE(M148:M151,F148:F151)</f>
        <v>6.6660217621359781</v>
      </c>
      <c r="Q148" s="1">
        <f>(N148*41.35/0.31*60)/1000</f>
        <v>6.2182745747410909E-3</v>
      </c>
      <c r="R148" s="1">
        <f>O148*41.35/0.31*60/1000</f>
        <v>2.0861692371498932E-3</v>
      </c>
      <c r="S148" s="1">
        <f>(P148*41.35/0.31*60)/1000</f>
        <v>53.349677393094716</v>
      </c>
    </row>
    <row r="149" spans="1:19" x14ac:dyDescent="0.3">
      <c r="A149" s="1">
        <v>147</v>
      </c>
      <c r="C149" s="1" t="s">
        <v>15</v>
      </c>
      <c r="D149" s="1">
        <v>24.1</v>
      </c>
      <c r="E149" s="1">
        <v>982</v>
      </c>
      <c r="F149" s="1">
        <v>15</v>
      </c>
      <c r="G149" s="1">
        <v>0.42072767580612325</v>
      </c>
      <c r="H149" s="1">
        <v>1.8173035963068782</v>
      </c>
      <c r="I149" s="1">
        <v>697.03425064411488</v>
      </c>
      <c r="J149" s="1" t="s">
        <v>16</v>
      </c>
      <c r="K149" s="1">
        <f t="shared" si="6"/>
        <v>0.48330734671773573</v>
      </c>
      <c r="L149" s="1">
        <f t="shared" si="7"/>
        <v>0.89469089235399846</v>
      </c>
      <c r="M149" s="1">
        <f t="shared" si="8"/>
        <v>342.7443816687225</v>
      </c>
    </row>
    <row r="150" spans="1:19" x14ac:dyDescent="0.3">
      <c r="A150" s="1">
        <v>148</v>
      </c>
      <c r="C150" s="1" t="s">
        <v>15</v>
      </c>
      <c r="D150" s="1">
        <v>24.1</v>
      </c>
      <c r="E150" s="1">
        <v>983</v>
      </c>
      <c r="F150" s="1">
        <v>30</v>
      </c>
      <c r="G150" s="1">
        <v>0.43093644874448789</v>
      </c>
      <c r="H150" s="1">
        <v>1.8348378946374173</v>
      </c>
      <c r="I150" s="1">
        <v>879.33786405498893</v>
      </c>
      <c r="J150" s="1" t="s">
        <v>16</v>
      </c>
      <c r="K150" s="1">
        <f t="shared" si="6"/>
        <v>0.49503458798521655</v>
      </c>
      <c r="L150" s="1">
        <f t="shared" si="7"/>
        <v>0.90332333937717735</v>
      </c>
      <c r="M150" s="1">
        <f t="shared" si="8"/>
        <v>432.38637443556871</v>
      </c>
    </row>
    <row r="151" spans="1:19" x14ac:dyDescent="0.3">
      <c r="A151" s="1">
        <v>149</v>
      </c>
      <c r="C151" s="1" t="s">
        <v>15</v>
      </c>
      <c r="D151" s="1">
        <v>24.1</v>
      </c>
      <c r="E151" s="1">
        <v>984</v>
      </c>
      <c r="F151" s="1">
        <v>45</v>
      </c>
      <c r="G151" s="1">
        <v>0.4383270252097265</v>
      </c>
      <c r="H151" s="1">
        <v>1.8389636118916617</v>
      </c>
      <c r="I151" s="1">
        <v>1033.5659120545006</v>
      </c>
      <c r="J151" s="1" t="s">
        <v>16</v>
      </c>
      <c r="K151" s="1">
        <f t="shared" si="6"/>
        <v>0.50352444997322376</v>
      </c>
      <c r="L151" s="1">
        <f t="shared" si="7"/>
        <v>0.90535450338263102</v>
      </c>
      <c r="M151" s="1">
        <f t="shared" si="8"/>
        <v>508.22310254285912</v>
      </c>
    </row>
    <row r="152" spans="1:19" x14ac:dyDescent="0.3">
      <c r="A152" s="1">
        <v>150</v>
      </c>
      <c r="C152" s="1" t="s">
        <v>15</v>
      </c>
      <c r="D152" s="1">
        <v>24.1</v>
      </c>
      <c r="E152" s="1">
        <v>985</v>
      </c>
      <c r="F152" s="1">
        <v>0</v>
      </c>
      <c r="G152" s="1">
        <v>0.40688592170002147</v>
      </c>
      <c r="H152" s="1">
        <v>1.8224607428746837</v>
      </c>
      <c r="I152" s="1">
        <v>401.98996716380549</v>
      </c>
      <c r="J152" s="1" t="s">
        <v>16</v>
      </c>
      <c r="K152" s="1">
        <f t="shared" si="6"/>
        <v>0.46740674916821268</v>
      </c>
      <c r="L152" s="1">
        <f t="shared" si="7"/>
        <v>0.89722984736081568</v>
      </c>
      <c r="M152" s="1">
        <f t="shared" si="8"/>
        <v>197.6657568910984</v>
      </c>
      <c r="N152" s="1">
        <f>SLOPE(K152:K155,F152:F155)</f>
        <v>4.9081899915102251E-4</v>
      </c>
      <c r="O152" s="1">
        <f>SLOPE(L152:L155,F152:F155)</f>
        <v>-1.7264894046356894E-4</v>
      </c>
      <c r="P152" s="1">
        <f>SLOPE(M152:M155,F152:F155)</f>
        <v>4.7082818065043899</v>
      </c>
      <c r="Q152" s="1">
        <f>(N152*41.35/0.31*60)/1000</f>
        <v>3.9281352803022156E-3</v>
      </c>
      <c r="R152" s="1">
        <f>O152*41.35/0.31*60/1000</f>
        <v>-1.3817484557745632E-3</v>
      </c>
      <c r="S152" s="1">
        <f>(P152*41.35/0.31*60)/1000</f>
        <v>37.681442457862552</v>
      </c>
    </row>
    <row r="153" spans="1:19" x14ac:dyDescent="0.3">
      <c r="A153" s="1">
        <v>151</v>
      </c>
      <c r="C153" s="1" t="s">
        <v>15</v>
      </c>
      <c r="D153" s="1">
        <v>24.1</v>
      </c>
      <c r="E153" s="1">
        <v>986</v>
      </c>
      <c r="F153" s="1">
        <v>15</v>
      </c>
      <c r="G153" s="1">
        <v>0.42004709094356557</v>
      </c>
      <c r="H153" s="1">
        <v>1.8286493187560504</v>
      </c>
      <c r="I153" s="1">
        <v>658.00764635745713</v>
      </c>
      <c r="J153" s="1" t="s">
        <v>16</v>
      </c>
      <c r="K153" s="1">
        <f t="shared" si="6"/>
        <v>0.48252553063323705</v>
      </c>
      <c r="L153" s="1">
        <f t="shared" si="7"/>
        <v>0.90027659336899646</v>
      </c>
      <c r="M153" s="1">
        <f t="shared" si="8"/>
        <v>323.55429259849416</v>
      </c>
    </row>
    <row r="154" spans="1:19" x14ac:dyDescent="0.3">
      <c r="A154" s="1">
        <v>152</v>
      </c>
      <c r="C154" s="1" t="s">
        <v>15</v>
      </c>
      <c r="D154" s="1">
        <v>24.1</v>
      </c>
      <c r="E154" s="1">
        <v>987</v>
      </c>
      <c r="F154" s="1">
        <v>30</v>
      </c>
      <c r="G154" s="1">
        <v>0.42412101441662192</v>
      </c>
      <c r="H154" s="1">
        <v>1.825555030815367</v>
      </c>
      <c r="I154" s="1">
        <v>791.07285758908233</v>
      </c>
      <c r="J154" s="1" t="s">
        <v>16</v>
      </c>
      <c r="K154" s="1">
        <f t="shared" si="6"/>
        <v>0.48720541564608144</v>
      </c>
      <c r="L154" s="1">
        <f t="shared" si="7"/>
        <v>0.89875322036490612</v>
      </c>
      <c r="M154" s="1">
        <f t="shared" si="8"/>
        <v>388.98487008167592</v>
      </c>
    </row>
    <row r="155" spans="1:19" x14ac:dyDescent="0.3">
      <c r="A155" s="1">
        <v>153</v>
      </c>
      <c r="C155" s="1" t="s">
        <v>15</v>
      </c>
      <c r="D155" s="1">
        <v>24.1</v>
      </c>
      <c r="E155" s="1">
        <v>988</v>
      </c>
      <c r="F155" s="1">
        <v>45</v>
      </c>
      <c r="G155" s="1">
        <v>0.42689128237830021</v>
      </c>
      <c r="H155" s="1">
        <v>1.805957873857706</v>
      </c>
      <c r="I155" s="1">
        <v>836.39309912551198</v>
      </c>
      <c r="J155" s="1" t="s">
        <v>16</v>
      </c>
      <c r="K155" s="1">
        <f t="shared" si="6"/>
        <v>0.49038773745481568</v>
      </c>
      <c r="L155" s="1">
        <f t="shared" si="7"/>
        <v>0.88910519133900068</v>
      </c>
      <c r="M155" s="1">
        <f t="shared" si="8"/>
        <v>411.26965472192393</v>
      </c>
    </row>
    <row r="156" spans="1:19" x14ac:dyDescent="0.3">
      <c r="A156" s="1">
        <v>154</v>
      </c>
      <c r="C156" s="1" t="s">
        <v>15</v>
      </c>
      <c r="D156" s="1">
        <v>24.1</v>
      </c>
      <c r="E156" s="1">
        <v>989</v>
      </c>
      <c r="F156" s="1">
        <v>0</v>
      </c>
      <c r="G156" s="1">
        <v>0.40981914660062191</v>
      </c>
      <c r="H156" s="1">
        <v>1.8162721669933171</v>
      </c>
      <c r="I156" s="1">
        <v>393.64094648693668</v>
      </c>
      <c r="J156" s="1" t="s">
        <v>16</v>
      </c>
      <c r="K156" s="1">
        <f t="shared" si="6"/>
        <v>0.47077626637746056</v>
      </c>
      <c r="L156" s="1">
        <f t="shared" si="7"/>
        <v>0.89418310135263512</v>
      </c>
      <c r="M156" s="1">
        <f t="shared" si="8"/>
        <v>193.56039201585958</v>
      </c>
      <c r="N156" s="1">
        <f>SLOPE(K156:K159,F156:F159)</f>
        <v>8.6996749975006712E-2</v>
      </c>
      <c r="O156" s="1">
        <f>SLOPE(L156:L159,F156:F159)</f>
        <v>1.5910784709388226E-4</v>
      </c>
      <c r="P156" s="1">
        <f>SLOPE(M156:M159,F156:F159)</f>
        <v>5.2795061447420615</v>
      </c>
      <c r="Q156" s="1">
        <f>(N156*41.35/0.31*60)/1000</f>
        <v>0.69625463447739244</v>
      </c>
      <c r="R156" s="1">
        <f>O156*41.35/0.31*60/1000</f>
        <v>1.2733760278707158E-3</v>
      </c>
      <c r="S156" s="1">
        <f>(P156*41.35/0.31*60)/1000</f>
        <v>42.253079822919531</v>
      </c>
    </row>
    <row r="157" spans="1:19" x14ac:dyDescent="0.3">
      <c r="A157" s="1">
        <v>155</v>
      </c>
      <c r="C157" s="1" t="s">
        <v>15</v>
      </c>
      <c r="D157" s="1">
        <v>24.1</v>
      </c>
      <c r="E157" s="1">
        <v>990</v>
      </c>
      <c r="F157" s="1">
        <v>15</v>
      </c>
      <c r="G157" s="1">
        <v>0.36131549301552812</v>
      </c>
      <c r="H157" s="1">
        <v>1.7265378167134993</v>
      </c>
      <c r="I157" s="1">
        <v>756.40098802435944</v>
      </c>
      <c r="J157" s="1" t="s">
        <v>16</v>
      </c>
      <c r="K157" s="1">
        <f t="shared" si="6"/>
        <v>0.41505810598924231</v>
      </c>
      <c r="L157" s="1">
        <f t="shared" si="7"/>
        <v>0.85000528423401467</v>
      </c>
      <c r="M157" s="1">
        <f t="shared" si="8"/>
        <v>371.93608304678037</v>
      </c>
    </row>
    <row r="158" spans="1:19" x14ac:dyDescent="0.3">
      <c r="A158" s="1">
        <v>156</v>
      </c>
      <c r="C158" s="1" t="s">
        <v>15</v>
      </c>
      <c r="D158" s="1">
        <v>24.1</v>
      </c>
      <c r="E158" s="1">
        <v>991</v>
      </c>
      <c r="F158" s="1">
        <v>30</v>
      </c>
      <c r="G158" s="1">
        <v>0.37207065098439673</v>
      </c>
      <c r="H158" s="1">
        <v>1.8307121773831727</v>
      </c>
      <c r="I158" s="1">
        <v>855.94721544220351</v>
      </c>
      <c r="J158" s="1" t="s">
        <v>16</v>
      </c>
      <c r="K158" s="1">
        <f t="shared" si="6"/>
        <v>0.42741300242315156</v>
      </c>
      <c r="L158" s="1">
        <f t="shared" si="7"/>
        <v>0.90129217537172335</v>
      </c>
      <c r="M158" s="1">
        <f t="shared" si="8"/>
        <v>420.88476832624031</v>
      </c>
    </row>
    <row r="159" spans="1:19" x14ac:dyDescent="0.3">
      <c r="A159" s="1">
        <v>157</v>
      </c>
      <c r="C159" s="1" t="s">
        <v>15</v>
      </c>
      <c r="D159" s="1">
        <v>24.1</v>
      </c>
      <c r="E159" s="1">
        <v>992</v>
      </c>
      <c r="F159" s="1">
        <v>45</v>
      </c>
      <c r="G159" s="1">
        <v>4.1928453122761207</v>
      </c>
      <c r="H159" s="1">
        <v>1.7977064393492168</v>
      </c>
      <c r="I159" s="1">
        <v>897.301603369188</v>
      </c>
      <c r="J159" s="1" t="s">
        <v>16</v>
      </c>
      <c r="K159" s="1">
        <f t="shared" si="6"/>
        <v>4.8164954663164936</v>
      </c>
      <c r="L159" s="1">
        <f t="shared" si="7"/>
        <v>0.88504286332809301</v>
      </c>
      <c r="M159" s="1">
        <f t="shared" si="8"/>
        <v>441.21947082647603</v>
      </c>
    </row>
    <row r="160" spans="1:19" x14ac:dyDescent="0.3">
      <c r="A160" s="1">
        <v>158</v>
      </c>
      <c r="C160" s="1" t="s">
        <v>15</v>
      </c>
      <c r="D160" s="1">
        <v>24.1</v>
      </c>
      <c r="E160" s="1">
        <v>993</v>
      </c>
      <c r="F160" s="1">
        <v>0</v>
      </c>
      <c r="G160" s="1">
        <v>0.36389404693141553</v>
      </c>
      <c r="H160" s="1">
        <v>1.8203978842475614</v>
      </c>
      <c r="I160" s="1">
        <v>458.15760709036238</v>
      </c>
      <c r="J160" s="1" t="s">
        <v>83</v>
      </c>
      <c r="K160" s="1">
        <f t="shared" si="6"/>
        <v>0.41802019791501915</v>
      </c>
      <c r="L160" s="1">
        <f t="shared" si="7"/>
        <v>0.8962142653580889</v>
      </c>
      <c r="M160" s="1">
        <f t="shared" si="8"/>
        <v>225.28440403595476</v>
      </c>
      <c r="N160" s="1">
        <f>SLOPE(K160:K163,F160:F163)</f>
        <v>1.8881041965546519E-4</v>
      </c>
      <c r="O160" s="1">
        <f>SLOPE(L160:L163,F160:F163)</f>
        <v>1.8280476049084299E-4</v>
      </c>
      <c r="P160" s="1">
        <f>SLOPE(M160:M163,F160:F163)</f>
        <v>2.1180369480687791</v>
      </c>
      <c r="Q160" s="1">
        <f>(N160*41.35/0.31*60)/1000</f>
        <v>1.5110924231135779E-3</v>
      </c>
      <c r="R160" s="1">
        <f>O160*41.35/0.31*60/1000</f>
        <v>1.4630277767025211E-3</v>
      </c>
      <c r="S160" s="1">
        <f>(P160*41.35/0.31*60)/1000</f>
        <v>16.951127961802069</v>
      </c>
    </row>
    <row r="161" spans="1:19" x14ac:dyDescent="0.3">
      <c r="A161" s="1">
        <v>159</v>
      </c>
      <c r="C161" s="1" t="s">
        <v>15</v>
      </c>
      <c r="D161" s="1">
        <v>24.1</v>
      </c>
      <c r="E161" s="1">
        <v>994</v>
      </c>
      <c r="F161" s="1">
        <v>15</v>
      </c>
      <c r="G161" s="1">
        <v>0.36419120370239139</v>
      </c>
      <c r="H161" s="1">
        <v>1.8069893031712669</v>
      </c>
      <c r="I161" s="1">
        <v>531.44977355298624</v>
      </c>
      <c r="J161" s="1" t="s">
        <v>83</v>
      </c>
      <c r="K161" s="1">
        <f t="shared" si="6"/>
        <v>0.41836155423360311</v>
      </c>
      <c r="L161" s="1">
        <f t="shared" si="7"/>
        <v>0.8896129823403639</v>
      </c>
      <c r="M161" s="1">
        <f t="shared" si="8"/>
        <v>261.32349142969446</v>
      </c>
    </row>
    <row r="162" spans="1:19" x14ac:dyDescent="0.3">
      <c r="A162" s="1">
        <v>160</v>
      </c>
      <c r="C162" s="1" t="s">
        <v>15</v>
      </c>
      <c r="D162" s="1">
        <v>24.1</v>
      </c>
      <c r="E162" s="1">
        <v>995</v>
      </c>
      <c r="F162" s="1">
        <v>30</v>
      </c>
      <c r="G162" s="1">
        <v>0.36877316939679355</v>
      </c>
      <c r="H162" s="1">
        <v>1.8348378946374173</v>
      </c>
      <c r="I162" s="1">
        <v>586.02795364948554</v>
      </c>
      <c r="J162" s="1" t="s">
        <v>83</v>
      </c>
      <c r="K162" s="1">
        <f t="shared" si="6"/>
        <v>0.42362504843628462</v>
      </c>
      <c r="L162" s="1">
        <f t="shared" si="7"/>
        <v>0.90332333937717735</v>
      </c>
      <c r="M162" s="1">
        <f t="shared" si="8"/>
        <v>288.16057235146076</v>
      </c>
    </row>
    <row r="163" spans="1:19" x14ac:dyDescent="0.3">
      <c r="A163" s="1">
        <v>161</v>
      </c>
      <c r="C163" s="1" t="s">
        <v>15</v>
      </c>
      <c r="D163" s="1">
        <v>24.1</v>
      </c>
      <c r="E163" s="1">
        <v>996</v>
      </c>
      <c r="F163" s="1">
        <v>45</v>
      </c>
      <c r="G163" s="1">
        <v>0.37058486712951744</v>
      </c>
      <c r="H163" s="1">
        <v>1.8296807480696116</v>
      </c>
      <c r="I163" s="1">
        <v>655.33592305396178</v>
      </c>
      <c r="J163" s="1" t="s">
        <v>83</v>
      </c>
      <c r="K163" s="1">
        <f t="shared" si="6"/>
        <v>0.42570622083023191</v>
      </c>
      <c r="L163" s="1">
        <f t="shared" si="7"/>
        <v>0.9007843843703599</v>
      </c>
      <c r="M163" s="1">
        <f t="shared" si="8"/>
        <v>322.24055779880496</v>
      </c>
    </row>
    <row r="164" spans="1:19" x14ac:dyDescent="0.3">
      <c r="A164" s="1">
        <v>162</v>
      </c>
      <c r="C164" s="1" t="s">
        <v>15</v>
      </c>
      <c r="D164" s="1">
        <v>24.1</v>
      </c>
      <c r="E164" s="1">
        <v>997</v>
      </c>
      <c r="F164" s="1">
        <v>0</v>
      </c>
      <c r="G164" s="1">
        <v>0.37196520825921181</v>
      </c>
      <c r="H164" s="1">
        <v>1.7956435807220947</v>
      </c>
      <c r="I164" s="1">
        <v>463.89268632714811</v>
      </c>
      <c r="J164" s="1" t="s">
        <v>83</v>
      </c>
      <c r="K164" s="1">
        <f t="shared" si="6"/>
        <v>0.42729187598752505</v>
      </c>
      <c r="L164" s="1">
        <f t="shared" si="7"/>
        <v>0.88402728132536612</v>
      </c>
      <c r="M164" s="1">
        <f t="shared" si="8"/>
        <v>228.10444650161099</v>
      </c>
      <c r="N164" s="1">
        <f>SLOPE(K164:K167,F164:F167)</f>
        <v>2.0070283333516273E-4</v>
      </c>
      <c r="O164" s="1">
        <f>SLOPE(L164:L167,F164:F167)</f>
        <v>3.8253588769379638E-4</v>
      </c>
      <c r="P164" s="1">
        <f>SLOPE(M164:M167,F164:F167)</f>
        <v>1.5258265269799089</v>
      </c>
      <c r="Q164" s="1">
        <f>(N164*41.35/0.31*60)/1000</f>
        <v>1.6062700951759317E-3</v>
      </c>
      <c r="R164" s="1">
        <f>O164*41.35/0.31*60/1000</f>
        <v>3.0615210882848675E-3</v>
      </c>
      <c r="S164" s="1">
        <f>(P164*41.35/0.31*60)/1000</f>
        <v>12.211534236894046</v>
      </c>
    </row>
    <row r="165" spans="1:19" x14ac:dyDescent="0.3">
      <c r="A165" s="1">
        <v>163</v>
      </c>
      <c r="C165" s="1" t="s">
        <v>15</v>
      </c>
      <c r="D165" s="1">
        <v>24.1</v>
      </c>
      <c r="E165" s="1">
        <v>998</v>
      </c>
      <c r="F165" s="1">
        <v>15</v>
      </c>
      <c r="G165" s="1">
        <v>0.37647048833529762</v>
      </c>
      <c r="H165" s="1">
        <v>1.8028635859170223</v>
      </c>
      <c r="I165" s="1">
        <v>538.28729405678246</v>
      </c>
      <c r="J165" s="1" t="s">
        <v>83</v>
      </c>
      <c r="K165" s="1">
        <f t="shared" si="6"/>
        <v>0.43246727823702358</v>
      </c>
      <c r="L165" s="1">
        <f t="shared" si="7"/>
        <v>0.88758181833491023</v>
      </c>
      <c r="M165" s="1">
        <f t="shared" si="8"/>
        <v>264.68562425897113</v>
      </c>
    </row>
    <row r="166" spans="1:19" x14ac:dyDescent="0.3">
      <c r="A166" s="1">
        <v>164</v>
      </c>
      <c r="C166" s="1" t="s">
        <v>15</v>
      </c>
      <c r="D166" s="1">
        <v>24.1</v>
      </c>
      <c r="E166" s="1">
        <v>999</v>
      </c>
      <c r="F166" s="1">
        <v>30</v>
      </c>
      <c r="G166" s="1">
        <v>0.37912572786950133</v>
      </c>
      <c r="H166" s="1">
        <v>1.8389636118916617</v>
      </c>
      <c r="I166" s="1">
        <v>513.58967472395545</v>
      </c>
      <c r="J166" s="1" t="s">
        <v>83</v>
      </c>
      <c r="K166" s="1">
        <f t="shared" si="6"/>
        <v>0.43551746211598336</v>
      </c>
      <c r="L166" s="1">
        <f t="shared" si="7"/>
        <v>0.90535450338263102</v>
      </c>
      <c r="M166" s="1">
        <f t="shared" si="8"/>
        <v>252.54135694485137</v>
      </c>
    </row>
    <row r="167" spans="1:19" x14ac:dyDescent="0.3">
      <c r="A167" s="1">
        <v>165</v>
      </c>
      <c r="C167" s="1" t="s">
        <v>15</v>
      </c>
      <c r="D167" s="1">
        <v>24.1</v>
      </c>
      <c r="E167" s="1">
        <v>1000</v>
      </c>
      <c r="F167" s="1">
        <v>45</v>
      </c>
      <c r="G167" s="1">
        <v>0.37981589843434849</v>
      </c>
      <c r="H167" s="1">
        <v>1.8224607428746837</v>
      </c>
      <c r="I167" s="1">
        <v>627.27778391886659</v>
      </c>
      <c r="J167" s="1" t="s">
        <v>83</v>
      </c>
      <c r="K167" s="1">
        <f t="shared" si="6"/>
        <v>0.43631028969462993</v>
      </c>
      <c r="L167" s="1">
        <f t="shared" si="7"/>
        <v>0.89722984736081568</v>
      </c>
      <c r="M167" s="1">
        <f t="shared" si="8"/>
        <v>308.44386195531303</v>
      </c>
    </row>
    <row r="168" spans="1:19" x14ac:dyDescent="0.3">
      <c r="A168" s="1">
        <v>166</v>
      </c>
      <c r="C168" s="1" t="s">
        <v>15</v>
      </c>
      <c r="D168" s="1">
        <v>24.1</v>
      </c>
      <c r="E168" s="1" t="s">
        <v>88</v>
      </c>
      <c r="F168" s="1">
        <v>0</v>
      </c>
      <c r="G168" s="1">
        <v>0.3843595213195925</v>
      </c>
      <c r="H168" s="1">
        <v>1.8276178894424895</v>
      </c>
      <c r="I168" s="1">
        <v>427.77351865981086</v>
      </c>
      <c r="K168" s="1">
        <f t="shared" si="6"/>
        <v>0.44152973792071998</v>
      </c>
      <c r="L168" s="1">
        <f t="shared" si="7"/>
        <v>0.89976880236763312</v>
      </c>
      <c r="M168" s="1">
        <f t="shared" si="8"/>
        <v>210.34399674309387</v>
      </c>
      <c r="N168" s="1">
        <f>SLOPE(K168:K171,F168:F171)</f>
        <v>2.5309770582353138E-4</v>
      </c>
      <c r="O168" s="1">
        <f>SLOPE(L168:L171,F168:F171)</f>
        <v>-2.4182134999148157E-4</v>
      </c>
      <c r="P168" s="1">
        <f>SLOPE(M168:M171,F168:F171)</f>
        <v>2.360701691564854</v>
      </c>
      <c r="Q168" s="1">
        <f>(N168*41.35/0.31*60)/1000</f>
        <v>2.0255980908005853E-3</v>
      </c>
      <c r="R168" s="1">
        <f>O168*41.35/0.31*60/1000</f>
        <v>-1.9353508688027929E-3</v>
      </c>
      <c r="S168" s="1">
        <f>(P168*41.35/0.31*60)/1000</f>
        <v>18.893228699265816</v>
      </c>
    </row>
    <row r="169" spans="1:19" x14ac:dyDescent="0.3">
      <c r="A169" s="1">
        <v>167</v>
      </c>
      <c r="C169" s="1" t="s">
        <v>15</v>
      </c>
      <c r="D169" s="1">
        <v>24.1</v>
      </c>
      <c r="E169" s="1" t="s">
        <v>89</v>
      </c>
      <c r="F169" s="1">
        <v>15</v>
      </c>
      <c r="G169" s="1">
        <v>0.38988088583836994</v>
      </c>
      <c r="H169" s="1">
        <v>1.8307121773831727</v>
      </c>
      <c r="I169" s="1">
        <v>553.55362923930261</v>
      </c>
      <c r="K169" s="1">
        <f t="shared" si="6"/>
        <v>0.4478723585498926</v>
      </c>
      <c r="L169" s="1">
        <f t="shared" si="7"/>
        <v>0.90129217537172335</v>
      </c>
      <c r="M169" s="1">
        <f t="shared" si="8"/>
        <v>272.19235812125282</v>
      </c>
    </row>
    <row r="170" spans="1:19" x14ac:dyDescent="0.3">
      <c r="A170" s="1">
        <v>168</v>
      </c>
      <c r="B170" s="1" t="s">
        <v>27</v>
      </c>
      <c r="C170" s="1" t="s">
        <v>15</v>
      </c>
      <c r="D170" s="1">
        <v>23.1</v>
      </c>
      <c r="E170" s="1">
        <v>153</v>
      </c>
      <c r="F170" s="1">
        <v>0</v>
      </c>
      <c r="G170" s="1">
        <v>0.39127764603772158</v>
      </c>
      <c r="H170" s="1">
        <v>1.8335573061997099</v>
      </c>
      <c r="I170" s="1">
        <v>400.61630864994436</v>
      </c>
      <c r="J170" s="1" t="s">
        <v>16</v>
      </c>
      <c r="K170" s="1">
        <f t="shared" si="6"/>
        <v>0.45099409649300004</v>
      </c>
      <c r="L170" s="1">
        <f t="shared" si="7"/>
        <v>0.90573994748982267</v>
      </c>
      <c r="M170" s="1">
        <f t="shared" si="8"/>
        <v>197.65525026285044</v>
      </c>
      <c r="R170" s="1">
        <f>O170*41.35/0.31*60/1000</f>
        <v>0</v>
      </c>
    </row>
    <row r="171" spans="1:19" x14ac:dyDescent="0.3">
      <c r="A171" s="1">
        <v>169</v>
      </c>
      <c r="B171" s="1" t="s">
        <v>96</v>
      </c>
      <c r="C171" s="1" t="s">
        <v>15</v>
      </c>
      <c r="D171" s="1">
        <v>23.1</v>
      </c>
      <c r="E171" s="1">
        <v>154</v>
      </c>
      <c r="F171" s="1">
        <v>15</v>
      </c>
      <c r="G171" s="1">
        <v>0.39236240207084183</v>
      </c>
      <c r="H171" s="1">
        <v>1.8157873151128845</v>
      </c>
      <c r="I171" s="1">
        <v>418.80254801776107</v>
      </c>
      <c r="J171" s="1" t="s">
        <v>16</v>
      </c>
      <c r="K171" s="1">
        <f t="shared" si="6"/>
        <v>0.45224440703853336</v>
      </c>
      <c r="L171" s="1">
        <f t="shared" si="7"/>
        <v>0.896961933985988</v>
      </c>
      <c r="M171" s="1">
        <f t="shared" si="8"/>
        <v>206.6279396316371</v>
      </c>
    </row>
    <row r="172" spans="1:19" x14ac:dyDescent="0.3">
      <c r="A172" s="1">
        <v>170</v>
      </c>
      <c r="C172" s="1" t="s">
        <v>15</v>
      </c>
      <c r="D172" s="1">
        <v>23.1</v>
      </c>
      <c r="E172" s="1">
        <v>155</v>
      </c>
      <c r="F172" s="1">
        <v>30</v>
      </c>
      <c r="G172" s="1">
        <v>0.39433209065729707</v>
      </c>
      <c r="H172" s="1">
        <v>1.8180085639987378</v>
      </c>
      <c r="I172" s="1">
        <v>469.66537232936952</v>
      </c>
      <c r="J172" s="1" t="s">
        <v>16</v>
      </c>
      <c r="K172" s="1">
        <f t="shared" si="6"/>
        <v>0.45451470776594904</v>
      </c>
      <c r="L172" s="1">
        <f t="shared" si="7"/>
        <v>0.89805918567396736</v>
      </c>
      <c r="M172" s="1">
        <f t="shared" si="8"/>
        <v>231.72253526171883</v>
      </c>
    </row>
    <row r="173" spans="1:19" x14ac:dyDescent="0.3">
      <c r="A173" s="1">
        <v>171</v>
      </c>
      <c r="C173" s="1" t="s">
        <v>15</v>
      </c>
      <c r="D173" s="1">
        <v>23.1</v>
      </c>
      <c r="E173" s="1">
        <v>156</v>
      </c>
      <c r="F173" s="1">
        <v>45</v>
      </c>
      <c r="G173" s="1">
        <v>0.39399905152432158</v>
      </c>
      <c r="H173" s="1">
        <v>1.8035704462406921</v>
      </c>
      <c r="I173" s="1">
        <v>422.36733915952664</v>
      </c>
      <c r="J173" s="1" t="s">
        <v>16</v>
      </c>
      <c r="K173" s="1">
        <f t="shared" si="6"/>
        <v>0.45413084049319763</v>
      </c>
      <c r="L173" s="1">
        <f t="shared" si="7"/>
        <v>0.89092704970210168</v>
      </c>
      <c r="M173" s="1">
        <f t="shared" si="8"/>
        <v>208.38672895210919</v>
      </c>
    </row>
    <row r="174" spans="1:19" x14ac:dyDescent="0.3">
      <c r="A174" s="1">
        <v>172</v>
      </c>
      <c r="C174" s="1" t="s">
        <v>15</v>
      </c>
      <c r="D174" s="1">
        <v>23.1</v>
      </c>
      <c r="E174" s="1">
        <v>157</v>
      </c>
      <c r="F174" s="1">
        <v>0</v>
      </c>
      <c r="G174" s="1">
        <v>0.39030707485019295</v>
      </c>
      <c r="H174" s="1">
        <v>1.8213404373275173</v>
      </c>
      <c r="I174" s="1">
        <v>406.56496629920161</v>
      </c>
      <c r="J174" s="1" t="s">
        <v>16</v>
      </c>
      <c r="K174" s="1">
        <f t="shared" si="6"/>
        <v>0.44987539758383871</v>
      </c>
      <c r="L174" s="1">
        <f t="shared" si="7"/>
        <v>0.89970506320593624</v>
      </c>
      <c r="M174" s="1">
        <f t="shared" si="8"/>
        <v>200.59018673699023</v>
      </c>
      <c r="N174" s="1">
        <f>SLOPE(K174:K177,F174:F177)</f>
        <v>-8.408521212651306E-6</v>
      </c>
      <c r="O174" s="1">
        <f>SLOPE(L174:L177,F174:F177)</f>
        <v>-3.6575056265930607E-6</v>
      </c>
      <c r="P174" s="1">
        <f>SLOPE(M174:M177,F174:F177)</f>
        <v>1.9026393921632804E-2</v>
      </c>
      <c r="Q174" s="1">
        <f>(N174*41.35/0.31*60)/1000</f>
        <v>-6.7295293963186745E-5</v>
      </c>
      <c r="R174" s="1">
        <f>O174*41.35/0.31*60/1000</f>
        <v>-2.927184341799156E-5</v>
      </c>
      <c r="S174" s="1">
        <f>(P174*41.35/0.31*60)/1000</f>
        <v>0.15227252683732578</v>
      </c>
    </row>
    <row r="175" spans="1:19" x14ac:dyDescent="0.3">
      <c r="A175" s="1">
        <v>173</v>
      </c>
      <c r="C175" s="1" t="s">
        <v>15</v>
      </c>
      <c r="D175" s="1">
        <v>23.1</v>
      </c>
      <c r="E175" s="1">
        <v>158</v>
      </c>
      <c r="F175" s="1">
        <v>15</v>
      </c>
      <c r="G175" s="1">
        <v>0.39059253696417195</v>
      </c>
      <c r="H175" s="1">
        <v>1.8268935595421503</v>
      </c>
      <c r="I175" s="1">
        <v>423.30907651618054</v>
      </c>
      <c r="J175" s="1" t="s">
        <v>16</v>
      </c>
      <c r="K175" s="1">
        <f t="shared" si="6"/>
        <v>0.45020442667476851</v>
      </c>
      <c r="L175" s="1">
        <f t="shared" si="7"/>
        <v>0.90244819242588459</v>
      </c>
      <c r="M175" s="1">
        <f t="shared" si="8"/>
        <v>208.85136139190823</v>
      </c>
    </row>
    <row r="176" spans="1:19" x14ac:dyDescent="0.3">
      <c r="A176" s="1">
        <v>174</v>
      </c>
      <c r="C176" s="1" t="s">
        <v>15</v>
      </c>
      <c r="D176" s="1">
        <v>23.1</v>
      </c>
      <c r="E176" s="1">
        <v>159</v>
      </c>
      <c r="F176" s="1">
        <v>30</v>
      </c>
      <c r="G176" s="1">
        <v>0.39141086169091177</v>
      </c>
      <c r="H176" s="1">
        <v>1.8224510617704441</v>
      </c>
      <c r="I176" s="1">
        <v>407.70185645558723</v>
      </c>
      <c r="J176" s="1" t="s">
        <v>16</v>
      </c>
      <c r="K176" s="1">
        <f t="shared" si="6"/>
        <v>0.45114764340210056</v>
      </c>
      <c r="L176" s="1">
        <f t="shared" si="7"/>
        <v>0.90025368904992609</v>
      </c>
      <c r="M176" s="1">
        <f t="shared" si="8"/>
        <v>201.15110326367645</v>
      </c>
    </row>
    <row r="177" spans="1:19" x14ac:dyDescent="0.3">
      <c r="A177" s="1">
        <v>175</v>
      </c>
      <c r="C177" s="1" t="s">
        <v>15</v>
      </c>
      <c r="D177" s="1">
        <v>23.1</v>
      </c>
      <c r="E177" s="1">
        <v>160</v>
      </c>
      <c r="F177" s="1">
        <v>45</v>
      </c>
      <c r="G177" s="1">
        <v>0.38966954279563981</v>
      </c>
      <c r="H177" s="1">
        <v>1.8224510617704441</v>
      </c>
      <c r="I177" s="1">
        <v>413.69554936632102</v>
      </c>
      <c r="J177" s="1" t="s">
        <v>16</v>
      </c>
      <c r="K177" s="1">
        <f t="shared" si="6"/>
        <v>0.44914056594742879</v>
      </c>
      <c r="L177" s="1">
        <f t="shared" si="7"/>
        <v>0.90025368904992609</v>
      </c>
      <c r="M177" s="1">
        <f t="shared" si="8"/>
        <v>204.10825914248247</v>
      </c>
    </row>
    <row r="178" spans="1:19" x14ac:dyDescent="0.3">
      <c r="A178" s="1">
        <v>176</v>
      </c>
      <c r="C178" s="1" t="s">
        <v>15</v>
      </c>
      <c r="D178" s="1">
        <v>23.1</v>
      </c>
      <c r="E178" s="1">
        <v>161</v>
      </c>
      <c r="F178" s="1">
        <v>0</v>
      </c>
      <c r="G178" s="1">
        <v>0.39096363771234466</v>
      </c>
      <c r="H178" s="1">
        <v>1.806902319569472</v>
      </c>
      <c r="I178" s="1">
        <v>410.67918763098095</v>
      </c>
      <c r="J178" s="1" t="s">
        <v>16</v>
      </c>
      <c r="K178" s="1">
        <f t="shared" si="6"/>
        <v>0.45063216449297733</v>
      </c>
      <c r="L178" s="1">
        <f t="shared" si="7"/>
        <v>0.89257292723407067</v>
      </c>
      <c r="M178" s="1">
        <f t="shared" si="8"/>
        <v>202.62005279439072</v>
      </c>
      <c r="N178" s="1">
        <f>SLOPE(K178:K181,F178:F181)</f>
        <v>6.8876756367972265E-5</v>
      </c>
      <c r="O178" s="1">
        <f>SLOPE(L178:L181,F178:F181)</f>
        <v>1.1338267442453216E-4</v>
      </c>
      <c r="P178" s="1">
        <f>SLOPE(M178:M181,F178:F181)</f>
        <v>0.12996870436121791</v>
      </c>
      <c r="Q178" s="1">
        <f>(N178*41.35/0.31*60)/1000</f>
        <v>5.5123623402883611E-4</v>
      </c>
      <c r="R178" s="1">
        <f>O178*41.35/0.31*60/1000</f>
        <v>9.074271459589173E-4</v>
      </c>
      <c r="S178" s="1">
        <f>(P178*41.35/0.31*60)/1000</f>
        <v>1.0401688887747793</v>
      </c>
    </row>
    <row r="179" spans="1:19" x14ac:dyDescent="0.3">
      <c r="A179" s="1">
        <v>177</v>
      </c>
      <c r="C179" s="1" t="s">
        <v>15</v>
      </c>
      <c r="D179" s="1">
        <v>23.1</v>
      </c>
      <c r="E179" s="1">
        <v>162</v>
      </c>
      <c r="F179" s="1">
        <v>15</v>
      </c>
      <c r="G179" s="1">
        <v>0.39065914479076702</v>
      </c>
      <c r="H179" s="1">
        <v>1.8257829350992236</v>
      </c>
      <c r="I179" s="1">
        <v>410.26086009104324</v>
      </c>
      <c r="J179" s="1" t="s">
        <v>16</v>
      </c>
      <c r="K179" s="1">
        <f t="shared" si="6"/>
        <v>0.45028120012931871</v>
      </c>
      <c r="L179" s="1">
        <f t="shared" si="7"/>
        <v>0.90189956658189507</v>
      </c>
      <c r="M179" s="1">
        <f t="shared" si="8"/>
        <v>202.41365921326852</v>
      </c>
    </row>
    <row r="180" spans="1:19" x14ac:dyDescent="0.3">
      <c r="A180" s="1">
        <v>178</v>
      </c>
      <c r="C180" s="1" t="s">
        <v>15</v>
      </c>
      <c r="D180" s="1">
        <v>23.1</v>
      </c>
      <c r="E180" s="1">
        <v>163</v>
      </c>
      <c r="F180" s="1">
        <v>30</v>
      </c>
      <c r="G180" s="1">
        <v>0.39120152280732717</v>
      </c>
      <c r="H180" s="1">
        <v>1.8302254328709302</v>
      </c>
      <c r="I180" s="1">
        <v>418.26512723080765</v>
      </c>
      <c r="J180" s="1" t="s">
        <v>16</v>
      </c>
      <c r="K180" s="1">
        <f t="shared" si="6"/>
        <v>0.4509063554020854</v>
      </c>
      <c r="L180" s="1">
        <f t="shared" si="7"/>
        <v>0.90409406995785369</v>
      </c>
      <c r="M180" s="1">
        <f t="shared" si="8"/>
        <v>206.36278806928635</v>
      </c>
    </row>
    <row r="181" spans="1:19" x14ac:dyDescent="0.3">
      <c r="A181" s="1">
        <v>179</v>
      </c>
      <c r="C181" s="1" t="s">
        <v>15</v>
      </c>
      <c r="D181" s="1">
        <v>23.1</v>
      </c>
      <c r="E181" s="1">
        <v>164</v>
      </c>
      <c r="F181" s="1">
        <v>45</v>
      </c>
      <c r="G181" s="1">
        <v>0.39377068183313829</v>
      </c>
      <c r="H181" s="1">
        <v>1.8168979395558111</v>
      </c>
      <c r="I181" s="1">
        <v>421.18241139089935</v>
      </c>
      <c r="J181" s="1" t="s">
        <v>16</v>
      </c>
      <c r="K181" s="1">
        <f t="shared" si="6"/>
        <v>0.45386761722045371</v>
      </c>
      <c r="L181" s="1">
        <f t="shared" si="7"/>
        <v>0.89751055982997774</v>
      </c>
      <c r="M181" s="1">
        <f t="shared" si="8"/>
        <v>207.80211172711233</v>
      </c>
    </row>
    <row r="182" spans="1:19" x14ac:dyDescent="0.3">
      <c r="A182" s="1">
        <v>180</v>
      </c>
      <c r="C182" s="1" t="s">
        <v>15</v>
      </c>
      <c r="D182" s="1">
        <v>23.1</v>
      </c>
      <c r="E182" s="1">
        <v>165</v>
      </c>
      <c r="F182" s="1">
        <v>0</v>
      </c>
      <c r="G182" s="1">
        <v>0.39171535461248946</v>
      </c>
      <c r="H182" s="1">
        <v>1.8135660662270314</v>
      </c>
      <c r="I182" s="1">
        <v>418.5393419340204</v>
      </c>
      <c r="J182" s="1" t="s">
        <v>16</v>
      </c>
      <c r="K182" s="1">
        <f t="shared" si="6"/>
        <v>0.45149860776575917</v>
      </c>
      <c r="L182" s="1">
        <f t="shared" si="7"/>
        <v>0.89586468229800864</v>
      </c>
      <c r="M182" s="1">
        <f t="shared" si="8"/>
        <v>206.49807955547652</v>
      </c>
      <c r="N182" s="1">
        <f>SLOPE(K182:K185,F182:F185)</f>
        <v>-5.6446768488405502E-5</v>
      </c>
      <c r="O182" s="1">
        <f>SLOPE(L182:L185,F182:F185)</f>
        <v>-3.4380552890019028E-4</v>
      </c>
      <c r="P182" s="1">
        <f>SLOPE(M182:M185,F182:F185)</f>
        <v>-3.5248205209835154E-2</v>
      </c>
      <c r="Q182" s="1">
        <f>(N182*41.35/0.31*60)/1000</f>
        <v>-4.5175623425720661E-4</v>
      </c>
      <c r="R182" s="1">
        <f>O182*41.35/0.31*60/1000</f>
        <v>-2.7515532812947487E-3</v>
      </c>
      <c r="S182" s="1">
        <f>(P182*41.35/0.31*60)/1000</f>
        <v>-0.28209934556645494</v>
      </c>
    </row>
    <row r="183" spans="1:19" x14ac:dyDescent="0.3">
      <c r="A183" s="1">
        <v>181</v>
      </c>
      <c r="C183" s="1" t="s">
        <v>15</v>
      </c>
      <c r="D183" s="1">
        <v>23.1</v>
      </c>
      <c r="E183" s="1">
        <v>166</v>
      </c>
      <c r="F183" s="1">
        <v>15</v>
      </c>
      <c r="G183" s="1">
        <v>0.3947317376168677</v>
      </c>
      <c r="H183" s="1">
        <v>1.9168541394192038</v>
      </c>
      <c r="I183" s="1">
        <v>424.21778801441837</v>
      </c>
      <c r="J183" s="1" t="s">
        <v>16</v>
      </c>
      <c r="K183" s="1">
        <f t="shared" si="6"/>
        <v>0.45497534849325078</v>
      </c>
      <c r="L183" s="1">
        <f t="shared" si="7"/>
        <v>0.94688688578904778</v>
      </c>
      <c r="M183" s="1">
        <f t="shared" si="8"/>
        <v>209.29969960161867</v>
      </c>
    </row>
    <row r="184" spans="1:19" x14ac:dyDescent="0.3">
      <c r="A184" s="1">
        <v>182</v>
      </c>
      <c r="C184" s="1" t="s">
        <v>15</v>
      </c>
      <c r="D184" s="1">
        <v>23.1</v>
      </c>
      <c r="E184" s="1">
        <v>167</v>
      </c>
      <c r="F184" s="1">
        <v>30</v>
      </c>
      <c r="G184" s="1">
        <v>0.38878461024230487</v>
      </c>
      <c r="H184" s="1">
        <v>1.8257829350992236</v>
      </c>
      <c r="I184" s="1">
        <v>421.7278384465597</v>
      </c>
      <c r="J184" s="1" t="s">
        <v>16</v>
      </c>
      <c r="K184" s="1">
        <f t="shared" si="6"/>
        <v>0.44812057576554643</v>
      </c>
      <c r="L184" s="1">
        <f t="shared" si="7"/>
        <v>0.90189956658189507</v>
      </c>
      <c r="M184" s="1">
        <f t="shared" si="8"/>
        <v>208.07121340584823</v>
      </c>
    </row>
    <row r="185" spans="1:19" x14ac:dyDescent="0.3">
      <c r="A185" s="1">
        <v>183</v>
      </c>
      <c r="C185" s="1" t="s">
        <v>15</v>
      </c>
      <c r="D185" s="1">
        <v>23.1</v>
      </c>
      <c r="E185" s="1">
        <v>168</v>
      </c>
      <c r="F185" s="1">
        <v>45</v>
      </c>
      <c r="G185" s="1">
        <v>0.39124909982632367</v>
      </c>
      <c r="H185" s="1">
        <v>1.8091235684553251</v>
      </c>
      <c r="I185" s="1">
        <v>415.79719490189308</v>
      </c>
      <c r="J185" s="1" t="s">
        <v>16</v>
      </c>
      <c r="K185" s="1">
        <f t="shared" si="6"/>
        <v>0.45096119358390702</v>
      </c>
      <c r="L185" s="1">
        <f t="shared" si="7"/>
        <v>0.89367017892205003</v>
      </c>
      <c r="M185" s="1">
        <f t="shared" si="8"/>
        <v>205.14516469357491</v>
      </c>
    </row>
    <row r="186" spans="1:19" x14ac:dyDescent="0.3">
      <c r="A186" s="1">
        <v>184</v>
      </c>
      <c r="C186" s="1" t="s">
        <v>15</v>
      </c>
      <c r="D186" s="1">
        <v>23.1</v>
      </c>
      <c r="E186" s="1">
        <v>169</v>
      </c>
      <c r="F186" s="1">
        <v>0</v>
      </c>
      <c r="G186" s="1">
        <v>0.3917248700162887</v>
      </c>
      <c r="H186" s="1">
        <v>1.8180085639987378</v>
      </c>
      <c r="I186" s="1">
        <v>413.86868492710857</v>
      </c>
      <c r="J186" s="1" t="s">
        <v>16</v>
      </c>
      <c r="K186" s="1">
        <f t="shared" si="6"/>
        <v>0.45150957540212344</v>
      </c>
      <c r="L186" s="1">
        <f t="shared" si="7"/>
        <v>0.89805918567396736</v>
      </c>
      <c r="M186" s="1">
        <f t="shared" si="8"/>
        <v>204.19368040931056</v>
      </c>
      <c r="N186" s="1">
        <f>SLOPE(K186:K189,F186:F189)</f>
        <v>-1.1771929697711089E-5</v>
      </c>
      <c r="O186" s="1">
        <f>SLOPE(L186:L189,F186:F189)</f>
        <v>-3.6575056265952812E-6</v>
      </c>
      <c r="P186" s="1">
        <f>SLOPE(M186:M189,F186:F189)</f>
        <v>7.6368916778872059E-2</v>
      </c>
      <c r="Q186" s="1">
        <f>(N186*41.35/0.31*60)/1000</f>
        <v>-9.4213411548455526E-5</v>
      </c>
      <c r="R186" s="1">
        <f>O186*41.35/0.31*60/1000</f>
        <v>-2.927184341800933E-5</v>
      </c>
      <c r="S186" s="1">
        <f>(P186*41.35/0.31*60)/1000</f>
        <v>0.61119768557542442</v>
      </c>
    </row>
    <row r="187" spans="1:19" x14ac:dyDescent="0.3">
      <c r="A187" s="1">
        <v>185</v>
      </c>
      <c r="C187" s="1" t="s">
        <v>15</v>
      </c>
      <c r="D187" s="1">
        <v>23.1</v>
      </c>
      <c r="E187" s="1">
        <v>170</v>
      </c>
      <c r="F187" s="1">
        <v>15</v>
      </c>
      <c r="G187" s="1">
        <v>0.38812804738015305</v>
      </c>
      <c r="H187" s="1">
        <v>1.795796075140206</v>
      </c>
      <c r="I187" s="1">
        <v>405.77935118233302</v>
      </c>
      <c r="J187" s="1" t="s">
        <v>16</v>
      </c>
      <c r="K187" s="1">
        <f t="shared" si="6"/>
        <v>0.44736380885640775</v>
      </c>
      <c r="L187" s="1">
        <f t="shared" si="7"/>
        <v>0.88708666879417397</v>
      </c>
      <c r="M187" s="1">
        <f t="shared" si="8"/>
        <v>200.20258156670093</v>
      </c>
    </row>
    <row r="188" spans="1:19" x14ac:dyDescent="0.3">
      <c r="A188" s="1">
        <v>186</v>
      </c>
      <c r="C188" s="1" t="s">
        <v>15</v>
      </c>
      <c r="D188" s="1">
        <v>23.1</v>
      </c>
      <c r="E188" s="1">
        <v>171</v>
      </c>
      <c r="F188" s="1">
        <v>30</v>
      </c>
      <c r="G188" s="1">
        <v>0.38987888167922441</v>
      </c>
      <c r="H188" s="1">
        <v>1.8146766906699578</v>
      </c>
      <c r="I188" s="1">
        <v>418.81655898799823</v>
      </c>
      <c r="J188" s="1" t="s">
        <v>16</v>
      </c>
      <c r="K188" s="1">
        <f t="shared" si="6"/>
        <v>0.44938185394744401</v>
      </c>
      <c r="L188" s="1">
        <f t="shared" si="7"/>
        <v>0.89641330814199827</v>
      </c>
      <c r="M188" s="1">
        <f t="shared" si="8"/>
        <v>206.63485233531108</v>
      </c>
    </row>
    <row r="189" spans="1:19" x14ac:dyDescent="0.3">
      <c r="A189" s="1">
        <v>187</v>
      </c>
      <c r="C189" s="1" t="s">
        <v>15</v>
      </c>
      <c r="D189" s="1">
        <v>23.1</v>
      </c>
      <c r="E189" s="1">
        <v>172</v>
      </c>
      <c r="F189" s="1">
        <v>45</v>
      </c>
      <c r="G189" s="1">
        <v>0.3906305985793691</v>
      </c>
      <c r="H189" s="1">
        <v>1.8113448173411784</v>
      </c>
      <c r="I189" s="1">
        <v>417.26234207526329</v>
      </c>
      <c r="J189" s="1" t="s">
        <v>16</v>
      </c>
      <c r="K189" s="1">
        <f t="shared" si="6"/>
        <v>0.4502482972202258</v>
      </c>
      <c r="L189" s="1">
        <f t="shared" si="7"/>
        <v>0.8947674306100295</v>
      </c>
      <c r="M189" s="1">
        <f t="shared" si="8"/>
        <v>205.86803599205078</v>
      </c>
    </row>
    <row r="190" spans="1:19" x14ac:dyDescent="0.3">
      <c r="A190" s="1">
        <v>188</v>
      </c>
      <c r="C190" s="1" t="s">
        <v>15</v>
      </c>
      <c r="D190" s="1">
        <v>23.1</v>
      </c>
      <c r="E190" s="1">
        <v>173</v>
      </c>
      <c r="F190" s="1">
        <v>0</v>
      </c>
      <c r="G190" s="1">
        <v>0.38984082006402715</v>
      </c>
      <c r="H190" s="1">
        <v>1.8091235684553251</v>
      </c>
      <c r="I190" s="1">
        <v>403.44652463784809</v>
      </c>
      <c r="J190" s="1" t="s">
        <v>16</v>
      </c>
      <c r="K190" s="1">
        <f t="shared" si="6"/>
        <v>0.44933798340198661</v>
      </c>
      <c r="L190" s="1">
        <f t="shared" si="7"/>
        <v>0.89367017892205003</v>
      </c>
      <c r="M190" s="1">
        <f t="shared" si="8"/>
        <v>199.05161640498829</v>
      </c>
      <c r="N190" s="1">
        <f>SLOPE(K190:K193,F190:F193)</f>
        <v>-9.8708727278914078E-6</v>
      </c>
      <c r="O190" s="1">
        <f>SLOPE(L190:L193,F190:F193)</f>
        <v>3.6575056265978714E-5</v>
      </c>
      <c r="P190" s="1">
        <f>SLOPE(M190:M193,F190:F193)</f>
        <v>7.0489826892361787E-2</v>
      </c>
      <c r="Q190" s="1">
        <f>(N190*41.35/0.31*60)/1000</f>
        <v>-7.8998823348059942E-5</v>
      </c>
      <c r="R190" s="1">
        <f>O190*41.35/0.31*60/1000</f>
        <v>2.9271843418030062E-4</v>
      </c>
      <c r="S190" s="1">
        <f>(P190*41.35/0.31*60)/1000</f>
        <v>0.56414600167725681</v>
      </c>
    </row>
    <row r="191" spans="1:19" x14ac:dyDescent="0.3">
      <c r="A191" s="1">
        <v>189</v>
      </c>
      <c r="C191" s="1" t="s">
        <v>15</v>
      </c>
      <c r="D191" s="1">
        <v>23.1</v>
      </c>
      <c r="E191" s="1">
        <v>174</v>
      </c>
      <c r="F191" s="1">
        <v>15</v>
      </c>
      <c r="G191" s="1">
        <v>0.38753809234459646</v>
      </c>
      <c r="H191" s="1">
        <v>1.8057916951265454</v>
      </c>
      <c r="I191" s="1">
        <v>410.19881150856452</v>
      </c>
      <c r="J191" s="1" t="s">
        <v>16</v>
      </c>
      <c r="K191" s="1">
        <f t="shared" si="6"/>
        <v>0.44668381540181951</v>
      </c>
      <c r="L191" s="1">
        <f t="shared" si="7"/>
        <v>0.89202430139008093</v>
      </c>
      <c r="M191" s="1">
        <f t="shared" si="8"/>
        <v>202.38304581128389</v>
      </c>
    </row>
    <row r="192" spans="1:19" x14ac:dyDescent="0.3">
      <c r="A192" s="1">
        <v>190</v>
      </c>
      <c r="C192" s="1" t="s">
        <v>15</v>
      </c>
      <c r="D192" s="1">
        <v>23.1</v>
      </c>
      <c r="E192" s="1">
        <v>175</v>
      </c>
      <c r="F192" s="1">
        <v>30</v>
      </c>
      <c r="G192" s="1">
        <v>0.39062108317556987</v>
      </c>
      <c r="H192" s="1">
        <v>1.8168979395558111</v>
      </c>
      <c r="I192" s="1">
        <v>410.37294785294046</v>
      </c>
      <c r="J192" s="1" t="s">
        <v>16</v>
      </c>
      <c r="K192" s="1">
        <f t="shared" si="6"/>
        <v>0.45023732958386153</v>
      </c>
      <c r="L192" s="1">
        <f t="shared" si="7"/>
        <v>0.89751055982997774</v>
      </c>
      <c r="M192" s="1">
        <f t="shared" si="8"/>
        <v>202.46896084266015</v>
      </c>
    </row>
    <row r="193" spans="1:19" x14ac:dyDescent="0.3">
      <c r="A193" s="1">
        <v>191</v>
      </c>
      <c r="C193" s="1" t="s">
        <v>15</v>
      </c>
      <c r="D193" s="1">
        <v>23.1</v>
      </c>
      <c r="E193" s="1">
        <v>176</v>
      </c>
      <c r="F193" s="1">
        <v>45</v>
      </c>
      <c r="G193" s="1">
        <v>0.38838496328273425</v>
      </c>
      <c r="H193" s="1">
        <v>1.8091235684553251</v>
      </c>
      <c r="I193" s="1">
        <v>410.53207244349096</v>
      </c>
      <c r="J193" s="1" t="s">
        <v>83</v>
      </c>
      <c r="K193" s="1">
        <f t="shared" si="6"/>
        <v>0.44765993503824469</v>
      </c>
      <c r="L193" s="1">
        <f t="shared" si="7"/>
        <v>0.89367017892205003</v>
      </c>
      <c r="M193" s="1">
        <f t="shared" si="8"/>
        <v>202.5474694058143</v>
      </c>
    </row>
    <row r="194" spans="1:19" x14ac:dyDescent="0.3">
      <c r="A194" s="1">
        <v>192</v>
      </c>
      <c r="C194" s="1" t="s">
        <v>15</v>
      </c>
      <c r="D194" s="1">
        <v>23.1</v>
      </c>
      <c r="E194" s="1">
        <v>177</v>
      </c>
      <c r="F194" s="1">
        <v>0</v>
      </c>
      <c r="G194" s="1">
        <v>0.38904152614488596</v>
      </c>
      <c r="H194" s="1">
        <v>1.8224510617704441</v>
      </c>
      <c r="I194" s="1">
        <v>415.67009538617032</v>
      </c>
      <c r="J194" s="1" t="s">
        <v>83</v>
      </c>
      <c r="K194" s="1">
        <f t="shared" si="6"/>
        <v>0.4484167019473832</v>
      </c>
      <c r="L194" s="1">
        <f t="shared" si="7"/>
        <v>0.90025368904992609</v>
      </c>
      <c r="M194" s="1">
        <f t="shared" si="8"/>
        <v>205.08245659596122</v>
      </c>
      <c r="N194" s="1">
        <f>SLOPE(K194:K197,F194:F197)</f>
        <v>7.1435871519649847E-5</v>
      </c>
      <c r="O194" s="1">
        <f>SLOPE(L194:L197,F194:F197)</f>
        <v>2.1945033759584267E-5</v>
      </c>
      <c r="P194" s="1">
        <f>SLOPE(M194:M197,F194:F197)</f>
        <v>0.4338379908134275</v>
      </c>
      <c r="Q194" s="1">
        <f>(N194*41.35/0.31*60)/1000</f>
        <v>5.7171741045242337E-4</v>
      </c>
      <c r="R194" s="1">
        <f>O194*41.35/0.31*60/1000</f>
        <v>1.7563106050815669E-4</v>
      </c>
      <c r="S194" s="1">
        <f>(P194*41.35/0.31*60)/1000</f>
        <v>3.4721034038971412</v>
      </c>
    </row>
    <row r="195" spans="1:19" x14ac:dyDescent="0.3">
      <c r="A195" s="1">
        <v>193</v>
      </c>
      <c r="C195" s="1" t="s">
        <v>15</v>
      </c>
      <c r="D195" s="1">
        <v>23.1</v>
      </c>
      <c r="E195" s="1">
        <v>178</v>
      </c>
      <c r="F195" s="1">
        <v>15</v>
      </c>
      <c r="G195" s="1">
        <v>0.38919377260567478</v>
      </c>
      <c r="H195" s="1">
        <v>1.8135660662270314</v>
      </c>
      <c r="I195" s="1">
        <v>466.36678962210982</v>
      </c>
      <c r="J195" s="1" t="s">
        <v>83</v>
      </c>
      <c r="K195" s="1">
        <f t="shared" ref="K195:K258" si="9">(G195*28*1)/(0.082*(D195+273.15))</f>
        <v>0.44859218412921248</v>
      </c>
      <c r="L195" s="1">
        <f t="shared" ref="L195:L258" si="10">(H195*12*1)/(0.082*(D195+273.15))</f>
        <v>0.89586468229800864</v>
      </c>
      <c r="M195" s="1">
        <f t="shared" ref="M195:M258" si="11">(I195*12*1)/(0.0821*(D195+273.15))</f>
        <v>230.09508731105186</v>
      </c>
    </row>
    <row r="196" spans="1:19" x14ac:dyDescent="0.3">
      <c r="A196" s="1">
        <v>194</v>
      </c>
      <c r="C196" s="1" t="s">
        <v>15</v>
      </c>
      <c r="D196" s="1">
        <v>23.1</v>
      </c>
      <c r="E196" s="1">
        <v>179</v>
      </c>
      <c r="F196" s="1">
        <v>30</v>
      </c>
      <c r="G196" s="1">
        <v>0.39263834878102155</v>
      </c>
      <c r="H196" s="1">
        <v>1.8235616862133708</v>
      </c>
      <c r="I196" s="1">
        <v>463.11424295991498</v>
      </c>
      <c r="J196" s="1" t="s">
        <v>83</v>
      </c>
      <c r="K196" s="1">
        <f t="shared" si="9"/>
        <v>0.45256246849309884</v>
      </c>
      <c r="L196" s="1">
        <f t="shared" si="10"/>
        <v>0.90080231489391582</v>
      </c>
      <c r="M196" s="1">
        <f t="shared" si="11"/>
        <v>228.49035252959925</v>
      </c>
    </row>
    <row r="197" spans="1:19" x14ac:dyDescent="0.3">
      <c r="A197" s="1">
        <v>195</v>
      </c>
      <c r="C197" s="1" t="s">
        <v>15</v>
      </c>
      <c r="D197" s="1">
        <v>23.1</v>
      </c>
      <c r="E197" s="1">
        <v>180</v>
      </c>
      <c r="F197" s="1">
        <v>45</v>
      </c>
      <c r="G197" s="1">
        <v>0.39099218392374258</v>
      </c>
      <c r="H197" s="1">
        <v>1.8213404373275173</v>
      </c>
      <c r="I197" s="1">
        <v>460.72036861653953</v>
      </c>
      <c r="J197" s="1" t="s">
        <v>83</v>
      </c>
      <c r="K197" s="1">
        <f t="shared" si="9"/>
        <v>0.45066506740207024</v>
      </c>
      <c r="L197" s="1">
        <f t="shared" si="10"/>
        <v>0.89970506320593624</v>
      </c>
      <c r="M197" s="1">
        <f t="shared" si="11"/>
        <v>227.30926773045013</v>
      </c>
    </row>
    <row r="198" spans="1:19" x14ac:dyDescent="0.3">
      <c r="A198" s="1">
        <v>196</v>
      </c>
      <c r="C198" s="1" t="s">
        <v>15</v>
      </c>
      <c r="D198" s="1">
        <v>23.1</v>
      </c>
      <c r="E198" s="1">
        <v>182</v>
      </c>
      <c r="F198" s="1">
        <v>0</v>
      </c>
      <c r="J198" s="1" t="s">
        <v>83</v>
      </c>
      <c r="K198" s="1">
        <f t="shared" si="9"/>
        <v>0</v>
      </c>
      <c r="L198" s="1">
        <f t="shared" si="10"/>
        <v>0</v>
      </c>
      <c r="M198" s="1">
        <f t="shared" si="11"/>
        <v>0</v>
      </c>
      <c r="N198" s="1">
        <f>SLOPE(K198:K201,F198:F201)</f>
        <v>0</v>
      </c>
      <c r="O198" s="1">
        <f>SLOPE(L198:L201,F198:F201)</f>
        <v>0</v>
      </c>
      <c r="P198" s="1">
        <f>SLOPE(M198:M201,F198:F201)</f>
        <v>0</v>
      </c>
      <c r="Q198" s="1">
        <f>(N198*41.35/0.31*60)/1000</f>
        <v>0</v>
      </c>
      <c r="R198" s="1">
        <f>O198*41.35/0.31*60/1000</f>
        <v>0</v>
      </c>
      <c r="S198" s="1">
        <f>(P198*41.35/0.31*60)/1000</f>
        <v>0</v>
      </c>
    </row>
    <row r="199" spans="1:19" x14ac:dyDescent="0.3">
      <c r="A199" s="1">
        <v>197</v>
      </c>
      <c r="C199" s="1" t="s">
        <v>15</v>
      </c>
      <c r="D199" s="1">
        <v>23.1</v>
      </c>
      <c r="E199" s="1">
        <v>183</v>
      </c>
      <c r="F199" s="1">
        <v>15</v>
      </c>
      <c r="J199" s="1" t="s">
        <v>83</v>
      </c>
      <c r="K199" s="1">
        <f t="shared" si="9"/>
        <v>0</v>
      </c>
      <c r="L199" s="1">
        <f t="shared" si="10"/>
        <v>0</v>
      </c>
      <c r="M199" s="1">
        <f t="shared" si="11"/>
        <v>0</v>
      </c>
    </row>
    <row r="200" spans="1:19" x14ac:dyDescent="0.3">
      <c r="A200" s="1">
        <v>198</v>
      </c>
      <c r="C200" s="1" t="s">
        <v>15</v>
      </c>
      <c r="D200" s="1">
        <v>23.1</v>
      </c>
      <c r="E200" s="1">
        <v>184</v>
      </c>
      <c r="F200" s="1">
        <v>30</v>
      </c>
      <c r="J200" s="1" t="s">
        <v>83</v>
      </c>
      <c r="K200" s="1">
        <f t="shared" si="9"/>
        <v>0</v>
      </c>
      <c r="L200" s="1">
        <f t="shared" si="10"/>
        <v>0</v>
      </c>
      <c r="M200" s="1">
        <f t="shared" si="11"/>
        <v>0</v>
      </c>
    </row>
    <row r="201" spans="1:19" x14ac:dyDescent="0.3">
      <c r="A201" s="1">
        <v>199</v>
      </c>
      <c r="C201" s="1" t="s">
        <v>15</v>
      </c>
      <c r="D201" s="1">
        <v>23.1</v>
      </c>
      <c r="E201" s="1" t="s">
        <v>88</v>
      </c>
      <c r="K201" s="1">
        <f t="shared" si="9"/>
        <v>0</v>
      </c>
      <c r="L201" s="1">
        <f t="shared" si="10"/>
        <v>0</v>
      </c>
      <c r="M201" s="1">
        <f t="shared" si="11"/>
        <v>0</v>
      </c>
    </row>
    <row r="202" spans="1:19" x14ac:dyDescent="0.3">
      <c r="A202" s="1">
        <v>200</v>
      </c>
      <c r="C202" s="1" t="s">
        <v>15</v>
      </c>
      <c r="D202" s="1">
        <v>23.1</v>
      </c>
      <c r="E202" s="1" t="s">
        <v>89</v>
      </c>
      <c r="G202" s="1">
        <v>0.38747148451800134</v>
      </c>
      <c r="H202" s="1">
        <v>1.8168979395558111</v>
      </c>
      <c r="I202" s="1">
        <v>397.77408325898028</v>
      </c>
      <c r="K202" s="1">
        <f t="shared" si="9"/>
        <v>0.44660704194726919</v>
      </c>
      <c r="L202" s="1">
        <f t="shared" si="10"/>
        <v>0.89751055982997774</v>
      </c>
      <c r="M202" s="1">
        <f t="shared" si="11"/>
        <v>196.25295894613498</v>
      </c>
    </row>
    <row r="203" spans="1:19" x14ac:dyDescent="0.3">
      <c r="A203" s="1">
        <v>201</v>
      </c>
      <c r="B203" s="1" t="s">
        <v>97</v>
      </c>
      <c r="C203" s="1" t="s">
        <v>29</v>
      </c>
      <c r="D203" s="1">
        <v>24.2</v>
      </c>
      <c r="E203" s="1">
        <v>501</v>
      </c>
      <c r="F203" s="1">
        <v>0</v>
      </c>
      <c r="G203" s="1">
        <v>0.38895588751069227</v>
      </c>
      <c r="H203" s="1">
        <v>1.8779822839167735</v>
      </c>
      <c r="I203" s="1">
        <v>511.59320076403168</v>
      </c>
      <c r="J203" s="1" t="s">
        <v>16</v>
      </c>
      <c r="K203" s="1">
        <f t="shared" si="9"/>
        <v>0.44665951064891846</v>
      </c>
      <c r="L203" s="1">
        <f t="shared" si="10"/>
        <v>0.92425315518795215</v>
      </c>
      <c r="M203" s="1">
        <f t="shared" si="11"/>
        <v>251.47505397017463</v>
      </c>
      <c r="N203" s="1">
        <f>SLOPE(K203:K206,F203:F206)</f>
        <v>8.5573475074560655E-4</v>
      </c>
      <c r="O203" s="1">
        <f>SLOPE(L203:L206,F203:F206)</f>
        <v>-1.7491081220857963E-4</v>
      </c>
      <c r="P203" s="1">
        <f>SLOPE(M203:M206,F203:F206)</f>
        <v>7.882708653768054</v>
      </c>
      <c r="Q203" s="1">
        <f>(N203*84.63/0.31*60)/1000</f>
        <v>1.4016935217213033E-2</v>
      </c>
      <c r="R203" s="1">
        <f>O203*84.63/0.31*60</f>
        <v>-2.8650391039765344</v>
      </c>
      <c r="S203" s="1">
        <f>(P203*84.63/0.31*60)/1000</f>
        <v>129.11876774872073</v>
      </c>
    </row>
    <row r="204" spans="1:19" x14ac:dyDescent="0.3">
      <c r="A204" s="1">
        <v>202</v>
      </c>
      <c r="B204" s="1" t="s">
        <v>98</v>
      </c>
      <c r="C204" s="1" t="s">
        <v>29</v>
      </c>
      <c r="D204" s="1">
        <v>24.2</v>
      </c>
      <c r="E204" s="1">
        <v>502</v>
      </c>
      <c r="F204" s="1">
        <v>15</v>
      </c>
      <c r="G204" s="1">
        <v>0.40014600237866965</v>
      </c>
      <c r="H204" s="1">
        <v>1.8679866639304341</v>
      </c>
      <c r="I204" s="1">
        <v>709.07082077149903</v>
      </c>
      <c r="J204" s="1" t="s">
        <v>16</v>
      </c>
      <c r="K204" s="1">
        <f t="shared" si="9"/>
        <v>0.45950973709239545</v>
      </c>
      <c r="L204" s="1">
        <f t="shared" si="10"/>
        <v>0.91933378859458581</v>
      </c>
      <c r="M204" s="1">
        <f t="shared" si="11"/>
        <v>348.54572472012683</v>
      </c>
    </row>
    <row r="205" spans="1:19" x14ac:dyDescent="0.3">
      <c r="A205" s="1">
        <v>203</v>
      </c>
      <c r="C205" s="1" t="s">
        <v>29</v>
      </c>
      <c r="D205" s="1">
        <v>24.2</v>
      </c>
      <c r="E205" s="1">
        <v>503</v>
      </c>
      <c r="F205" s="1">
        <v>30</v>
      </c>
      <c r="G205" s="1">
        <v>0.41252554272155972</v>
      </c>
      <c r="H205" s="1">
        <v>1.8679866639304341</v>
      </c>
      <c r="I205" s="1">
        <v>963.98040856462001</v>
      </c>
      <c r="J205" s="1" t="s">
        <v>16</v>
      </c>
      <c r="K205" s="1">
        <f t="shared" si="9"/>
        <v>0.47372584644865712</v>
      </c>
      <c r="L205" s="1">
        <f t="shared" si="10"/>
        <v>0.91933378859458581</v>
      </c>
      <c r="M205" s="1">
        <f t="shared" si="11"/>
        <v>473.84723821181461</v>
      </c>
    </row>
    <row r="206" spans="1:19" x14ac:dyDescent="0.3">
      <c r="A206" s="1">
        <v>204</v>
      </c>
      <c r="C206" s="1" t="s">
        <v>29</v>
      </c>
      <c r="D206" s="1">
        <v>24.2</v>
      </c>
      <c r="E206" s="1">
        <v>504</v>
      </c>
      <c r="F206" s="1">
        <v>45</v>
      </c>
      <c r="G206" s="1">
        <v>0.42208852353985676</v>
      </c>
      <c r="H206" s="1">
        <v>1.8602122928299478</v>
      </c>
      <c r="I206" s="1">
        <v>1228.4404741415335</v>
      </c>
      <c r="J206" s="1" t="s">
        <v>16</v>
      </c>
      <c r="K206" s="1">
        <f t="shared" si="9"/>
        <v>0.4847075450674449</v>
      </c>
      <c r="L206" s="1">
        <f t="shared" si="10"/>
        <v>0.91550761457752317</v>
      </c>
      <c r="M206" s="1">
        <f t="shared" si="11"/>
        <v>603.84331549468141</v>
      </c>
    </row>
    <row r="207" spans="1:19" x14ac:dyDescent="0.3">
      <c r="A207" s="1">
        <v>205</v>
      </c>
      <c r="C207" s="1" t="s">
        <v>29</v>
      </c>
      <c r="D207" s="1">
        <v>24.2</v>
      </c>
      <c r="E207" s="1">
        <v>505</v>
      </c>
      <c r="F207" s="1">
        <v>0</v>
      </c>
      <c r="G207" s="1">
        <v>0.38966002739184047</v>
      </c>
      <c r="H207" s="1">
        <v>1.9035266461040847</v>
      </c>
      <c r="I207" s="1">
        <v>411.86611696678494</v>
      </c>
      <c r="J207" s="1" t="s">
        <v>16</v>
      </c>
      <c r="K207" s="1">
        <f t="shared" si="9"/>
        <v>0.44746811333328684</v>
      </c>
      <c r="L207" s="1">
        <f t="shared" si="10"/>
        <v>0.93682486981544355</v>
      </c>
      <c r="M207" s="1">
        <f t="shared" si="11"/>
        <v>202.45392987636916</v>
      </c>
      <c r="N207" s="1">
        <f>SLOPE(K207:K210,F207:F210)</f>
        <v>1.0880441165520055E-3</v>
      </c>
      <c r="O207" s="1">
        <f>SLOPE(L207:L210,F207:F210)</f>
        <v>-4.810047335735875E-4</v>
      </c>
      <c r="P207" s="1">
        <f>SLOPE(M207:M210,F207:F210)</f>
        <v>8.9352492381053228</v>
      </c>
      <c r="Q207" s="1">
        <f>(N207*84.63/0.31*60)/1000</f>
        <v>1.7822162629121847E-2</v>
      </c>
      <c r="R207" s="1">
        <f>O207*84.63/0.31*60</f>
        <v>-7.8788575359353628</v>
      </c>
      <c r="S207" s="1">
        <f>(P207*84.63/0.31*60)/1000</f>
        <v>146.35938252016518</v>
      </c>
    </row>
    <row r="208" spans="1:19" x14ac:dyDescent="0.3">
      <c r="A208" s="1">
        <v>206</v>
      </c>
      <c r="C208" s="1" t="s">
        <v>29</v>
      </c>
      <c r="D208" s="1">
        <v>24.2</v>
      </c>
      <c r="E208" s="1">
        <v>506</v>
      </c>
      <c r="F208" s="1">
        <v>15</v>
      </c>
      <c r="G208" s="1">
        <v>0.40910951275761076</v>
      </c>
      <c r="H208" s="1">
        <v>1.8690972883733605</v>
      </c>
      <c r="I208" s="1">
        <v>785.85193845465255</v>
      </c>
      <c r="J208" s="1" t="s">
        <v>16</v>
      </c>
      <c r="K208" s="1">
        <f t="shared" si="9"/>
        <v>0.46980303072313984</v>
      </c>
      <c r="L208" s="1">
        <f t="shared" si="10"/>
        <v>0.9198803848827376</v>
      </c>
      <c r="M208" s="1">
        <f t="shared" si="11"/>
        <v>386.28769565411363</v>
      </c>
    </row>
    <row r="209" spans="1:19" x14ac:dyDescent="0.3">
      <c r="A209" s="1">
        <v>207</v>
      </c>
      <c r="C209" s="1" t="s">
        <v>29</v>
      </c>
      <c r="D209" s="1">
        <v>24.2</v>
      </c>
      <c r="E209" s="1">
        <v>507</v>
      </c>
      <c r="F209" s="1">
        <v>30</v>
      </c>
      <c r="G209" s="1">
        <v>0.42026156601039105</v>
      </c>
      <c r="H209" s="1">
        <v>1.8591016683870212</v>
      </c>
      <c r="I209" s="1">
        <v>1004.8654205002032</v>
      </c>
      <c r="J209" s="1" t="s">
        <v>16</v>
      </c>
      <c r="K209" s="1">
        <f t="shared" si="9"/>
        <v>0.48260954891340785</v>
      </c>
      <c r="L209" s="1">
        <f t="shared" si="10"/>
        <v>0.91496101828937138</v>
      </c>
      <c r="M209" s="1">
        <f t="shared" si="11"/>
        <v>493.9443790020307</v>
      </c>
    </row>
    <row r="210" spans="1:19" x14ac:dyDescent="0.3">
      <c r="A210" s="1">
        <v>208</v>
      </c>
      <c r="C210" s="1" t="s">
        <v>29</v>
      </c>
      <c r="D210" s="1">
        <v>24.2</v>
      </c>
      <c r="E210" s="1">
        <v>508</v>
      </c>
      <c r="F210" s="1">
        <v>45</v>
      </c>
      <c r="G210" s="1">
        <v>0.43331670002303141</v>
      </c>
      <c r="H210" s="1">
        <v>1.8579910439440948</v>
      </c>
      <c r="I210" s="1">
        <v>1247.7415864267916</v>
      </c>
      <c r="J210" s="1" t="s">
        <v>16</v>
      </c>
      <c r="K210" s="1">
        <f t="shared" si="9"/>
        <v>0.4976014797641311</v>
      </c>
      <c r="L210" s="1">
        <f t="shared" si="10"/>
        <v>0.91441442200121958</v>
      </c>
      <c r="M210" s="1">
        <f t="shared" si="11"/>
        <v>613.33083066566292</v>
      </c>
    </row>
    <row r="211" spans="1:19" x14ac:dyDescent="0.3">
      <c r="A211" s="1">
        <v>209</v>
      </c>
      <c r="C211" s="1" t="s">
        <v>29</v>
      </c>
      <c r="D211" s="1">
        <v>24.2</v>
      </c>
      <c r="E211" s="1">
        <v>509</v>
      </c>
      <c r="F211" s="1">
        <v>0</v>
      </c>
      <c r="G211" s="1">
        <v>0.39032610565779152</v>
      </c>
      <c r="H211" s="1">
        <v>1.8824247816884796</v>
      </c>
      <c r="I211" s="1">
        <v>416.63184841459173</v>
      </c>
      <c r="J211" s="1" t="s">
        <v>16</v>
      </c>
      <c r="K211" s="1">
        <f t="shared" si="9"/>
        <v>0.44823300776444625</v>
      </c>
      <c r="L211" s="1">
        <f t="shared" si="10"/>
        <v>0.92643954034055931</v>
      </c>
      <c r="M211" s="1">
        <f t="shared" si="11"/>
        <v>204.79653836149899</v>
      </c>
      <c r="N211" s="1">
        <f>SLOPE(K211:K214,F211:F214)</f>
        <v>6.9000762399441459E-4</v>
      </c>
      <c r="O211" s="1">
        <f>SLOPE(L211:L214,F211:F214)</f>
        <v>-2.660101935672099E-4</v>
      </c>
      <c r="P211" s="1">
        <f>SLOPE(M211:M214,F211:F214)</f>
        <v>5.4116387737585772</v>
      </c>
      <c r="Q211" s="1">
        <f>(N211*84.63/0.31*60)/1000</f>
        <v>1.1302324881028511E-2</v>
      </c>
      <c r="R211" s="1">
        <f>O211*84.63/0.31*60</f>
        <v>-4.3572469706308983</v>
      </c>
      <c r="S211" s="1">
        <f>(P211*84.63/0.31*60)/1000</f>
        <v>88.642643114165494</v>
      </c>
    </row>
    <row r="212" spans="1:19" x14ac:dyDescent="0.3">
      <c r="A212" s="1">
        <v>210</v>
      </c>
      <c r="C212" s="1" t="s">
        <v>29</v>
      </c>
      <c r="D212" s="1">
        <v>24.2</v>
      </c>
      <c r="E212" s="1">
        <v>510</v>
      </c>
      <c r="F212" s="1">
        <v>15</v>
      </c>
      <c r="G212" s="1">
        <v>0.40032679505085644</v>
      </c>
      <c r="H212" s="1">
        <v>1.8635441661587278</v>
      </c>
      <c r="I212" s="1">
        <v>630.86458725851003</v>
      </c>
      <c r="J212" s="1" t="s">
        <v>16</v>
      </c>
      <c r="K212" s="1">
        <f t="shared" si="9"/>
        <v>0.4597173512951388</v>
      </c>
      <c r="L212" s="1">
        <f t="shared" si="10"/>
        <v>0.91714740344197865</v>
      </c>
      <c r="M212" s="1">
        <f t="shared" si="11"/>
        <v>310.10323415513943</v>
      </c>
    </row>
    <row r="213" spans="1:19" x14ac:dyDescent="0.3">
      <c r="A213" s="1">
        <v>211</v>
      </c>
      <c r="C213" s="1" t="s">
        <v>29</v>
      </c>
      <c r="D213" s="1">
        <v>24.2</v>
      </c>
      <c r="E213" s="1">
        <v>511</v>
      </c>
      <c r="F213" s="1">
        <v>30</v>
      </c>
      <c r="G213" s="1">
        <v>0.41144078668843942</v>
      </c>
      <c r="H213" s="1">
        <v>1.8824247816884796</v>
      </c>
      <c r="I213" s="1">
        <v>778.7143499024146</v>
      </c>
      <c r="J213" s="1" t="s">
        <v>16</v>
      </c>
      <c r="K213" s="1">
        <f t="shared" si="9"/>
        <v>0.47248016123219755</v>
      </c>
      <c r="L213" s="1">
        <f t="shared" si="10"/>
        <v>0.92643954034055931</v>
      </c>
      <c r="M213" s="1">
        <f t="shared" si="11"/>
        <v>382.7791942437932</v>
      </c>
    </row>
    <row r="214" spans="1:19" x14ac:dyDescent="0.3">
      <c r="A214" s="1">
        <v>212</v>
      </c>
      <c r="C214" s="1" t="s">
        <v>29</v>
      </c>
      <c r="D214" s="1">
        <v>24.2</v>
      </c>
      <c r="E214" s="1">
        <v>512</v>
      </c>
      <c r="F214" s="1">
        <v>45</v>
      </c>
      <c r="G214" s="1">
        <v>0.41666474337425546</v>
      </c>
      <c r="H214" s="1">
        <v>1.849106048400682</v>
      </c>
      <c r="I214" s="1">
        <v>917.81226006604425</v>
      </c>
      <c r="J214" s="1" t="s">
        <v>16</v>
      </c>
      <c r="K214" s="1">
        <f t="shared" si="9"/>
        <v>0.47847911898514739</v>
      </c>
      <c r="L214" s="1">
        <f t="shared" si="10"/>
        <v>0.91004165169600526</v>
      </c>
      <c r="M214" s="1">
        <f t="shared" si="11"/>
        <v>451.15315701987657</v>
      </c>
    </row>
    <row r="215" spans="1:19" x14ac:dyDescent="0.3">
      <c r="A215" s="1">
        <v>213</v>
      </c>
      <c r="C215" s="1" t="s">
        <v>29</v>
      </c>
      <c r="D215" s="1">
        <v>24.2</v>
      </c>
      <c r="E215" s="1">
        <v>513</v>
      </c>
      <c r="F215" s="1">
        <v>0</v>
      </c>
      <c r="G215" s="1">
        <v>0.38924134962467127</v>
      </c>
      <c r="H215" s="1">
        <v>1.8724291617021405</v>
      </c>
      <c r="I215" s="1">
        <v>432.39619149855872</v>
      </c>
      <c r="J215" s="1" t="s">
        <v>16</v>
      </c>
      <c r="K215" s="1">
        <f t="shared" si="9"/>
        <v>0.44698732254798673</v>
      </c>
      <c r="L215" s="1">
        <f t="shared" si="10"/>
        <v>0.92152017374719319</v>
      </c>
      <c r="M215" s="1">
        <f t="shared" si="11"/>
        <v>212.54554484150006</v>
      </c>
      <c r="N215" s="1">
        <f>SLOPE(K215:K218,F215:F218)</f>
        <v>6.0164410542333827E-4</v>
      </c>
      <c r="O215" s="1">
        <f>SLOPE(L215:L218,F215:F218)</f>
        <v>-1.9677466373464977E-4</v>
      </c>
      <c r="P215" s="1">
        <f>SLOPE(M215:M218,F215:F218)</f>
        <v>4.7115782848382173</v>
      </c>
      <c r="Q215" s="1">
        <f>(N215*84.63/0.31*60)/1000</f>
        <v>9.854930446834281E-3</v>
      </c>
      <c r="R215" s="1">
        <f>O215*84.63/0.31*60</f>
        <v>-3.2231689919735631</v>
      </c>
      <c r="S215" s="1">
        <f>(P215*84.63/0.31*60)/1000</f>
        <v>77.175652305650004</v>
      </c>
    </row>
    <row r="216" spans="1:19" x14ac:dyDescent="0.3">
      <c r="A216" s="1">
        <v>214</v>
      </c>
      <c r="C216" s="1" t="s">
        <v>29</v>
      </c>
      <c r="D216" s="1">
        <v>24.2</v>
      </c>
      <c r="E216" s="1">
        <v>514</v>
      </c>
      <c r="F216" s="1">
        <v>15</v>
      </c>
      <c r="G216" s="1">
        <v>0.40350493991982278</v>
      </c>
      <c r="H216" s="1">
        <v>1.8746504105879935</v>
      </c>
      <c r="I216" s="1">
        <v>646.91815679951526</v>
      </c>
      <c r="J216" s="1" t="s">
        <v>16</v>
      </c>
      <c r="K216" s="1">
        <f t="shared" si="9"/>
        <v>0.46336699043809909</v>
      </c>
      <c r="L216" s="1">
        <f t="shared" si="10"/>
        <v>0.92261336632349666</v>
      </c>
      <c r="M216" s="1">
        <f t="shared" si="11"/>
        <v>317.99441070070168</v>
      </c>
    </row>
    <row r="217" spans="1:19" x14ac:dyDescent="0.3">
      <c r="A217" s="1">
        <v>215</v>
      </c>
      <c r="C217" s="1" t="s">
        <v>29</v>
      </c>
      <c r="D217" s="1">
        <v>24.2</v>
      </c>
      <c r="E217" s="1">
        <v>515</v>
      </c>
      <c r="F217" s="1">
        <v>30</v>
      </c>
      <c r="G217" s="1">
        <v>0.41121241699725619</v>
      </c>
      <c r="H217" s="1">
        <v>1.8613229172728747</v>
      </c>
      <c r="I217" s="1">
        <v>767.82382289379791</v>
      </c>
      <c r="J217" s="1" t="s">
        <v>16</v>
      </c>
      <c r="K217" s="1">
        <f t="shared" si="9"/>
        <v>0.47221791171294292</v>
      </c>
      <c r="L217" s="1">
        <f t="shared" si="10"/>
        <v>0.91605421086567507</v>
      </c>
      <c r="M217" s="1">
        <f t="shared" si="11"/>
        <v>377.42592554677873</v>
      </c>
    </row>
    <row r="218" spans="1:19" x14ac:dyDescent="0.3">
      <c r="A218" s="1">
        <v>216</v>
      </c>
      <c r="C218" s="1" t="s">
        <v>29</v>
      </c>
      <c r="D218" s="1">
        <v>24.2</v>
      </c>
      <c r="E218" s="1">
        <v>516</v>
      </c>
      <c r="F218" s="1">
        <v>45</v>
      </c>
      <c r="G218" s="1">
        <v>0.41286809725833445</v>
      </c>
      <c r="H218" s="1">
        <v>1.8568804195011683</v>
      </c>
      <c r="I218" s="1">
        <v>871.34888040889984</v>
      </c>
      <c r="J218" s="1" t="s">
        <v>16</v>
      </c>
      <c r="K218" s="1">
        <f t="shared" si="9"/>
        <v>0.47411922072753904</v>
      </c>
      <c r="L218" s="1">
        <f t="shared" si="10"/>
        <v>0.91386782571306791</v>
      </c>
      <c r="M218" s="1">
        <f t="shared" si="11"/>
        <v>428.31395413471859</v>
      </c>
    </row>
    <row r="219" spans="1:19" x14ac:dyDescent="0.3">
      <c r="A219" s="1">
        <v>217</v>
      </c>
      <c r="C219" s="1" t="s">
        <v>29</v>
      </c>
      <c r="D219" s="1">
        <v>24.2</v>
      </c>
      <c r="E219" s="1">
        <v>517</v>
      </c>
      <c r="F219" s="1">
        <v>0</v>
      </c>
      <c r="G219" s="1">
        <v>0.38898443372209013</v>
      </c>
      <c r="H219" s="1">
        <v>1.8779822839167735</v>
      </c>
      <c r="I219" s="1">
        <v>415.67509930411217</v>
      </c>
      <c r="J219" s="1" t="s">
        <v>16</v>
      </c>
      <c r="K219" s="1">
        <f t="shared" si="9"/>
        <v>0.44669229183882525</v>
      </c>
      <c r="L219" s="1">
        <f t="shared" si="10"/>
        <v>0.92425315518795215</v>
      </c>
      <c r="M219" s="1">
        <f t="shared" si="11"/>
        <v>204.32624568787779</v>
      </c>
      <c r="N219" s="1">
        <f>SLOPE(K219:K222,F219:F222)</f>
        <v>2.9051418966318947E-4</v>
      </c>
      <c r="O219" s="1">
        <f>SLOPE(L219:L222,F219:F222)</f>
        <v>-1.7855478746292268E-4</v>
      </c>
      <c r="P219" s="1">
        <f>SLOPE(M219:M222,F219:F222)</f>
        <v>5.6751272952653684</v>
      </c>
      <c r="Q219" s="1">
        <f>(N219*84.63/0.31*60)/1000</f>
        <v>4.7586224266830436E-3</v>
      </c>
      <c r="R219" s="1">
        <f>O219*84.63/0.31*60</f>
        <v>-2.9247274186426737</v>
      </c>
      <c r="S219" s="1">
        <f>(P219*84.63/0.31*60)/1000</f>
        <v>92.95858509644674</v>
      </c>
    </row>
    <row r="220" spans="1:19" x14ac:dyDescent="0.3">
      <c r="A220" s="1">
        <v>218</v>
      </c>
      <c r="C220" s="1" t="s">
        <v>29</v>
      </c>
      <c r="D220" s="1">
        <v>24.2</v>
      </c>
      <c r="E220" s="1">
        <v>518</v>
      </c>
      <c r="F220" s="1">
        <v>15</v>
      </c>
      <c r="G220" s="1">
        <v>0.39562618557400192</v>
      </c>
      <c r="H220" s="1">
        <v>1.87576103503092</v>
      </c>
      <c r="I220" s="1">
        <v>700.98649094466532</v>
      </c>
      <c r="J220" s="1" t="s">
        <v>16</v>
      </c>
      <c r="K220" s="1">
        <f t="shared" si="9"/>
        <v>0.45431938202381417</v>
      </c>
      <c r="L220" s="1">
        <f t="shared" si="10"/>
        <v>0.92315996261164834</v>
      </c>
      <c r="M220" s="1">
        <f t="shared" si="11"/>
        <v>344.57185001561646</v>
      </c>
    </row>
    <row r="221" spans="1:19" x14ac:dyDescent="0.3">
      <c r="A221" s="1">
        <v>219</v>
      </c>
      <c r="C221" s="1" t="s">
        <v>29</v>
      </c>
      <c r="D221" s="1">
        <v>24.2</v>
      </c>
      <c r="E221" s="1">
        <v>519</v>
      </c>
      <c r="F221" s="1">
        <v>30</v>
      </c>
      <c r="G221" s="1">
        <v>0.39689173427930891</v>
      </c>
      <c r="H221" s="1">
        <v>1.8646547906016542</v>
      </c>
      <c r="I221" s="1">
        <v>830.75509649753167</v>
      </c>
      <c r="J221" s="1" t="s">
        <v>16</v>
      </c>
      <c r="K221" s="1">
        <f t="shared" si="9"/>
        <v>0.45577268144301691</v>
      </c>
      <c r="L221" s="1">
        <f t="shared" si="10"/>
        <v>0.91769399973013044</v>
      </c>
      <c r="M221" s="1">
        <f t="shared" si="11"/>
        <v>408.35996728595001</v>
      </c>
    </row>
    <row r="222" spans="1:19" x14ac:dyDescent="0.3">
      <c r="A222" s="1">
        <v>220</v>
      </c>
      <c r="C222" s="1" t="s">
        <v>29</v>
      </c>
      <c r="D222" s="1">
        <v>24.2</v>
      </c>
      <c r="E222" s="1">
        <v>520</v>
      </c>
      <c r="F222" s="1">
        <v>45</v>
      </c>
      <c r="G222" s="1">
        <v>0.40121172760419133</v>
      </c>
      <c r="H222" s="1">
        <v>1.8635441661587278</v>
      </c>
      <c r="I222" s="1">
        <v>949.68421500478837</v>
      </c>
      <c r="J222" s="1" t="s">
        <v>16</v>
      </c>
      <c r="K222" s="1">
        <f t="shared" si="9"/>
        <v>0.46073356818225047</v>
      </c>
      <c r="L222" s="1">
        <f t="shared" si="10"/>
        <v>0.91714740344197865</v>
      </c>
      <c r="M222" s="1">
        <f t="shared" si="11"/>
        <v>466.81990469436835</v>
      </c>
    </row>
    <row r="223" spans="1:19" x14ac:dyDescent="0.3">
      <c r="A223" s="1">
        <v>221</v>
      </c>
      <c r="C223" s="1" t="s">
        <v>29</v>
      </c>
      <c r="D223" s="1">
        <v>24.2</v>
      </c>
      <c r="E223" s="1">
        <v>521</v>
      </c>
      <c r="F223" s="1">
        <v>0</v>
      </c>
      <c r="G223" s="1">
        <v>0.39003112814001317</v>
      </c>
      <c r="H223" s="1">
        <v>1.8879779039031124</v>
      </c>
      <c r="I223" s="1">
        <v>410.89435610248</v>
      </c>
      <c r="J223" s="1" t="s">
        <v>16</v>
      </c>
      <c r="K223" s="1">
        <f t="shared" si="9"/>
        <v>0.44789426880207561</v>
      </c>
      <c r="L223" s="1">
        <f t="shared" si="10"/>
        <v>0.92917252178131826</v>
      </c>
      <c r="M223" s="1">
        <f t="shared" si="11"/>
        <v>201.97625813360119</v>
      </c>
      <c r="N223" s="1">
        <f>SLOPE(K223:K226,F223:F226)</f>
        <v>3.5542094567871276E-4</v>
      </c>
      <c r="O223" s="1">
        <f>SLOPE(L223:L226,F223:F226)</f>
        <v>-1.8584273797161025E-4</v>
      </c>
      <c r="P223" s="1">
        <f>SLOPE(M223:M226,F223:F226)</f>
        <v>6.1661633521547188</v>
      </c>
      <c r="Q223" s="1">
        <f>(N223*84.63/0.31*60)/1000</f>
        <v>5.8217950902173157E-3</v>
      </c>
      <c r="R223" s="1">
        <f>O223*84.63/0.31*60</f>
        <v>-3.0441040479749759</v>
      </c>
      <c r="S223" s="1">
        <f>(P223*84.63/0.31*60)/1000</f>
        <v>101.00175570829428</v>
      </c>
    </row>
    <row r="224" spans="1:19" x14ac:dyDescent="0.3">
      <c r="A224" s="1">
        <v>222</v>
      </c>
      <c r="C224" s="1" t="s">
        <v>29</v>
      </c>
      <c r="D224" s="1">
        <v>24.2</v>
      </c>
      <c r="E224" s="1">
        <v>522</v>
      </c>
      <c r="F224" s="1">
        <v>15</v>
      </c>
      <c r="G224" s="1">
        <v>0.40003181753307809</v>
      </c>
      <c r="H224" s="1">
        <v>1.8602122928299478</v>
      </c>
      <c r="I224" s="1">
        <v>741.49220590025698</v>
      </c>
      <c r="J224" s="1" t="s">
        <v>16</v>
      </c>
      <c r="K224" s="1">
        <f t="shared" si="9"/>
        <v>0.45937861233276822</v>
      </c>
      <c r="L224" s="1">
        <f t="shared" si="10"/>
        <v>0.91550761457752317</v>
      </c>
      <c r="M224" s="1">
        <f t="shared" si="11"/>
        <v>364.4825463253905</v>
      </c>
    </row>
    <row r="225" spans="1:19" x14ac:dyDescent="0.3">
      <c r="A225" s="1">
        <v>223</v>
      </c>
      <c r="C225" s="1" t="s">
        <v>29</v>
      </c>
      <c r="D225" s="1">
        <v>24.2</v>
      </c>
      <c r="E225" s="1">
        <v>523</v>
      </c>
      <c r="F225" s="1">
        <v>30</v>
      </c>
      <c r="G225" s="1">
        <v>0.40024115641666269</v>
      </c>
      <c r="H225" s="1">
        <v>1.8568804195011683</v>
      </c>
      <c r="I225" s="1">
        <v>810.30808700359262</v>
      </c>
      <c r="J225" s="1" t="s">
        <v>16</v>
      </c>
      <c r="K225" s="1">
        <f t="shared" si="9"/>
        <v>0.45961900772541825</v>
      </c>
      <c r="L225" s="1">
        <f t="shared" si="10"/>
        <v>0.91386782571306791</v>
      </c>
      <c r="M225" s="1">
        <f t="shared" si="11"/>
        <v>398.30918317009798</v>
      </c>
    </row>
    <row r="226" spans="1:19" x14ac:dyDescent="0.3">
      <c r="A226" s="1">
        <v>224</v>
      </c>
      <c r="C226" s="1" t="s">
        <v>29</v>
      </c>
      <c r="D226" s="1">
        <v>24.2</v>
      </c>
      <c r="E226" s="1">
        <v>524</v>
      </c>
      <c r="F226" s="1">
        <v>45</v>
      </c>
      <c r="G226" s="1">
        <v>0.40543656689108082</v>
      </c>
      <c r="H226" s="1">
        <v>1.8702079128162872</v>
      </c>
      <c r="I226" s="1">
        <v>1015.168487542448</v>
      </c>
      <c r="J226" s="1" t="s">
        <v>16</v>
      </c>
      <c r="K226" s="1">
        <f t="shared" si="9"/>
        <v>0.46558518428846124</v>
      </c>
      <c r="L226" s="1">
        <f t="shared" si="10"/>
        <v>0.9204269811708895</v>
      </c>
      <c r="M226" s="1">
        <f t="shared" si="11"/>
        <v>499.00888012643463</v>
      </c>
    </row>
    <row r="227" spans="1:19" x14ac:dyDescent="0.3">
      <c r="A227" s="1">
        <v>225</v>
      </c>
      <c r="C227" s="1" t="s">
        <v>29</v>
      </c>
      <c r="D227" s="1">
        <v>24.2</v>
      </c>
      <c r="E227" s="1">
        <v>525</v>
      </c>
      <c r="F227" s="1">
        <v>0</v>
      </c>
      <c r="G227" s="1">
        <v>0.39055447534897469</v>
      </c>
      <c r="H227" s="1">
        <v>1.905747894989938</v>
      </c>
      <c r="I227" s="1">
        <v>430.73388995828009</v>
      </c>
      <c r="J227" s="1" t="s">
        <v>83</v>
      </c>
      <c r="K227" s="1">
        <f t="shared" si="9"/>
        <v>0.44849525728370082</v>
      </c>
      <c r="L227" s="1">
        <f t="shared" si="10"/>
        <v>0.93791806239174724</v>
      </c>
      <c r="M227" s="1">
        <f t="shared" si="11"/>
        <v>211.72843591798039</v>
      </c>
      <c r="N227" s="1">
        <f>SLOPE(K227:K230,F227:F230)</f>
        <v>-7.7217914002754751E-6</v>
      </c>
      <c r="O227" s="1">
        <f>SLOPE(L227:L230,F227:F230)</f>
        <v>8.3811430849942692E-5</v>
      </c>
      <c r="P227" s="1">
        <f>SLOPE(M227:M230,F227:F230)</f>
        <v>1.8903469769170664</v>
      </c>
      <c r="Q227" s="1">
        <f>(N227*84.63/0.31*60)/1000</f>
        <v>-1.2648294313651225E-4</v>
      </c>
      <c r="R227" s="1">
        <f>O227*84.63/0.31*60</f>
        <v>1.3728312373220612</v>
      </c>
      <c r="S227" s="1">
        <f>(P227*84.63/0.31*60)/1000</f>
        <v>30.963883481901547</v>
      </c>
    </row>
    <row r="228" spans="1:19" x14ac:dyDescent="0.3">
      <c r="A228" s="1">
        <v>226</v>
      </c>
      <c r="C228" s="1" t="s">
        <v>29</v>
      </c>
      <c r="D228" s="1">
        <v>24.2</v>
      </c>
      <c r="E228" s="1">
        <v>526</v>
      </c>
      <c r="F228" s="1">
        <v>15</v>
      </c>
      <c r="G228" s="1">
        <v>0.39380874344833555</v>
      </c>
      <c r="H228" s="1">
        <v>1.8857566550172593</v>
      </c>
      <c r="I228" s="1">
        <v>716.98001347036859</v>
      </c>
      <c r="J228" s="1" t="s">
        <v>83</v>
      </c>
      <c r="K228" s="1">
        <f t="shared" si="9"/>
        <v>0.45223231293307942</v>
      </c>
      <c r="L228" s="1">
        <f t="shared" si="10"/>
        <v>0.92807932920501479</v>
      </c>
      <c r="M228" s="1">
        <f t="shared" si="11"/>
        <v>352.43351028459159</v>
      </c>
    </row>
    <row r="229" spans="1:19" x14ac:dyDescent="0.3">
      <c r="A229" s="1">
        <v>227</v>
      </c>
      <c r="C229" s="1" t="s">
        <v>29</v>
      </c>
      <c r="D229" s="1">
        <v>24.2</v>
      </c>
      <c r="E229" s="1">
        <v>527</v>
      </c>
      <c r="F229" s="1">
        <v>30</v>
      </c>
      <c r="G229" s="1">
        <v>0.39325685002797611</v>
      </c>
      <c r="H229" s="1">
        <v>1.8779822839167735</v>
      </c>
      <c r="I229" s="1">
        <v>656.40958835159404</v>
      </c>
      <c r="J229" s="1" t="s">
        <v>83</v>
      </c>
      <c r="K229" s="1">
        <f t="shared" si="9"/>
        <v>0.45159854326154741</v>
      </c>
      <c r="L229" s="1">
        <f t="shared" si="10"/>
        <v>0.92425315518795215</v>
      </c>
      <c r="M229" s="1">
        <f t="shared" si="11"/>
        <v>322.65995015323659</v>
      </c>
    </row>
    <row r="230" spans="1:19" x14ac:dyDescent="0.3">
      <c r="A230" s="1">
        <v>228</v>
      </c>
      <c r="C230" s="1" t="s">
        <v>29</v>
      </c>
      <c r="D230" s="1">
        <v>24.2</v>
      </c>
      <c r="E230" s="1">
        <v>528</v>
      </c>
      <c r="F230" s="1">
        <v>45</v>
      </c>
      <c r="G230" s="1">
        <v>0.39040222888818593</v>
      </c>
      <c r="H230" s="1">
        <v>1.9168541394192038</v>
      </c>
      <c r="I230" s="1">
        <v>643.2072512538482</v>
      </c>
      <c r="J230" s="1" t="s">
        <v>83</v>
      </c>
      <c r="K230" s="1">
        <f t="shared" si="9"/>
        <v>0.44832042427086438</v>
      </c>
      <c r="L230" s="1">
        <f t="shared" si="10"/>
        <v>0.94338402527326526</v>
      </c>
      <c r="M230" s="1">
        <f t="shared" si="11"/>
        <v>316.17030480761872</v>
      </c>
    </row>
    <row r="231" spans="1:19" x14ac:dyDescent="0.3">
      <c r="A231" s="1">
        <v>229</v>
      </c>
      <c r="C231" s="1" t="s">
        <v>29</v>
      </c>
      <c r="D231" s="1">
        <v>24.2</v>
      </c>
      <c r="E231" s="1">
        <v>529</v>
      </c>
      <c r="F231" s="1">
        <v>0</v>
      </c>
      <c r="G231" s="1">
        <v>0.39152504653650344</v>
      </c>
      <c r="H231" s="1">
        <v>1.8879779039031124</v>
      </c>
      <c r="I231" s="1">
        <v>451.16889004915885</v>
      </c>
      <c r="J231" s="1" t="s">
        <v>83</v>
      </c>
      <c r="K231" s="1">
        <f t="shared" si="9"/>
        <v>0.44960981774053316</v>
      </c>
      <c r="L231" s="1">
        <f t="shared" si="10"/>
        <v>0.92917252178131826</v>
      </c>
      <c r="M231" s="1">
        <f t="shared" si="11"/>
        <v>221.77331677851498</v>
      </c>
      <c r="N231" s="1">
        <f>SLOPE(K231:K234,F231:F234)</f>
        <v>-1.6900524574190077E-5</v>
      </c>
      <c r="O231" s="1">
        <f>SLOPE(L231:L234,F231:F234)</f>
        <v>-1.0931925763036402E-4</v>
      </c>
      <c r="P231" s="1">
        <f>SLOPE(M231:M234,F231:F234)</f>
        <v>-0.30157763664930426</v>
      </c>
      <c r="Q231" s="1">
        <f>(N231*84.63/0.31*60)/1000</f>
        <v>-2.7683059252523346E-4</v>
      </c>
      <c r="R231" s="1">
        <f>O231*84.63/0.31*60</f>
        <v>-1.7906494399853627</v>
      </c>
      <c r="S231" s="1">
        <f>(P231*84.63/0.31*60)/1000</f>
        <v>-4.939841688315604</v>
      </c>
    </row>
    <row r="232" spans="1:19" x14ac:dyDescent="0.3">
      <c r="A232" s="1">
        <v>230</v>
      </c>
      <c r="C232" s="1" t="s">
        <v>29</v>
      </c>
      <c r="D232" s="1">
        <v>24.2</v>
      </c>
      <c r="E232" s="1">
        <v>530</v>
      </c>
      <c r="F232" s="1">
        <v>15</v>
      </c>
      <c r="G232" s="1">
        <v>0.39138231547951391</v>
      </c>
      <c r="H232" s="1">
        <v>1.8890885283460392</v>
      </c>
      <c r="I232" s="1">
        <v>447.94336454384995</v>
      </c>
      <c r="J232" s="1" t="s">
        <v>83</v>
      </c>
      <c r="K232" s="1">
        <f t="shared" si="9"/>
        <v>0.44944591179099896</v>
      </c>
      <c r="L232" s="1">
        <f t="shared" si="10"/>
        <v>0.92971911806947027</v>
      </c>
      <c r="M232" s="1">
        <f t="shared" si="11"/>
        <v>220.1878007878444</v>
      </c>
    </row>
    <row r="233" spans="1:19" x14ac:dyDescent="0.3">
      <c r="A233" s="1">
        <v>231</v>
      </c>
      <c r="C233" s="1" t="s">
        <v>29</v>
      </c>
      <c r="D233" s="1">
        <v>24.2</v>
      </c>
      <c r="E233" s="1">
        <v>531</v>
      </c>
      <c r="F233" s="1">
        <v>30</v>
      </c>
      <c r="G233" s="1">
        <v>0.39111588417313348</v>
      </c>
      <c r="H233" s="1">
        <v>1.8924204016748187</v>
      </c>
      <c r="I233" s="1">
        <v>439.88505509031376</v>
      </c>
      <c r="J233" s="1" t="s">
        <v>83</v>
      </c>
      <c r="K233" s="1">
        <f t="shared" si="9"/>
        <v>0.44913995401853518</v>
      </c>
      <c r="L233" s="1">
        <f t="shared" si="10"/>
        <v>0.93135890693392542</v>
      </c>
      <c r="M233" s="1">
        <f t="shared" si="11"/>
        <v>216.22671646985503</v>
      </c>
    </row>
    <row r="234" spans="1:19" x14ac:dyDescent="0.3">
      <c r="A234" s="1">
        <v>232</v>
      </c>
      <c r="C234" s="1" t="s">
        <v>29</v>
      </c>
      <c r="D234" s="1">
        <v>24.2</v>
      </c>
      <c r="E234" s="1">
        <v>532</v>
      </c>
      <c r="F234" s="1">
        <v>45</v>
      </c>
      <c r="G234" s="1">
        <v>0.39087799907815096</v>
      </c>
      <c r="H234" s="1">
        <v>1.87576103503092</v>
      </c>
      <c r="I234" s="1">
        <v>423.17897464969275</v>
      </c>
      <c r="J234" s="1" t="s">
        <v>83</v>
      </c>
      <c r="K234" s="1">
        <f t="shared" si="9"/>
        <v>0.44886677743597825</v>
      </c>
      <c r="L234" s="1">
        <f t="shared" si="10"/>
        <v>0.92315996261164834</v>
      </c>
      <c r="M234" s="1">
        <f t="shared" si="11"/>
        <v>208.01479638537955</v>
      </c>
    </row>
    <row r="235" spans="1:19" x14ac:dyDescent="0.3">
      <c r="A235" s="1">
        <v>233</v>
      </c>
      <c r="C235" s="1" t="s">
        <v>29</v>
      </c>
      <c r="D235" s="1">
        <v>24.2</v>
      </c>
      <c r="E235" s="1" t="s">
        <v>88</v>
      </c>
      <c r="G235" s="1">
        <v>0.39219112480245444</v>
      </c>
      <c r="H235" s="1">
        <v>1.9357347549489556</v>
      </c>
      <c r="I235" s="1">
        <v>427.80960031306978</v>
      </c>
      <c r="K235" s="1">
        <f t="shared" si="9"/>
        <v>0.45037471217169239</v>
      </c>
      <c r="L235" s="1">
        <f t="shared" si="10"/>
        <v>0.95267616217184592</v>
      </c>
      <c r="M235" s="1">
        <f t="shared" si="11"/>
        <v>210.29099324818839</v>
      </c>
    </row>
    <row r="236" spans="1:19" x14ac:dyDescent="0.3">
      <c r="A236" s="1">
        <v>234</v>
      </c>
      <c r="C236" s="1" t="s">
        <v>29</v>
      </c>
      <c r="D236" s="1">
        <v>24.2</v>
      </c>
      <c r="E236" s="1" t="s">
        <v>89</v>
      </c>
      <c r="G236" s="1">
        <v>0.39160116976689774</v>
      </c>
      <c r="H236" s="1">
        <v>1.951283497149928</v>
      </c>
      <c r="I236" s="1">
        <v>410.05169632107447</v>
      </c>
      <c r="K236" s="1">
        <f t="shared" si="9"/>
        <v>0.44969723424695113</v>
      </c>
      <c r="L236" s="1">
        <f t="shared" si="10"/>
        <v>0.96032851020597121</v>
      </c>
      <c r="M236" s="1">
        <f t="shared" si="11"/>
        <v>201.56204638549553</v>
      </c>
    </row>
    <row r="237" spans="1:19" x14ac:dyDescent="0.3">
      <c r="A237" s="1">
        <v>235</v>
      </c>
      <c r="B237" s="1" t="s">
        <v>99</v>
      </c>
      <c r="C237" s="1" t="s">
        <v>29</v>
      </c>
      <c r="D237" s="1">
        <v>19.899999999999999</v>
      </c>
      <c r="E237" s="1">
        <v>501</v>
      </c>
      <c r="F237" s="1">
        <v>0</v>
      </c>
      <c r="G237" s="1">
        <v>0.39435028708394559</v>
      </c>
      <c r="H237" s="1">
        <v>1.7442729431042958</v>
      </c>
      <c r="I237" s="1">
        <v>398.49298597637892</v>
      </c>
      <c r="J237" s="1" t="s">
        <v>83</v>
      </c>
      <c r="K237" s="1">
        <f t="shared" si="9"/>
        <v>0.45949904654372964</v>
      </c>
      <c r="L237" s="1">
        <f t="shared" si="10"/>
        <v>0.87104403715554879</v>
      </c>
      <c r="M237" s="1">
        <f t="shared" si="11"/>
        <v>198.75453410907494</v>
      </c>
      <c r="N237" s="1">
        <f>SLOPE(K237:K240,F237:F240)</f>
        <v>7.1138378859314174E-4</v>
      </c>
      <c r="O237" s="1">
        <f>SLOPE(L237:L240,F237:F240)</f>
        <v>1.7397139783984776E-3</v>
      </c>
      <c r="P237" s="1">
        <f>SLOPE(M237:M240,F237:F240)</f>
        <v>18.303513611263966</v>
      </c>
      <c r="Q237" s="1">
        <f>(N237*84.63/0.31*60)/1000</f>
        <v>1.1652466457155661E-2</v>
      </c>
      <c r="R237" s="1">
        <f>O237*84.63/0.31*60</f>
        <v>28.496514966167062</v>
      </c>
      <c r="S237" s="1">
        <f>(P237*84.63/0.31*60)/1000</f>
        <v>299.81155295250375</v>
      </c>
    </row>
    <row r="238" spans="1:19" x14ac:dyDescent="0.3">
      <c r="A238" s="1">
        <v>236</v>
      </c>
      <c r="B238" s="1" t="s">
        <v>100</v>
      </c>
      <c r="C238" s="1" t="s">
        <v>29</v>
      </c>
      <c r="D238" s="1">
        <v>19.899999999999999</v>
      </c>
      <c r="E238" s="1">
        <v>502</v>
      </c>
      <c r="F238" s="1">
        <v>15</v>
      </c>
      <c r="G238" s="1">
        <v>0.40767935938944722</v>
      </c>
      <c r="H238" s="1">
        <v>1.8461846931560966</v>
      </c>
      <c r="I238" s="1">
        <v>1346.9718258613557</v>
      </c>
      <c r="J238" s="1" t="s">
        <v>83</v>
      </c>
      <c r="K238" s="1">
        <f t="shared" si="9"/>
        <v>0.475030152305006</v>
      </c>
      <c r="L238" s="1">
        <f t="shared" si="10"/>
        <v>0.92193608507135461</v>
      </c>
      <c r="M238" s="1">
        <f t="shared" si="11"/>
        <v>671.82301101528776</v>
      </c>
    </row>
    <row r="239" spans="1:19" x14ac:dyDescent="0.3">
      <c r="A239" s="1">
        <v>237</v>
      </c>
      <c r="C239" s="1" t="s">
        <v>29</v>
      </c>
      <c r="D239" s="1">
        <v>19.899999999999999</v>
      </c>
      <c r="E239" s="1">
        <v>503</v>
      </c>
      <c r="F239" s="1">
        <v>30</v>
      </c>
      <c r="G239" s="1">
        <v>0.41919652598747648</v>
      </c>
      <c r="H239" s="1">
        <v>1.9134030814881358</v>
      </c>
      <c r="I239" s="1">
        <v>1908.5113045938799</v>
      </c>
      <c r="J239" s="1" t="s">
        <v>83</v>
      </c>
      <c r="K239" s="1">
        <f t="shared" si="9"/>
        <v>0.48845001592375153</v>
      </c>
      <c r="L239" s="1">
        <f t="shared" si="10"/>
        <v>0.95550318050518435</v>
      </c>
      <c r="M239" s="1">
        <f t="shared" si="11"/>
        <v>951.89950271532325</v>
      </c>
    </row>
    <row r="240" spans="1:19" x14ac:dyDescent="0.3">
      <c r="A240" s="1">
        <v>238</v>
      </c>
      <c r="C240" s="1" t="s">
        <v>29</v>
      </c>
      <c r="D240" s="1">
        <v>19.899999999999999</v>
      </c>
      <c r="E240" s="1">
        <v>504</v>
      </c>
      <c r="F240" s="1">
        <v>45</v>
      </c>
      <c r="G240" s="1">
        <v>0.4210373450838979</v>
      </c>
      <c r="H240" s="1">
        <v>1.8960564006282548</v>
      </c>
      <c r="I240" s="1">
        <v>2046.1950218005888</v>
      </c>
      <c r="J240" s="1" t="s">
        <v>83</v>
      </c>
      <c r="K240" s="1">
        <f t="shared" si="9"/>
        <v>0.49059494810047155</v>
      </c>
      <c r="L240" s="1">
        <f t="shared" si="10"/>
        <v>0.94684070426419609</v>
      </c>
      <c r="M240" s="1">
        <f t="shared" si="11"/>
        <v>1020.5713841055948</v>
      </c>
    </row>
    <row r="241" spans="1:19" x14ac:dyDescent="0.3">
      <c r="A241" s="1">
        <v>239</v>
      </c>
      <c r="C241" s="1" t="s">
        <v>29</v>
      </c>
      <c r="D241" s="1">
        <v>19.899999999999999</v>
      </c>
      <c r="E241" s="1">
        <v>505</v>
      </c>
      <c r="F241" s="1">
        <v>0</v>
      </c>
      <c r="G241" s="1">
        <v>0.39374310591601608</v>
      </c>
      <c r="H241" s="1">
        <v>1.7995654883451666</v>
      </c>
      <c r="I241" s="1">
        <v>382.63017318358931</v>
      </c>
      <c r="J241" s="1" t="s">
        <v>16</v>
      </c>
      <c r="K241" s="1">
        <f t="shared" si="9"/>
        <v>0.45879155582575398</v>
      </c>
      <c r="L241" s="1">
        <f t="shared" si="10"/>
        <v>0.8986556801736989</v>
      </c>
      <c r="M241" s="1">
        <f t="shared" si="11"/>
        <v>190.84271112286743</v>
      </c>
      <c r="N241" s="1">
        <f>SLOPE(K241:K244,F241:F244)</f>
        <v>1.8095291696796801E-4</v>
      </c>
      <c r="O241" s="1">
        <f>SLOPE(L241:L244,F241:F244)</f>
        <v>-5.5223286036300517E-4</v>
      </c>
      <c r="P241" s="1">
        <f>SLOPE(M241:M244,F241:F244)</f>
        <v>4.2766791197179863</v>
      </c>
      <c r="Q241" s="1">
        <f>(N241*84.63/0.31*60)/1000</f>
        <v>2.9640087799353157E-3</v>
      </c>
      <c r="R241" s="1">
        <f>O241*84.63/0.31*60</f>
        <v>-9.0455742527460234</v>
      </c>
      <c r="S241" s="1">
        <f>(P241*84.63/0.31*60)/1000</f>
        <v>70.052003980980615</v>
      </c>
    </row>
    <row r="242" spans="1:19" x14ac:dyDescent="0.3">
      <c r="A242" s="1">
        <v>240</v>
      </c>
      <c r="C242" s="1" t="s">
        <v>29</v>
      </c>
      <c r="D242" s="1">
        <v>19.899999999999999</v>
      </c>
      <c r="E242" s="1">
        <v>506</v>
      </c>
      <c r="F242" s="1">
        <v>15</v>
      </c>
      <c r="G242" s="1">
        <v>0.39862946864840171</v>
      </c>
      <c r="H242" s="1">
        <v>1.7778821372703153</v>
      </c>
      <c r="I242" s="1">
        <v>630.9714609319733</v>
      </c>
      <c r="J242" s="1" t="s">
        <v>16</v>
      </c>
      <c r="K242" s="1">
        <f t="shared" si="9"/>
        <v>0.46448517160374903</v>
      </c>
      <c r="L242" s="1">
        <f t="shared" si="10"/>
        <v>0.8878275848724636</v>
      </c>
      <c r="M242" s="1">
        <f t="shared" si="11"/>
        <v>314.70676565707589</v>
      </c>
    </row>
    <row r="243" spans="1:19" x14ac:dyDescent="0.3">
      <c r="A243" s="1">
        <v>241</v>
      </c>
      <c r="C243" s="1" t="s">
        <v>29</v>
      </c>
      <c r="D243" s="1">
        <v>19.899999999999999</v>
      </c>
      <c r="E243" s="1">
        <v>507</v>
      </c>
      <c r="F243" s="1">
        <v>30</v>
      </c>
      <c r="G243" s="1">
        <v>0.40009441368848575</v>
      </c>
      <c r="H243" s="1">
        <v>1.7486096133192659</v>
      </c>
      <c r="I243" s="1">
        <v>730.27073892392912</v>
      </c>
      <c r="J243" s="1" t="s">
        <v>16</v>
      </c>
      <c r="K243" s="1">
        <f t="shared" si="9"/>
        <v>0.46619213333600784</v>
      </c>
      <c r="L243" s="1">
        <f t="shared" si="10"/>
        <v>0.87320965621579583</v>
      </c>
      <c r="M243" s="1">
        <f t="shared" si="11"/>
        <v>364.23381488807183</v>
      </c>
    </row>
    <row r="244" spans="1:19" x14ac:dyDescent="0.3">
      <c r="A244" s="1">
        <v>242</v>
      </c>
      <c r="C244" s="1" t="s">
        <v>29</v>
      </c>
      <c r="D244" s="1">
        <v>19.899999999999999</v>
      </c>
      <c r="E244" s="1">
        <v>508</v>
      </c>
      <c r="F244" s="1">
        <v>45</v>
      </c>
      <c r="G244" s="1">
        <v>0.40101964213485464</v>
      </c>
      <c r="H244" s="1">
        <v>1.7540304510879787</v>
      </c>
      <c r="I244" s="1">
        <v>778.25689300434772</v>
      </c>
      <c r="J244" s="1" t="s">
        <v>16</v>
      </c>
      <c r="K244" s="1">
        <f t="shared" si="9"/>
        <v>0.46727021443006611</v>
      </c>
      <c r="L244" s="1">
        <f t="shared" si="10"/>
        <v>0.87591668004110457</v>
      </c>
      <c r="M244" s="1">
        <f t="shared" si="11"/>
        <v>388.16765069843473</v>
      </c>
    </row>
    <row r="245" spans="1:19" x14ac:dyDescent="0.3">
      <c r="A245" s="1">
        <v>243</v>
      </c>
      <c r="C245" s="1" t="s">
        <v>29</v>
      </c>
      <c r="D245" s="1">
        <v>19.899999999999999</v>
      </c>
      <c r="E245" s="1">
        <v>509</v>
      </c>
      <c r="F245" s="1">
        <v>0</v>
      </c>
      <c r="G245" s="1">
        <v>0.3956513895866518</v>
      </c>
      <c r="H245" s="1">
        <v>1.7919763154689685</v>
      </c>
      <c r="I245" s="1">
        <v>384.67918888385628</v>
      </c>
      <c r="J245" s="1" t="s">
        <v>16</v>
      </c>
      <c r="K245" s="1">
        <f t="shared" si="9"/>
        <v>0.461015098082249</v>
      </c>
      <c r="L245" s="1">
        <f t="shared" si="10"/>
        <v>0.89486584681826653</v>
      </c>
      <c r="M245" s="1">
        <f t="shared" si="11"/>
        <v>191.86468936394212</v>
      </c>
      <c r="N245" s="1">
        <f>SLOPE(K245:K248,F245:F248)</f>
        <v>6.1765062680421511E-5</v>
      </c>
      <c r="O245" s="1">
        <f>SLOPE(L245:L248,F245:F248)</f>
        <v>-5.2335793955970988E-4</v>
      </c>
      <c r="P245" s="1">
        <f>SLOPE(M245:M248,F245:F248)</f>
        <v>2.5484921974282568</v>
      </c>
      <c r="Q245" s="1">
        <f>(N245*84.63/0.31*60)/1000</f>
        <v>1.0117117267053044E-3</v>
      </c>
      <c r="R245" s="1">
        <f>O245*84.63/0.31*60</f>
        <v>-8.5726030499880483</v>
      </c>
      <c r="S245" s="1">
        <f>(P245*84.63/0.31*60)/1000</f>
        <v>41.744302193874852</v>
      </c>
    </row>
    <row r="246" spans="1:19" x14ac:dyDescent="0.3">
      <c r="A246" s="1">
        <v>244</v>
      </c>
      <c r="C246" s="1" t="s">
        <v>29</v>
      </c>
      <c r="D246" s="1">
        <v>19.899999999999999</v>
      </c>
      <c r="E246" s="1">
        <v>510</v>
      </c>
      <c r="F246" s="1">
        <v>15</v>
      </c>
      <c r="G246" s="1">
        <v>0.39993057115110792</v>
      </c>
      <c r="H246" s="1">
        <v>1.77137713194786</v>
      </c>
      <c r="I246" s="1">
        <v>576.55654446180188</v>
      </c>
      <c r="J246" s="1" t="s">
        <v>16</v>
      </c>
      <c r="K246" s="1">
        <f t="shared" si="9"/>
        <v>0.46600122314226833</v>
      </c>
      <c r="L246" s="1">
        <f t="shared" si="10"/>
        <v>0.88457915628209294</v>
      </c>
      <c r="M246" s="1">
        <f t="shared" si="11"/>
        <v>287.56648527017285</v>
      </c>
    </row>
    <row r="247" spans="1:19" x14ac:dyDescent="0.3">
      <c r="A247" s="1">
        <v>245</v>
      </c>
      <c r="C247" s="1" t="s">
        <v>29</v>
      </c>
      <c r="D247" s="1">
        <v>19.899999999999999</v>
      </c>
      <c r="E247" s="1">
        <v>511</v>
      </c>
      <c r="F247" s="1">
        <v>30</v>
      </c>
      <c r="G247" s="1">
        <v>0.4001040514848021</v>
      </c>
      <c r="H247" s="1">
        <v>1.7540304510879787</v>
      </c>
      <c r="I247" s="1">
        <v>584.71361552737449</v>
      </c>
      <c r="J247" s="1" t="s">
        <v>16</v>
      </c>
      <c r="K247" s="1">
        <f t="shared" si="9"/>
        <v>0.46620336334740431</v>
      </c>
      <c r="L247" s="1">
        <f t="shared" si="10"/>
        <v>0.87591668004110457</v>
      </c>
      <c r="M247" s="1">
        <f t="shared" si="11"/>
        <v>291.63495050390873</v>
      </c>
    </row>
    <row r="248" spans="1:19" x14ac:dyDescent="0.3">
      <c r="A248" s="1">
        <v>246</v>
      </c>
      <c r="C248" s="1" t="s">
        <v>29</v>
      </c>
      <c r="D248" s="1">
        <v>19.899999999999999</v>
      </c>
      <c r="E248" s="1">
        <v>512</v>
      </c>
      <c r="F248" s="1">
        <v>45</v>
      </c>
      <c r="G248" s="1">
        <v>0.39824395679574798</v>
      </c>
      <c r="H248" s="1">
        <v>1.7453571106580383</v>
      </c>
      <c r="I248" s="1">
        <v>637.44018985060859</v>
      </c>
      <c r="J248" s="1" t="s">
        <v>16</v>
      </c>
      <c r="K248" s="1">
        <f t="shared" si="9"/>
        <v>0.46403597114789141</v>
      </c>
      <c r="L248" s="1">
        <f t="shared" si="10"/>
        <v>0.87158544192061049</v>
      </c>
      <c r="M248" s="1">
        <f t="shared" si="11"/>
        <v>317.933144157443</v>
      </c>
    </row>
    <row r="249" spans="1:19" x14ac:dyDescent="0.3">
      <c r="A249" s="1">
        <v>247</v>
      </c>
      <c r="C249" s="1" t="s">
        <v>29</v>
      </c>
      <c r="D249" s="1">
        <v>19.899999999999999</v>
      </c>
      <c r="E249" s="1">
        <v>513</v>
      </c>
      <c r="F249" s="1">
        <v>0</v>
      </c>
      <c r="G249" s="1">
        <v>0.39418644454656776</v>
      </c>
      <c r="H249" s="1">
        <v>1.7605354564104343</v>
      </c>
      <c r="I249" s="1">
        <v>380.56068682218751</v>
      </c>
      <c r="J249" s="1" t="s">
        <v>16</v>
      </c>
      <c r="K249" s="1">
        <f t="shared" si="9"/>
        <v>0.45930813634999013</v>
      </c>
      <c r="L249" s="1">
        <f t="shared" si="10"/>
        <v>0.87916510863147534</v>
      </c>
      <c r="M249" s="1">
        <f t="shared" si="11"/>
        <v>189.81052282324731</v>
      </c>
      <c r="N249" s="1">
        <f>SLOPE(K249:K252,F249:F252)</f>
        <v>1.5751962652073127E-4</v>
      </c>
      <c r="O249" s="1">
        <f>SLOPE(L249:L252,F249:F252)</f>
        <v>-2.4182746172759283E-4</v>
      </c>
      <c r="P249" s="1">
        <f>SLOPE(M249:M252,F249:F252)</f>
        <v>3.4343817026013679</v>
      </c>
      <c r="Q249" s="1">
        <f>(N249*84.63/0.31*60)/1000</f>
        <v>2.580171482409578E-3</v>
      </c>
      <c r="R249" s="1">
        <f>O249*84.63/0.31*60</f>
        <v>-3.9611338230979705</v>
      </c>
      <c r="S249" s="1">
        <f>(P249*84.63/0.31*60)/1000</f>
        <v>56.255172288610403</v>
      </c>
    </row>
    <row r="250" spans="1:19" x14ac:dyDescent="0.3">
      <c r="A250" s="1">
        <v>248</v>
      </c>
      <c r="C250" s="1" t="s">
        <v>29</v>
      </c>
      <c r="D250" s="1">
        <v>19.899999999999999</v>
      </c>
      <c r="E250" s="1">
        <v>514</v>
      </c>
      <c r="F250" s="1">
        <v>15</v>
      </c>
      <c r="G250" s="1">
        <v>0.39818613001784992</v>
      </c>
      <c r="H250" s="1">
        <v>1.7973971532376813</v>
      </c>
      <c r="I250" s="1">
        <v>608.44008657613608</v>
      </c>
      <c r="J250" s="1" t="s">
        <v>16</v>
      </c>
      <c r="K250" s="1">
        <f t="shared" si="9"/>
        <v>0.46396859107951277</v>
      </c>
      <c r="L250" s="1">
        <f t="shared" si="10"/>
        <v>0.89757287064357527</v>
      </c>
      <c r="M250" s="1">
        <f t="shared" si="11"/>
        <v>303.46889455136704</v>
      </c>
    </row>
    <row r="251" spans="1:19" x14ac:dyDescent="0.3">
      <c r="A251" s="1">
        <v>249</v>
      </c>
      <c r="C251" s="1" t="s">
        <v>29</v>
      </c>
      <c r="D251" s="1">
        <v>19.899999999999999</v>
      </c>
      <c r="E251" s="1">
        <v>515</v>
      </c>
      <c r="F251" s="1">
        <v>30</v>
      </c>
      <c r="G251" s="1">
        <v>0.40126058704276318</v>
      </c>
      <c r="H251" s="1">
        <v>1.7507779484267512</v>
      </c>
      <c r="I251" s="1">
        <v>670.86098113683681</v>
      </c>
      <c r="J251" s="1" t="s">
        <v>16</v>
      </c>
      <c r="K251" s="1">
        <f t="shared" si="9"/>
        <v>0.46755096471497709</v>
      </c>
      <c r="L251" s="1">
        <f t="shared" si="10"/>
        <v>0.87429246574591923</v>
      </c>
      <c r="M251" s="1">
        <f t="shared" si="11"/>
        <v>334.60228021607526</v>
      </c>
    </row>
    <row r="252" spans="1:19" x14ac:dyDescent="0.3">
      <c r="A252" s="1">
        <v>250</v>
      </c>
      <c r="C252" s="1" t="s">
        <v>29</v>
      </c>
      <c r="D252" s="1">
        <v>19.899999999999999</v>
      </c>
      <c r="E252" s="1">
        <v>516</v>
      </c>
      <c r="F252" s="1">
        <v>45</v>
      </c>
      <c r="G252" s="1">
        <v>0.39992093335479156</v>
      </c>
      <c r="H252" s="1">
        <v>1.7518621159804937</v>
      </c>
      <c r="I252" s="1">
        <v>704.04197324977008</v>
      </c>
      <c r="J252" s="1" t="s">
        <v>16</v>
      </c>
      <c r="K252" s="1">
        <f t="shared" si="9"/>
        <v>0.46598999313087192</v>
      </c>
      <c r="L252" s="1">
        <f t="shared" si="10"/>
        <v>0.87483387051098105</v>
      </c>
      <c r="M252" s="1">
        <f t="shared" si="11"/>
        <v>351.1518127317463</v>
      </c>
    </row>
    <row r="253" spans="1:19" x14ac:dyDescent="0.3">
      <c r="A253" s="1">
        <v>251</v>
      </c>
      <c r="C253" s="1" t="s">
        <v>29</v>
      </c>
      <c r="D253" s="1">
        <v>19.899999999999999</v>
      </c>
      <c r="E253" s="1">
        <v>517</v>
      </c>
      <c r="F253" s="1">
        <v>0</v>
      </c>
      <c r="G253" s="1">
        <v>0.39397441302760827</v>
      </c>
      <c r="H253" s="1">
        <v>1.77571380216283</v>
      </c>
      <c r="I253" s="1">
        <v>387.67570375665389</v>
      </c>
      <c r="J253" s="1" t="s">
        <v>16</v>
      </c>
      <c r="K253" s="1">
        <f t="shared" si="9"/>
        <v>0.45906107609926855</v>
      </c>
      <c r="L253" s="1">
        <f t="shared" si="10"/>
        <v>0.88674477534233997</v>
      </c>
      <c r="M253" s="1">
        <f t="shared" si="11"/>
        <v>193.35924745769259</v>
      </c>
      <c r="N253" s="1">
        <f>SLOPE(K253:K256,F253:F256)</f>
        <v>1.9315619601876444E-4</v>
      </c>
      <c r="O253" s="1">
        <f>SLOPE(L253:L256,F253:F256)</f>
        <v>-1.9129635032182494E-4</v>
      </c>
      <c r="P253" s="1">
        <f>SLOPE(M253:M256,F253:F256)</f>
        <v>4.6972006389656427</v>
      </c>
      <c r="Q253" s="1">
        <f>(N253*84.63/0.31*60)/1000</f>
        <v>3.1638984907873613E-3</v>
      </c>
      <c r="R253" s="1">
        <f>O253*84.63/0.31*60</f>
        <v>-3.1334342182714927</v>
      </c>
      <c r="S253" s="1">
        <f>(P253*84.63/0.31*60)/1000</f>
        <v>76.940146466257247</v>
      </c>
    </row>
    <row r="254" spans="1:19" x14ac:dyDescent="0.3">
      <c r="A254" s="1">
        <v>252</v>
      </c>
      <c r="C254" s="1" t="s">
        <v>29</v>
      </c>
      <c r="D254" s="1">
        <v>19.899999999999999</v>
      </c>
      <c r="E254" s="1">
        <v>518</v>
      </c>
      <c r="F254" s="1">
        <v>15</v>
      </c>
      <c r="G254" s="1">
        <v>0.39772351579466542</v>
      </c>
      <c r="H254" s="1">
        <v>1.7941446505764538</v>
      </c>
      <c r="I254" s="1">
        <v>614.87762210637538</v>
      </c>
      <c r="J254" s="1" t="s">
        <v>16</v>
      </c>
      <c r="K254" s="1">
        <f t="shared" si="9"/>
        <v>0.46342955053248358</v>
      </c>
      <c r="L254" s="1">
        <f t="shared" si="10"/>
        <v>0.89594865634838994</v>
      </c>
      <c r="M254" s="1">
        <f t="shared" si="11"/>
        <v>306.67971486728391</v>
      </c>
    </row>
    <row r="255" spans="1:19" x14ac:dyDescent="0.3">
      <c r="A255" s="1">
        <v>253</v>
      </c>
      <c r="C255" s="1" t="s">
        <v>29</v>
      </c>
      <c r="D255" s="1">
        <v>19.899999999999999</v>
      </c>
      <c r="E255" s="1">
        <v>519</v>
      </c>
      <c r="F255" s="1">
        <v>30</v>
      </c>
      <c r="G255" s="1">
        <v>0.40012332707743475</v>
      </c>
      <c r="H255" s="1">
        <v>1.7692087968403747</v>
      </c>
      <c r="I255" s="1">
        <v>699.50041085797966</v>
      </c>
      <c r="J255" s="1" t="s">
        <v>16</v>
      </c>
      <c r="K255" s="1">
        <f t="shared" si="9"/>
        <v>0.46622582337019713</v>
      </c>
      <c r="L255" s="1">
        <f t="shared" si="10"/>
        <v>0.88349634675196931</v>
      </c>
      <c r="M255" s="1">
        <f t="shared" si="11"/>
        <v>348.88663831444529</v>
      </c>
    </row>
    <row r="256" spans="1:19" x14ac:dyDescent="0.3">
      <c r="A256" s="1">
        <v>254</v>
      </c>
      <c r="C256" s="1" t="s">
        <v>29</v>
      </c>
      <c r="D256" s="1">
        <v>19.899999999999999</v>
      </c>
      <c r="E256" s="1">
        <v>520</v>
      </c>
      <c r="F256" s="1">
        <v>45</v>
      </c>
      <c r="G256" s="1">
        <v>0.40146298076540632</v>
      </c>
      <c r="H256" s="1">
        <v>1.7648721266254044</v>
      </c>
      <c r="I256" s="1">
        <v>830.35082641917404</v>
      </c>
      <c r="J256" s="1" t="s">
        <v>16</v>
      </c>
      <c r="K256" s="1">
        <f t="shared" si="9"/>
        <v>0.46778679495430225</v>
      </c>
      <c r="L256" s="1">
        <f t="shared" si="10"/>
        <v>0.88133072769172227</v>
      </c>
      <c r="M256" s="1">
        <f t="shared" si="11"/>
        <v>414.15030492358761</v>
      </c>
    </row>
    <row r="257" spans="1:19" x14ac:dyDescent="0.3">
      <c r="A257" s="1">
        <v>255</v>
      </c>
      <c r="C257" s="1" t="s">
        <v>29</v>
      </c>
      <c r="D257" s="1">
        <v>19.899999999999999</v>
      </c>
      <c r="E257" s="1">
        <v>521</v>
      </c>
      <c r="F257" s="1">
        <v>0</v>
      </c>
      <c r="G257" s="1">
        <v>0.39573812975349892</v>
      </c>
      <c r="H257" s="1">
        <v>1.7659562941791471</v>
      </c>
      <c r="I257" s="1">
        <v>396.69644176344264</v>
      </c>
      <c r="J257" s="1" t="s">
        <v>16</v>
      </c>
      <c r="K257" s="1">
        <f t="shared" si="9"/>
        <v>0.46111616818481704</v>
      </c>
      <c r="L257" s="1">
        <f t="shared" si="10"/>
        <v>0.8818721324567842</v>
      </c>
      <c r="M257" s="1">
        <f t="shared" si="11"/>
        <v>197.85847992339427</v>
      </c>
      <c r="N257" s="1">
        <f>SLOPE(K257:K260,F257:F260)</f>
        <v>1.2602318789084756E-3</v>
      </c>
      <c r="O257" s="1">
        <f>SLOPE(L257:L260,F257:F260)</f>
        <v>-3.1762412883623949E-4</v>
      </c>
      <c r="P257" s="1">
        <f>SLOPE(M257:M260,F257:F260)</f>
        <v>7.3524576358951954</v>
      </c>
      <c r="Q257" s="1">
        <f>(N257*84.63/0.31*60)/1000</f>
        <v>2.0642598176520831E-2</v>
      </c>
      <c r="R257" s="1">
        <f>O257*84.63/0.31*60</f>
        <v>-5.2026832303376027</v>
      </c>
      <c r="S257" s="1">
        <f>(P257*84.63/0.31*60)/1000</f>
        <v>120.4332560759633</v>
      </c>
    </row>
    <row r="258" spans="1:19" x14ac:dyDescent="0.3">
      <c r="A258" s="1">
        <v>256</v>
      </c>
      <c r="C258" s="1" t="s">
        <v>29</v>
      </c>
      <c r="D258" s="1">
        <v>19.899999999999999</v>
      </c>
      <c r="E258" s="1">
        <v>522</v>
      </c>
      <c r="F258" s="1">
        <v>15</v>
      </c>
      <c r="G258" s="1">
        <v>0.41137063537860641</v>
      </c>
      <c r="H258" s="1">
        <v>1.7572829537492065</v>
      </c>
      <c r="I258" s="1">
        <v>625.39661754956308</v>
      </c>
      <c r="J258" s="1" t="s">
        <v>16</v>
      </c>
      <c r="K258" s="1">
        <f t="shared" si="9"/>
        <v>0.47933124666984245</v>
      </c>
      <c r="L258" s="1">
        <f t="shared" si="10"/>
        <v>0.8775408943362899</v>
      </c>
      <c r="M258" s="1">
        <f t="shared" si="11"/>
        <v>311.92622637986091</v>
      </c>
    </row>
    <row r="259" spans="1:19" x14ac:dyDescent="0.3">
      <c r="A259" s="1">
        <v>257</v>
      </c>
      <c r="C259" s="1" t="s">
        <v>29</v>
      </c>
      <c r="D259" s="1">
        <v>19.899999999999999</v>
      </c>
      <c r="E259" s="1">
        <v>523</v>
      </c>
      <c r="F259" s="1">
        <v>30</v>
      </c>
      <c r="G259" s="1">
        <v>0.43215936203295707</v>
      </c>
      <c r="H259" s="1">
        <v>1.7496937808730086</v>
      </c>
      <c r="I259" s="1">
        <v>885.86823421046915</v>
      </c>
      <c r="J259" s="1" t="s">
        <v>16</v>
      </c>
      <c r="K259" s="1">
        <f t="shared" ref="K259:K322" si="12">(G259*28*1)/(0.082*(D259+273.15))</f>
        <v>0.50355438125196317</v>
      </c>
      <c r="L259" s="1">
        <f t="shared" ref="L259:L322" si="13">(H259*12*1)/(0.082*(D259+273.15))</f>
        <v>0.87375106098085764</v>
      </c>
      <c r="M259" s="1">
        <f t="shared" ref="M259:M322" si="14">(I259*12*1)/(0.0821*(D259+273.15))</f>
        <v>441.84046989215358</v>
      </c>
    </row>
    <row r="260" spans="1:19" x14ac:dyDescent="0.3">
      <c r="A260" s="1">
        <v>258</v>
      </c>
      <c r="C260" s="1" t="s">
        <v>29</v>
      </c>
      <c r="D260" s="1">
        <v>19.899999999999999</v>
      </c>
      <c r="E260" s="1">
        <v>524</v>
      </c>
      <c r="F260" s="1">
        <v>45</v>
      </c>
      <c r="G260" s="1">
        <v>0.44288622933304622</v>
      </c>
      <c r="H260" s="1">
        <v>1.7366837702280977</v>
      </c>
      <c r="I260" s="1">
        <v>1046.9382195737448</v>
      </c>
      <c r="J260" s="1" t="s">
        <v>16</v>
      </c>
      <c r="K260" s="1">
        <f t="shared" si="12"/>
        <v>0.51605338393620059</v>
      </c>
      <c r="L260" s="1">
        <f t="shared" si="13"/>
        <v>0.86725420380011631</v>
      </c>
      <c r="M260" s="1">
        <f t="shared" si="14"/>
        <v>522.17661388072315</v>
      </c>
    </row>
    <row r="261" spans="1:19" x14ac:dyDescent="0.3">
      <c r="A261" s="1">
        <v>259</v>
      </c>
      <c r="C261" s="1" t="s">
        <v>29</v>
      </c>
      <c r="D261" s="1">
        <v>19.899999999999999</v>
      </c>
      <c r="E261" s="1">
        <v>525</v>
      </c>
      <c r="F261" s="1">
        <v>0</v>
      </c>
      <c r="G261" s="1">
        <v>0.39576704314244798</v>
      </c>
      <c r="H261" s="1">
        <v>1.7941446505764538</v>
      </c>
      <c r="I261" s="1">
        <v>387.96326780593017</v>
      </c>
      <c r="J261" s="1" t="s">
        <v>16</v>
      </c>
      <c r="K261" s="1">
        <f t="shared" si="12"/>
        <v>0.46114985821900634</v>
      </c>
      <c r="L261" s="1">
        <f t="shared" si="13"/>
        <v>0.89594865634838994</v>
      </c>
      <c r="M261" s="1">
        <f t="shared" si="14"/>
        <v>193.50267447059321</v>
      </c>
      <c r="N261" s="1">
        <f>SLOPE(K261:K264,F261:F264)</f>
        <v>5.3237740693389229E-4</v>
      </c>
      <c r="O261" s="1">
        <f>SLOPE(L261:L264,F261:F264)</f>
        <v>-6.4246698787329647E-4</v>
      </c>
      <c r="P261" s="1">
        <f>SLOPE(M261:M264,F261:F264)</f>
        <v>6.3828067551881409</v>
      </c>
      <c r="Q261" s="1">
        <f>(N261*84.63/0.31*60)/1000</f>
        <v>8.7203419255771561E-3</v>
      </c>
      <c r="R261" s="1">
        <f>O261*84.63/0.31*60</f>
        <v>-10.523609261364596</v>
      </c>
      <c r="S261" s="1">
        <f>(P261*84.63/0.31*60)/1000</f>
        <v>104.55037464998175</v>
      </c>
    </row>
    <row r="262" spans="1:19" x14ac:dyDescent="0.3">
      <c r="A262" s="1">
        <v>260</v>
      </c>
      <c r="C262" s="1" t="s">
        <v>29</v>
      </c>
      <c r="D262" s="1">
        <v>19.899999999999999</v>
      </c>
      <c r="E262" s="1">
        <v>526</v>
      </c>
      <c r="F262" s="1">
        <v>15</v>
      </c>
      <c r="G262" s="1">
        <v>0.40233038243387714</v>
      </c>
      <c r="H262" s="1">
        <v>1.7637879590716619</v>
      </c>
      <c r="I262" s="1">
        <v>609.07565186470606</v>
      </c>
      <c r="J262" s="1" t="s">
        <v>16</v>
      </c>
      <c r="K262" s="1">
        <f t="shared" si="12"/>
        <v>0.46879749597998183</v>
      </c>
      <c r="L262" s="1">
        <f t="shared" si="13"/>
        <v>0.88078932292666046</v>
      </c>
      <c r="M262" s="1">
        <f t="shared" si="14"/>
        <v>303.78589255954057</v>
      </c>
    </row>
    <row r="263" spans="1:19" x14ac:dyDescent="0.3">
      <c r="A263" s="1">
        <v>261</v>
      </c>
      <c r="C263" s="1" t="s">
        <v>29</v>
      </c>
      <c r="D263" s="1">
        <v>19.899999999999999</v>
      </c>
      <c r="E263" s="1">
        <v>527</v>
      </c>
      <c r="F263" s="1">
        <v>30</v>
      </c>
      <c r="G263" s="1">
        <v>0.41283558041869045</v>
      </c>
      <c r="H263" s="1">
        <v>1.7431887755505531</v>
      </c>
      <c r="I263" s="1">
        <v>791.53455373381291</v>
      </c>
      <c r="J263" s="1" t="s">
        <v>16</v>
      </c>
      <c r="K263" s="1">
        <f t="shared" si="12"/>
        <v>0.48103820840210132</v>
      </c>
      <c r="L263" s="1">
        <f t="shared" si="13"/>
        <v>0.87050263239048686</v>
      </c>
      <c r="M263" s="1">
        <f t="shared" si="14"/>
        <v>394.79008914832912</v>
      </c>
    </row>
    <row r="264" spans="1:19" x14ac:dyDescent="0.3">
      <c r="A264" s="1">
        <v>262</v>
      </c>
      <c r="C264" s="1" t="s">
        <v>29</v>
      </c>
      <c r="D264" s="1">
        <v>19.899999999999999</v>
      </c>
      <c r="E264" s="1">
        <v>528</v>
      </c>
      <c r="F264" s="1">
        <v>45</v>
      </c>
      <c r="G264" s="1">
        <v>0.41511010034934731</v>
      </c>
      <c r="H264" s="1">
        <v>1.7366837702280977</v>
      </c>
      <c r="I264" s="1">
        <v>967.00418701542503</v>
      </c>
      <c r="J264" s="1" t="s">
        <v>16</v>
      </c>
      <c r="K264" s="1">
        <f t="shared" si="12"/>
        <v>0.48368849109166112</v>
      </c>
      <c r="L264" s="1">
        <f t="shared" si="13"/>
        <v>0.86725420380011631</v>
      </c>
      <c r="M264" s="1">
        <f t="shared" si="14"/>
        <v>482.30828003373739</v>
      </c>
    </row>
    <row r="265" spans="1:19" x14ac:dyDescent="0.3">
      <c r="A265" s="1">
        <v>263</v>
      </c>
      <c r="C265" s="1" t="s">
        <v>29</v>
      </c>
      <c r="D265" s="1">
        <v>19.899999999999999</v>
      </c>
      <c r="E265" s="1">
        <v>529</v>
      </c>
      <c r="F265" s="1">
        <v>0</v>
      </c>
      <c r="G265" s="1">
        <v>0.39846562611102387</v>
      </c>
      <c r="H265" s="1">
        <v>1.7637879590716619</v>
      </c>
      <c r="I265" s="1">
        <v>410.3143053851025</v>
      </c>
      <c r="J265" s="1" t="s">
        <v>83</v>
      </c>
      <c r="K265" s="1">
        <f t="shared" si="12"/>
        <v>0.46429426141000951</v>
      </c>
      <c r="L265" s="1">
        <f t="shared" si="13"/>
        <v>0.88078932292666046</v>
      </c>
      <c r="M265" s="1">
        <f t="shared" si="14"/>
        <v>204.6505998224491</v>
      </c>
      <c r="N265" s="1">
        <f>SLOPE(K265:K268,F265:F268)</f>
        <v>-1.8042884976947614E-5</v>
      </c>
      <c r="O265" s="1">
        <f>SLOPE(L265:L268,F265:F268)</f>
        <v>-2.1295254092429532E-4</v>
      </c>
      <c r="P265" s="1">
        <f>SLOPE(M265:M268,F265:F268)</f>
        <v>2.9099120634955917</v>
      </c>
      <c r="Q265" s="1">
        <f>(N265*84.63/0.31*60)/1000</f>
        <v>-2.9554245592240192E-4</v>
      </c>
      <c r="R265" s="1">
        <f>O265*84.63/0.31*60</f>
        <v>-3.4881626203399572</v>
      </c>
      <c r="S265" s="1">
        <f>(P265*84.63/0.31*60)/1000</f>
        <v>47.664359600057786</v>
      </c>
    </row>
    <row r="266" spans="1:19" x14ac:dyDescent="0.3">
      <c r="A266" s="1">
        <v>264</v>
      </c>
      <c r="C266" s="1" t="s">
        <v>29</v>
      </c>
      <c r="D266" s="1">
        <v>19.899999999999999</v>
      </c>
      <c r="E266" s="1">
        <v>530</v>
      </c>
      <c r="F266" s="1">
        <v>15</v>
      </c>
      <c r="G266" s="1">
        <v>0.40021006724428182</v>
      </c>
      <c r="H266" s="1">
        <v>1.7659562941791471</v>
      </c>
      <c r="I266" s="1">
        <v>561.71141596543407</v>
      </c>
      <c r="J266" s="1" t="s">
        <v>83</v>
      </c>
      <c r="K266" s="1">
        <f t="shared" si="12"/>
        <v>0.46632689347276512</v>
      </c>
      <c r="L266" s="1">
        <f t="shared" si="13"/>
        <v>0.8818721324567842</v>
      </c>
      <c r="M266" s="1">
        <f t="shared" si="14"/>
        <v>280.16224805165422</v>
      </c>
    </row>
    <row r="267" spans="1:19" x14ac:dyDescent="0.3">
      <c r="A267" s="1">
        <v>265</v>
      </c>
      <c r="C267" s="1" t="s">
        <v>29</v>
      </c>
      <c r="D267" s="1">
        <v>19.899999999999999</v>
      </c>
      <c r="E267" s="1">
        <v>531</v>
      </c>
      <c r="F267" s="1">
        <v>30</v>
      </c>
      <c r="G267" s="1">
        <v>0.40190631939595811</v>
      </c>
      <c r="H267" s="1">
        <v>1.7670404617328896</v>
      </c>
      <c r="I267" s="1">
        <v>592.77320725420941</v>
      </c>
      <c r="J267" s="1" t="s">
        <v>83</v>
      </c>
      <c r="K267" s="1">
        <f t="shared" si="12"/>
        <v>0.46830337547853851</v>
      </c>
      <c r="L267" s="1">
        <f t="shared" si="13"/>
        <v>0.88241353722184579</v>
      </c>
      <c r="M267" s="1">
        <f t="shared" si="14"/>
        <v>295.65479641123767</v>
      </c>
    </row>
    <row r="268" spans="1:19" x14ac:dyDescent="0.3">
      <c r="A268" s="1">
        <v>266</v>
      </c>
      <c r="C268" s="1" t="s">
        <v>29</v>
      </c>
      <c r="D268" s="1">
        <v>19.899999999999999</v>
      </c>
      <c r="E268" s="1">
        <v>532</v>
      </c>
      <c r="F268" s="1">
        <v>45</v>
      </c>
      <c r="G268" s="1">
        <v>0.39712597242305225</v>
      </c>
      <c r="H268" s="1">
        <v>1.7421046079968106</v>
      </c>
      <c r="I268" s="1">
        <v>691.67184516395309</v>
      </c>
      <c r="J268" s="1" t="s">
        <v>83</v>
      </c>
      <c r="K268" s="1">
        <f t="shared" si="12"/>
        <v>0.46273328982590434</v>
      </c>
      <c r="L268" s="1">
        <f t="shared" si="13"/>
        <v>0.86996122762542516</v>
      </c>
      <c r="M268" s="1">
        <f t="shared" si="14"/>
        <v>344.98202021070085</v>
      </c>
    </row>
    <row r="269" spans="1:19" x14ac:dyDescent="0.3">
      <c r="A269" s="1">
        <v>267</v>
      </c>
      <c r="C269" s="1" t="s">
        <v>29</v>
      </c>
      <c r="D269" s="1">
        <v>19.899999999999999</v>
      </c>
      <c r="E269" s="1" t="s">
        <v>101</v>
      </c>
      <c r="G269" s="1">
        <v>0.39351179880442383</v>
      </c>
      <c r="H269" s="1">
        <v>1.7518621159804937</v>
      </c>
      <c r="I269" s="1">
        <v>382.81928310074051</v>
      </c>
      <c r="K269" s="1">
        <f t="shared" si="12"/>
        <v>0.45852203555223947</v>
      </c>
      <c r="L269" s="1">
        <f t="shared" si="13"/>
        <v>0.87483387051098105</v>
      </c>
      <c r="M269" s="1">
        <f t="shared" si="14"/>
        <v>190.93703261609699</v>
      </c>
    </row>
    <row r="270" spans="1:19" x14ac:dyDescent="0.3">
      <c r="A270" s="1">
        <v>268</v>
      </c>
      <c r="C270" s="1" t="s">
        <v>29</v>
      </c>
      <c r="D270" s="1">
        <v>19.899999999999999</v>
      </c>
      <c r="E270" s="1" t="s">
        <v>102</v>
      </c>
      <c r="G270" s="1">
        <v>0.39501529502977328</v>
      </c>
      <c r="H270" s="1">
        <v>1.741020440443068</v>
      </c>
      <c r="I270" s="1">
        <v>385.51361202345117</v>
      </c>
      <c r="K270" s="1">
        <f t="shared" si="12"/>
        <v>0.46027391733008405</v>
      </c>
      <c r="L270" s="1">
        <f t="shared" si="13"/>
        <v>0.86941982286036346</v>
      </c>
      <c r="M270" s="1">
        <f t="shared" si="14"/>
        <v>192.28087079798587</v>
      </c>
    </row>
    <row r="271" spans="1:19" x14ac:dyDescent="0.3">
      <c r="A271" s="1">
        <v>269</v>
      </c>
      <c r="C271" s="1" t="s">
        <v>29</v>
      </c>
      <c r="D271" s="1">
        <v>19.899999999999999</v>
      </c>
      <c r="E271" s="1" t="s">
        <v>103</v>
      </c>
      <c r="G271" s="1">
        <v>0.39418644454656776</v>
      </c>
      <c r="H271" s="1">
        <v>1.7594512888566916</v>
      </c>
      <c r="I271" s="1">
        <v>385.14806450318468</v>
      </c>
      <c r="K271" s="1">
        <f t="shared" si="12"/>
        <v>0.45930813634999013</v>
      </c>
      <c r="L271" s="1">
        <f t="shared" si="13"/>
        <v>0.87862370386641342</v>
      </c>
      <c r="M271" s="1">
        <f t="shared" si="14"/>
        <v>192.09854832395965</v>
      </c>
    </row>
    <row r="272" spans="1:19" x14ac:dyDescent="0.3">
      <c r="A272" s="1">
        <v>270</v>
      </c>
      <c r="B272" s="1" t="s">
        <v>104</v>
      </c>
      <c r="C272" s="1" t="s">
        <v>29</v>
      </c>
      <c r="D272" s="1">
        <v>19.899999999999999</v>
      </c>
      <c r="E272" s="1">
        <v>197</v>
      </c>
      <c r="F272" s="1">
        <v>0</v>
      </c>
      <c r="G272" s="1">
        <v>0.40256168954546945</v>
      </c>
      <c r="H272" s="1">
        <v>2.3546592758613589</v>
      </c>
      <c r="I272" s="1">
        <v>408.3354748087267</v>
      </c>
      <c r="J272" s="1" t="s">
        <v>83</v>
      </c>
      <c r="K272" s="1">
        <f t="shared" si="12"/>
        <v>0.46906701625349645</v>
      </c>
      <c r="L272" s="1">
        <f t="shared" si="13"/>
        <v>1.1758549198853234</v>
      </c>
      <c r="M272" s="1">
        <f t="shared" si="14"/>
        <v>203.66362749638739</v>
      </c>
      <c r="N272" s="1">
        <f>SLOPE(K272:K275,F272:F275)</f>
        <v>6.7424988424224553E-4</v>
      </c>
      <c r="O272" s="1">
        <f>SLOPE(L272:L275,F272:F275)</f>
        <v>3.5516152588051957E-3</v>
      </c>
      <c r="P272" s="1">
        <f>SLOPE(M272:M275,F272:F275)</f>
        <v>11.31691640658128</v>
      </c>
      <c r="Q272" s="1">
        <f>(N272*84.63/0.31*60)/1000</f>
        <v>1.1044213103887982E-2</v>
      </c>
      <c r="R272" s="1">
        <f>O272*84.63/0.31*60</f>
        <v>58.175457939229098</v>
      </c>
      <c r="S272" s="1">
        <f>(P272*84.63/0.31*60)/1000</f>
        <v>185.37109073980136</v>
      </c>
    </row>
    <row r="273" spans="1:19" x14ac:dyDescent="0.3">
      <c r="A273" s="1">
        <v>271</v>
      </c>
      <c r="B273" s="1" t="s">
        <v>105</v>
      </c>
      <c r="C273" s="1" t="s">
        <v>29</v>
      </c>
      <c r="D273" s="1">
        <v>19.899999999999999</v>
      </c>
      <c r="E273" s="1">
        <v>198</v>
      </c>
      <c r="F273" s="1">
        <v>15</v>
      </c>
      <c r="G273" s="1">
        <v>0.40850820987265268</v>
      </c>
      <c r="H273" s="1">
        <v>2.258168363578271</v>
      </c>
      <c r="I273" s="1">
        <v>1302.220036240255</v>
      </c>
      <c r="J273" s="1" t="s">
        <v>83</v>
      </c>
      <c r="K273" s="1">
        <f t="shared" si="12"/>
        <v>0.47599593328509976</v>
      </c>
      <c r="L273" s="1">
        <f t="shared" si="13"/>
        <v>1.1276698957948263</v>
      </c>
      <c r="M273" s="1">
        <f t="shared" si="14"/>
        <v>649.50236445510859</v>
      </c>
    </row>
    <row r="274" spans="1:19" x14ac:dyDescent="0.3">
      <c r="A274" s="1">
        <v>272</v>
      </c>
      <c r="C274" s="1" t="s">
        <v>29</v>
      </c>
      <c r="D274" s="1">
        <v>19.899999999999999</v>
      </c>
      <c r="E274" s="1">
        <v>199</v>
      </c>
      <c r="F274" s="1">
        <v>30</v>
      </c>
      <c r="G274" s="1">
        <v>0.41128389521175934</v>
      </c>
      <c r="H274" s="1">
        <v>2.4012784806722891</v>
      </c>
      <c r="I274" s="1">
        <v>1369.3842754239329</v>
      </c>
      <c r="J274" s="1" t="s">
        <v>83</v>
      </c>
      <c r="K274" s="1">
        <f t="shared" si="12"/>
        <v>0.47923017656727446</v>
      </c>
      <c r="L274" s="1">
        <f t="shared" si="13"/>
        <v>1.1991353247829795</v>
      </c>
      <c r="M274" s="1">
        <f t="shared" si="14"/>
        <v>683.0015665427801</v>
      </c>
    </row>
    <row r="275" spans="1:19" x14ac:dyDescent="0.3">
      <c r="A275" s="1">
        <v>273</v>
      </c>
      <c r="C275" s="1" t="s">
        <v>29</v>
      </c>
      <c r="D275" s="1">
        <v>19.899999999999999</v>
      </c>
      <c r="E275" s="1">
        <v>200</v>
      </c>
      <c r="F275" s="1">
        <v>45</v>
      </c>
      <c r="G275" s="1">
        <v>0.43056912564076055</v>
      </c>
      <c r="H275" s="1">
        <v>2.6625628611242473</v>
      </c>
      <c r="I275" s="1">
        <v>1520.4402083186826</v>
      </c>
      <c r="J275" s="1" t="s">
        <v>83</v>
      </c>
      <c r="K275" s="1">
        <f t="shared" si="12"/>
        <v>0.50170142937155049</v>
      </c>
      <c r="L275" s="1">
        <f t="shared" si="13"/>
        <v>1.3296138731628655</v>
      </c>
      <c r="M275" s="1">
        <f t="shared" si="14"/>
        <v>758.34304712956089</v>
      </c>
    </row>
    <row r="276" spans="1:19" x14ac:dyDescent="0.3">
      <c r="A276" s="1">
        <v>274</v>
      </c>
      <c r="C276" s="1" t="s">
        <v>29</v>
      </c>
      <c r="D276" s="1">
        <v>19.899999999999999</v>
      </c>
      <c r="E276" s="1">
        <v>201</v>
      </c>
      <c r="F276" s="1">
        <v>0</v>
      </c>
      <c r="G276" s="1">
        <v>0.40260987852705116</v>
      </c>
      <c r="H276" s="1">
        <v>1.1403916156696878</v>
      </c>
      <c r="I276" s="1">
        <v>378.5233686425691</v>
      </c>
      <c r="J276" s="1" t="s">
        <v>16</v>
      </c>
      <c r="K276" s="1">
        <f t="shared" si="12"/>
        <v>0.46912316631047868</v>
      </c>
      <c r="L276" s="1">
        <f t="shared" si="13"/>
        <v>0.5694815830161446</v>
      </c>
      <c r="M276" s="1">
        <f t="shared" si="14"/>
        <v>188.79437890134147</v>
      </c>
      <c r="N276" s="1">
        <f>SLOPE(K276:K279,F276:F279)</f>
        <v>3.2177725987932187E-4</v>
      </c>
      <c r="O276" s="1">
        <f>SLOPE(L276:L279,F276:F279)</f>
        <v>2.3269576802354738E-2</v>
      </c>
      <c r="P276" s="1">
        <f>SLOPE(M276:M279,F276:F279)</f>
        <v>5.1790473352546362</v>
      </c>
      <c r="Q276" s="1">
        <f>(N276*84.63/0.31*60)/1000</f>
        <v>5.2707115168232925E-3</v>
      </c>
      <c r="R276" s="1">
        <f>O276*84.63/0.31*60</f>
        <v>381.15566802257058</v>
      </c>
      <c r="S276" s="1">
        <f>(P276*84.63/0.31*60)/1000</f>
        <v>84.832795351470935</v>
      </c>
    </row>
    <row r="277" spans="1:19" x14ac:dyDescent="0.3">
      <c r="A277" s="1">
        <v>275</v>
      </c>
      <c r="C277" s="1" t="s">
        <v>29</v>
      </c>
      <c r="D277" s="1">
        <v>19.899999999999999</v>
      </c>
      <c r="E277" s="1">
        <v>202</v>
      </c>
      <c r="F277" s="1">
        <v>15</v>
      </c>
      <c r="G277" s="1">
        <v>0.4083540051315912</v>
      </c>
      <c r="H277" s="1">
        <v>-3.4846012587251146E-2</v>
      </c>
      <c r="I277" s="1">
        <v>682.60529186795748</v>
      </c>
      <c r="J277" s="1" t="s">
        <v>16</v>
      </c>
      <c r="K277" s="1">
        <f t="shared" si="12"/>
        <v>0.47581625310275671</v>
      </c>
      <c r="L277" s="1">
        <f t="shared" si="13"/>
        <v>-1.7401182310810767E-2</v>
      </c>
      <c r="M277" s="1">
        <f t="shared" si="14"/>
        <v>340.45993666158785</v>
      </c>
    </row>
    <row r="278" spans="1:19" x14ac:dyDescent="0.3">
      <c r="A278" s="1">
        <v>276</v>
      </c>
      <c r="C278" s="1" t="s">
        <v>29</v>
      </c>
      <c r="D278" s="1">
        <v>19.899999999999999</v>
      </c>
      <c r="E278" s="1">
        <v>203</v>
      </c>
      <c r="F278" s="1">
        <v>30</v>
      </c>
      <c r="G278" s="1">
        <v>0.41230550162129159</v>
      </c>
      <c r="H278" s="1">
        <v>2.1638457864026681</v>
      </c>
      <c r="I278" s="1">
        <v>788.4620049767999</v>
      </c>
      <c r="J278" s="1" t="s">
        <v>16</v>
      </c>
      <c r="K278" s="1">
        <f t="shared" si="12"/>
        <v>0.48042055777529707</v>
      </c>
      <c r="L278" s="1">
        <f t="shared" si="13"/>
        <v>1.0805676812344527</v>
      </c>
      <c r="M278" s="1">
        <f t="shared" si="14"/>
        <v>393.25760797998117</v>
      </c>
    </row>
    <row r="279" spans="1:19" x14ac:dyDescent="0.3">
      <c r="A279" s="1">
        <v>277</v>
      </c>
      <c r="C279" s="1" t="s">
        <v>29</v>
      </c>
      <c r="D279" s="1">
        <v>19.899999999999999</v>
      </c>
      <c r="E279" s="1">
        <v>204</v>
      </c>
      <c r="F279" s="1">
        <v>45</v>
      </c>
      <c r="G279" s="1">
        <v>0.4151004625530309</v>
      </c>
      <c r="H279" s="1">
        <v>2.737370422332484</v>
      </c>
      <c r="I279" s="1">
        <v>862.42445324404696</v>
      </c>
      <c r="J279" s="1" t="s">
        <v>16</v>
      </c>
      <c r="K279" s="1">
        <f t="shared" si="12"/>
        <v>0.48367726108026465</v>
      </c>
      <c r="L279" s="1">
        <f t="shared" si="13"/>
        <v>1.3669708019521272</v>
      </c>
      <c r="M279" s="1">
        <f t="shared" si="14"/>
        <v>430.14752189127552</v>
      </c>
    </row>
    <row r="280" spans="1:19" x14ac:dyDescent="0.3">
      <c r="A280" s="1">
        <v>278</v>
      </c>
      <c r="C280" s="1" t="s">
        <v>29</v>
      </c>
      <c r="D280" s="1">
        <v>19.899999999999999</v>
      </c>
      <c r="E280" s="1">
        <v>205</v>
      </c>
      <c r="F280" s="1">
        <v>0</v>
      </c>
      <c r="G280" s="1">
        <v>0.40094253976432387</v>
      </c>
      <c r="H280" s="1">
        <v>2.4684968690043285</v>
      </c>
      <c r="I280" s="1">
        <v>377.53297856099385</v>
      </c>
      <c r="J280" s="1" t="s">
        <v>16</v>
      </c>
      <c r="K280" s="1">
        <f t="shared" si="12"/>
        <v>0.46718037433889453</v>
      </c>
      <c r="L280" s="1">
        <f t="shared" si="13"/>
        <v>1.2327024202168093</v>
      </c>
      <c r="M280" s="1">
        <f t="shared" si="14"/>
        <v>188.3004065450466</v>
      </c>
      <c r="N280" s="1">
        <f>SLOPE(K280:K283,F280:F283)</f>
        <v>5.2608860055188542E-4</v>
      </c>
      <c r="O280" s="1">
        <f>SLOPE(L280:L283,F280:F283)</f>
        <v>1.9129635032181754E-4</v>
      </c>
      <c r="P280" s="1">
        <f>SLOPE(M280:M283,F280:F283)</f>
        <v>5.8413041453977872</v>
      </c>
      <c r="Q280" s="1">
        <f>(N280*84.63/0.31*60)/1000</f>
        <v>8.6173312770398847E-3</v>
      </c>
      <c r="R280" s="1">
        <f>O280*84.63/0.31*60</f>
        <v>3.133434218271371</v>
      </c>
      <c r="S280" s="1">
        <f>(P280*84.63/0.31*60)/1000</f>
        <v>95.680561901615761</v>
      </c>
    </row>
    <row r="281" spans="1:19" x14ac:dyDescent="0.3">
      <c r="A281" s="1">
        <v>279</v>
      </c>
      <c r="C281" s="1" t="s">
        <v>29</v>
      </c>
      <c r="D281" s="1">
        <v>19.899999999999999</v>
      </c>
      <c r="E281" s="1">
        <v>206</v>
      </c>
      <c r="F281" s="1">
        <v>15</v>
      </c>
      <c r="G281" s="1">
        <v>0.40950090289323599</v>
      </c>
      <c r="H281" s="1">
        <v>2.3362284274477356</v>
      </c>
      <c r="I281" s="1">
        <v>662.35006007164623</v>
      </c>
      <c r="J281" s="1" t="s">
        <v>16</v>
      </c>
      <c r="K281" s="1">
        <f t="shared" si="12"/>
        <v>0.47715262445893308</v>
      </c>
      <c r="L281" s="1">
        <f t="shared" si="13"/>
        <v>1.1666510388792735</v>
      </c>
      <c r="M281" s="1">
        <f t="shared" si="14"/>
        <v>330.35732682748204</v>
      </c>
    </row>
    <row r="282" spans="1:19" x14ac:dyDescent="0.3">
      <c r="A282" s="1">
        <v>280</v>
      </c>
      <c r="C282" s="1" t="s">
        <v>29</v>
      </c>
      <c r="D282" s="1">
        <v>19.899999999999999</v>
      </c>
      <c r="E282" s="1">
        <v>207</v>
      </c>
      <c r="F282" s="1">
        <v>30</v>
      </c>
      <c r="G282" s="1">
        <v>0.42090241593546907</v>
      </c>
      <c r="H282" s="1">
        <v>2.3416492652164482</v>
      </c>
      <c r="I282" s="1">
        <v>867.64252224667723</v>
      </c>
      <c r="J282" s="1" t="s">
        <v>16</v>
      </c>
      <c r="K282" s="1">
        <f t="shared" si="12"/>
        <v>0.49043772794092139</v>
      </c>
      <c r="L282" s="1">
        <f t="shared" si="13"/>
        <v>1.1693580627045823</v>
      </c>
      <c r="M282" s="1">
        <f t="shared" si="14"/>
        <v>432.75011443384102</v>
      </c>
    </row>
    <row r="283" spans="1:19" x14ac:dyDescent="0.3">
      <c r="A283" s="1">
        <v>281</v>
      </c>
      <c r="C283" s="1" t="s">
        <v>29</v>
      </c>
      <c r="D283" s="1">
        <v>19.899999999999999</v>
      </c>
      <c r="E283" s="1">
        <v>208</v>
      </c>
      <c r="F283" s="1">
        <v>45</v>
      </c>
      <c r="G283" s="1">
        <v>0.41971696698855898</v>
      </c>
      <c r="H283" s="1">
        <v>2.4858435498642093</v>
      </c>
      <c r="I283" s="1">
        <v>894.67841684558459</v>
      </c>
      <c r="J283" s="1" t="s">
        <v>16</v>
      </c>
      <c r="K283" s="1">
        <f t="shared" si="12"/>
        <v>0.48905643653915937</v>
      </c>
      <c r="L283" s="1">
        <f t="shared" si="13"/>
        <v>1.2413648964577972</v>
      </c>
      <c r="M283" s="1">
        <f t="shared" si="14"/>
        <v>446.2346846128163</v>
      </c>
    </row>
    <row r="284" spans="1:19" x14ac:dyDescent="0.3">
      <c r="A284" s="1">
        <v>282</v>
      </c>
      <c r="C284" s="1" t="s">
        <v>29</v>
      </c>
      <c r="D284" s="1">
        <v>19.899999999999999</v>
      </c>
      <c r="E284" s="1">
        <v>209</v>
      </c>
      <c r="F284" s="1">
        <v>0</v>
      </c>
      <c r="G284" s="1">
        <v>0.40118348467223242</v>
      </c>
      <c r="H284" s="1">
        <v>2.429466837069596</v>
      </c>
      <c r="I284" s="1">
        <v>386.52349797277395</v>
      </c>
      <c r="J284" s="1" t="s">
        <v>16</v>
      </c>
      <c r="K284" s="1">
        <f t="shared" si="12"/>
        <v>0.46746112462380546</v>
      </c>
      <c r="L284" s="1">
        <f t="shared" si="13"/>
        <v>1.2132118486745855</v>
      </c>
      <c r="M284" s="1">
        <f t="shared" si="14"/>
        <v>192.78456701956213</v>
      </c>
      <c r="N284" s="1">
        <f>SLOPE(K284:K287,F284:F287)</f>
        <v>6.4774705734665038E-4</v>
      </c>
      <c r="O284" s="1">
        <f>SLOPE(L284:L287,F284:F287)</f>
        <v>-1.9057447730174207E-3</v>
      </c>
      <c r="P284" s="1">
        <f>SLOPE(M284:M287,F284:F287)</f>
        <v>2.4173723566854926</v>
      </c>
      <c r="Q284" s="1">
        <f>(N284*84.63/0.31*60)/1000</f>
        <v>1.0610096799338133E-2</v>
      </c>
      <c r="R284" s="1">
        <f>O284*84.63/0.31*60</f>
        <v>-31.216099382025348</v>
      </c>
      <c r="S284" s="1">
        <f>(P284*84.63/0.31*60)/1000</f>
        <v>39.596559202508367</v>
      </c>
    </row>
    <row r="285" spans="1:19" x14ac:dyDescent="0.3">
      <c r="A285" s="1">
        <v>283</v>
      </c>
      <c r="C285" s="1" t="s">
        <v>29</v>
      </c>
      <c r="D285" s="1">
        <v>19.899999999999999</v>
      </c>
      <c r="E285" s="1">
        <v>210</v>
      </c>
      <c r="F285" s="1">
        <v>15</v>
      </c>
      <c r="G285" s="1">
        <v>0.40661920179464955</v>
      </c>
      <c r="H285" s="1">
        <v>2.3589959460763295</v>
      </c>
      <c r="I285" s="1">
        <v>514.07618750447125</v>
      </c>
      <c r="J285" s="1" t="s">
        <v>16</v>
      </c>
      <c r="K285" s="1">
        <f t="shared" si="12"/>
        <v>0.47379485105139757</v>
      </c>
      <c r="L285" s="1">
        <f t="shared" si="13"/>
        <v>1.1780205389455707</v>
      </c>
      <c r="M285" s="1">
        <f t="shared" si="14"/>
        <v>256.40344181635641</v>
      </c>
    </row>
    <row r="286" spans="1:19" x14ac:dyDescent="0.3">
      <c r="A286" s="1">
        <v>284</v>
      </c>
      <c r="C286" s="1" t="s">
        <v>29</v>
      </c>
      <c r="D286" s="1">
        <v>19.899999999999999</v>
      </c>
      <c r="E286" s="1">
        <v>211</v>
      </c>
      <c r="F286" s="1">
        <v>30</v>
      </c>
      <c r="G286" s="1">
        <v>0.40792030429735576</v>
      </c>
      <c r="H286" s="1">
        <v>2.258168363578271</v>
      </c>
      <c r="I286" s="1">
        <v>609.35541756688338</v>
      </c>
      <c r="J286" s="1" t="s">
        <v>16</v>
      </c>
      <c r="K286" s="1">
        <f t="shared" si="12"/>
        <v>0.47531090258991693</v>
      </c>
      <c r="L286" s="1">
        <f t="shared" si="13"/>
        <v>1.1276698957948263</v>
      </c>
      <c r="M286" s="1">
        <f t="shared" si="14"/>
        <v>303.92543002632863</v>
      </c>
    </row>
    <row r="287" spans="1:19" x14ac:dyDescent="0.3">
      <c r="A287" s="1">
        <v>285</v>
      </c>
      <c r="C287" s="1" t="s">
        <v>29</v>
      </c>
      <c r="D287" s="1">
        <v>19.899999999999999</v>
      </c>
      <c r="E287" s="1">
        <v>212</v>
      </c>
      <c r="F287" s="1">
        <v>45</v>
      </c>
      <c r="G287" s="1">
        <v>0.42854518841432865</v>
      </c>
      <c r="H287" s="1">
        <v>2.2722625417769242</v>
      </c>
      <c r="I287" s="1">
        <v>597.09934030738953</v>
      </c>
      <c r="J287" s="1" t="s">
        <v>16</v>
      </c>
      <c r="K287" s="1">
        <f t="shared" si="12"/>
        <v>0.49934312697829819</v>
      </c>
      <c r="L287" s="1">
        <f t="shared" si="13"/>
        <v>1.1347081577406293</v>
      </c>
      <c r="M287" s="1">
        <f t="shared" si="14"/>
        <v>297.81252211717936</v>
      </c>
    </row>
    <row r="288" spans="1:19" x14ac:dyDescent="0.3">
      <c r="A288" s="1">
        <v>286</v>
      </c>
      <c r="C288" s="1" t="s">
        <v>29</v>
      </c>
      <c r="D288" s="1">
        <v>19.899999999999999</v>
      </c>
      <c r="E288" s="1">
        <v>213</v>
      </c>
      <c r="F288" s="1">
        <v>0</v>
      </c>
      <c r="G288" s="1">
        <v>0.40169428787699862</v>
      </c>
      <c r="H288" s="1">
        <v>2.2072124885523703</v>
      </c>
      <c r="I288" s="1">
        <v>395.83277482222644</v>
      </c>
      <c r="J288" s="1" t="s">
        <v>16</v>
      </c>
      <c r="K288" s="1">
        <f t="shared" si="12"/>
        <v>0.46805631522781688</v>
      </c>
      <c r="L288" s="1">
        <f t="shared" si="13"/>
        <v>1.1022238718369231</v>
      </c>
      <c r="M288" s="1">
        <f t="shared" si="14"/>
        <v>197.42771269142847</v>
      </c>
      <c r="N288" s="1">
        <f>SLOPE(K288:K291,F288:F291)</f>
        <v>4.8453755838505743E-4</v>
      </c>
      <c r="O288" s="1">
        <f>SLOPE(L288:L291,F288:F291)</f>
        <v>2.0068069958289504E-3</v>
      </c>
      <c r="P288" s="1">
        <f>SLOPE(M288:M291,F288:F291)</f>
        <v>5.7882410125572124</v>
      </c>
      <c r="Q288" s="1">
        <f>(N288*84.63/0.31*60)/1000</f>
        <v>7.93672520634724E-3</v>
      </c>
      <c r="R288" s="1">
        <f>O288*84.63/0.31*60</f>
        <v>32.871498591678204</v>
      </c>
      <c r="S288" s="1">
        <f>(P288*84.63/0.31*60)/1000</f>
        <v>94.811387785687131</v>
      </c>
    </row>
    <row r="289" spans="1:19" x14ac:dyDescent="0.3">
      <c r="A289" s="1">
        <v>287</v>
      </c>
      <c r="C289" s="1" t="s">
        <v>29</v>
      </c>
      <c r="D289" s="1">
        <v>19.899999999999999</v>
      </c>
      <c r="E289" s="1">
        <v>214</v>
      </c>
      <c r="F289" s="1">
        <v>15</v>
      </c>
      <c r="G289" s="1">
        <v>0.40819016259421337</v>
      </c>
      <c r="H289" s="1">
        <v>2.3795951295974378</v>
      </c>
      <c r="I289" s="1">
        <v>621.62611672718788</v>
      </c>
      <c r="J289" s="1" t="s">
        <v>16</v>
      </c>
      <c r="K289" s="1">
        <f t="shared" si="12"/>
        <v>0.47562534290901726</v>
      </c>
      <c r="L289" s="1">
        <f t="shared" si="13"/>
        <v>1.1883072294817441</v>
      </c>
      <c r="M289" s="1">
        <f t="shared" si="14"/>
        <v>310.04563083443901</v>
      </c>
    </row>
    <row r="290" spans="1:19" x14ac:dyDescent="0.3">
      <c r="A290" s="1">
        <v>288</v>
      </c>
      <c r="C290" s="1" t="s">
        <v>29</v>
      </c>
      <c r="D290" s="1">
        <v>19.899999999999999</v>
      </c>
      <c r="E290" s="1">
        <v>215</v>
      </c>
      <c r="F290" s="1">
        <v>30</v>
      </c>
      <c r="G290" s="1">
        <v>0.41450291918141768</v>
      </c>
      <c r="H290" s="1">
        <v>2.3351442598939931</v>
      </c>
      <c r="I290" s="1">
        <v>799.51713678304498</v>
      </c>
      <c r="J290" s="1" t="s">
        <v>16</v>
      </c>
      <c r="K290" s="1">
        <f t="shared" si="12"/>
        <v>0.48298100037368535</v>
      </c>
      <c r="L290" s="1">
        <f t="shared" si="13"/>
        <v>1.1661096341142119</v>
      </c>
      <c r="M290" s="1">
        <f t="shared" si="14"/>
        <v>398.77152578779652</v>
      </c>
    </row>
    <row r="291" spans="1:19" x14ac:dyDescent="0.3">
      <c r="A291" s="1">
        <v>289</v>
      </c>
      <c r="C291" s="1" t="s">
        <v>29</v>
      </c>
      <c r="D291" s="1">
        <v>19.899999999999999</v>
      </c>
      <c r="E291" s="1">
        <v>216</v>
      </c>
      <c r="F291" s="1">
        <v>45</v>
      </c>
      <c r="G291" s="1">
        <v>0.42038197493438662</v>
      </c>
      <c r="H291" s="1">
        <v>2.4229618317471404</v>
      </c>
      <c r="I291" s="1">
        <v>916.79257963162422</v>
      </c>
      <c r="J291" s="1" t="s">
        <v>16</v>
      </c>
      <c r="K291" s="1">
        <f t="shared" si="12"/>
        <v>0.48983130732551372</v>
      </c>
      <c r="L291" s="1">
        <f t="shared" si="13"/>
        <v>1.2099634200842146</v>
      </c>
      <c r="M291" s="1">
        <f t="shared" si="14"/>
        <v>457.26446500150325</v>
      </c>
    </row>
    <row r="292" spans="1:19" x14ac:dyDescent="0.3">
      <c r="A292" s="1">
        <v>290</v>
      </c>
      <c r="C292" s="1" t="s">
        <v>29</v>
      </c>
      <c r="D292" s="1">
        <v>19.899999999999999</v>
      </c>
      <c r="E292" s="1">
        <v>217</v>
      </c>
      <c r="F292" s="1">
        <v>0</v>
      </c>
      <c r="G292" s="1">
        <v>0.40274480767547988</v>
      </c>
      <c r="H292" s="1">
        <v>2.5183685764764863</v>
      </c>
      <c r="I292" s="1">
        <v>384.69673516482902</v>
      </c>
      <c r="J292" s="1" t="s">
        <v>16</v>
      </c>
      <c r="K292" s="1">
        <f t="shared" si="12"/>
        <v>0.46928038647002873</v>
      </c>
      <c r="L292" s="1">
        <f t="shared" si="13"/>
        <v>1.2576070394096504</v>
      </c>
      <c r="M292" s="1">
        <f t="shared" si="14"/>
        <v>191.87344084269535</v>
      </c>
      <c r="N292" s="1">
        <f>SLOPE(K292:K295,F292:F295)</f>
        <v>4.1268045879637102E-3</v>
      </c>
      <c r="O292" s="1">
        <f>SLOPE(L292:L295,F292:F295)</f>
        <v>1.5881206441811829E-3</v>
      </c>
      <c r="P292" s="1">
        <f>SLOPE(M292:M295,F292:F295)</f>
        <v>7.0416861427902218</v>
      </c>
      <c r="Q292" s="1">
        <f>(N292*84.63/0.31*60)/1000</f>
        <v>6.7597059150845573E-2</v>
      </c>
      <c r="R292" s="1">
        <f>O292*84.63/0.31*60</f>
        <v>26.013416151687778</v>
      </c>
      <c r="S292" s="1">
        <f>(P292*84.63/0.31*60)/1000</f>
        <v>115.34281901890384</v>
      </c>
    </row>
    <row r="293" spans="1:19" x14ac:dyDescent="0.3">
      <c r="A293" s="1">
        <v>291</v>
      </c>
      <c r="C293" s="1" t="s">
        <v>29</v>
      </c>
      <c r="D293" s="1">
        <v>19.899999999999999</v>
      </c>
      <c r="E293" s="1">
        <v>218</v>
      </c>
      <c r="F293" s="1">
        <v>15</v>
      </c>
      <c r="G293" s="1">
        <v>0.48314330454640869</v>
      </c>
      <c r="H293" s="1">
        <v>2.5183685764764863</v>
      </c>
      <c r="I293" s="1">
        <v>731.96395503780332</v>
      </c>
      <c r="J293" s="1" t="s">
        <v>16</v>
      </c>
      <c r="K293" s="1">
        <f t="shared" si="12"/>
        <v>0.56296114153912991</v>
      </c>
      <c r="L293" s="1">
        <f t="shared" si="13"/>
        <v>1.2576070394096504</v>
      </c>
      <c r="M293" s="1">
        <f t="shared" si="14"/>
        <v>365.078332587761</v>
      </c>
    </row>
    <row r="294" spans="1:19" x14ac:dyDescent="0.3">
      <c r="A294" s="1">
        <v>292</v>
      </c>
      <c r="C294" s="1" t="s">
        <v>29</v>
      </c>
      <c r="D294" s="1">
        <v>19.899999999999999</v>
      </c>
      <c r="E294" s="1">
        <v>219</v>
      </c>
      <c r="F294" s="1">
        <v>30</v>
      </c>
      <c r="G294" s="1">
        <v>0.53244063270450037</v>
      </c>
      <c r="H294" s="1">
        <v>2.5888394674697528</v>
      </c>
      <c r="I294" s="1">
        <v>919.16035276956359</v>
      </c>
      <c r="J294" s="1" t="s">
        <v>16</v>
      </c>
      <c r="K294" s="1">
        <f t="shared" si="12"/>
        <v>0.62040264983191962</v>
      </c>
      <c r="L294" s="1">
        <f t="shared" si="13"/>
        <v>1.2927983491386652</v>
      </c>
      <c r="M294" s="1">
        <f t="shared" si="14"/>
        <v>458.44542843992878</v>
      </c>
    </row>
    <row r="295" spans="1:19" x14ac:dyDescent="0.3">
      <c r="A295" s="1">
        <v>293</v>
      </c>
      <c r="C295" s="1" t="s">
        <v>29</v>
      </c>
      <c r="D295" s="1">
        <v>19.899999999999999</v>
      </c>
      <c r="E295" s="1">
        <v>220</v>
      </c>
      <c r="F295" s="1">
        <v>45</v>
      </c>
      <c r="G295" s="1">
        <v>0.56339723447259227</v>
      </c>
      <c r="H295" s="1">
        <v>2.6538895206943067</v>
      </c>
      <c r="I295" s="1">
        <v>1028.2095142220662</v>
      </c>
      <c r="J295" s="1" t="s">
        <v>16</v>
      </c>
      <c r="K295" s="1">
        <f t="shared" si="12"/>
        <v>0.65647344643728434</v>
      </c>
      <c r="L295" s="1">
        <f t="shared" si="13"/>
        <v>1.3252826350423712</v>
      </c>
      <c r="M295" s="1">
        <f t="shared" si="14"/>
        <v>512.83538269815051</v>
      </c>
    </row>
    <row r="296" spans="1:19" x14ac:dyDescent="0.3">
      <c r="A296" s="1">
        <v>294</v>
      </c>
      <c r="C296" s="1" t="s">
        <v>29</v>
      </c>
      <c r="D296" s="1">
        <v>19.899999999999999</v>
      </c>
      <c r="E296" s="1">
        <v>221</v>
      </c>
      <c r="F296" s="1">
        <v>0</v>
      </c>
      <c r="G296" s="1">
        <v>0.40073050824536438</v>
      </c>
      <c r="H296" s="1">
        <v>2.432719339730824</v>
      </c>
      <c r="I296" s="1">
        <v>391.72499548781883</v>
      </c>
      <c r="J296" s="1" t="s">
        <v>16</v>
      </c>
      <c r="K296" s="1">
        <f t="shared" si="12"/>
        <v>0.46693331408817296</v>
      </c>
      <c r="L296" s="1">
        <f t="shared" si="13"/>
        <v>1.214836062969771</v>
      </c>
      <c r="M296" s="1">
        <f t="shared" si="14"/>
        <v>195.37889427663842</v>
      </c>
      <c r="N296" s="1">
        <f>SLOPE(K296:K299,F296:F299)</f>
        <v>9.1921386616992029E-4</v>
      </c>
      <c r="O296" s="1">
        <f>SLOPE(L296:L299,F296:F299)</f>
        <v>2.0104163609293599E-3</v>
      </c>
      <c r="P296" s="1">
        <f>SLOPE(M296:M299,F296:F299)</f>
        <v>5.8145732397392305</v>
      </c>
      <c r="Q296" s="1">
        <f>(N296*84.63/0.31*60)/1000</f>
        <v>1.5056723127863294E-2</v>
      </c>
      <c r="R296" s="1">
        <f>O296*84.63/0.31*60</f>
        <v>32.930619992022919</v>
      </c>
      <c r="S296" s="1">
        <f>(P296*84.63/0.31*60)/1000</f>
        <v>95.242709666928576</v>
      </c>
    </row>
    <row r="297" spans="1:19" x14ac:dyDescent="0.3">
      <c r="A297" s="1">
        <v>295</v>
      </c>
      <c r="C297" s="1" t="s">
        <v>29</v>
      </c>
      <c r="D297" s="1">
        <v>19.899999999999999</v>
      </c>
      <c r="E297" s="1">
        <v>222</v>
      </c>
      <c r="F297" s="1">
        <v>15</v>
      </c>
      <c r="G297" s="1">
        <v>0.41392465140243717</v>
      </c>
      <c r="H297" s="1">
        <v>2.7341179196712568</v>
      </c>
      <c r="I297" s="1">
        <v>589.89366758789708</v>
      </c>
      <c r="J297" s="1" t="s">
        <v>16</v>
      </c>
      <c r="K297" s="1">
        <f t="shared" si="12"/>
        <v>0.48230719968989905</v>
      </c>
      <c r="L297" s="1">
        <f t="shared" si="13"/>
        <v>1.3653465876569424</v>
      </c>
      <c r="M297" s="1">
        <f t="shared" si="14"/>
        <v>294.21858150917552</v>
      </c>
    </row>
    <row r="298" spans="1:19" x14ac:dyDescent="0.3">
      <c r="A298" s="1">
        <v>296</v>
      </c>
      <c r="C298" s="1" t="s">
        <v>29</v>
      </c>
      <c r="D298" s="1">
        <v>19.899999999999999</v>
      </c>
      <c r="E298" s="1">
        <v>223</v>
      </c>
      <c r="F298" s="1">
        <v>30</v>
      </c>
      <c r="G298" s="1">
        <v>0.42646342440999874</v>
      </c>
      <c r="H298" s="1">
        <v>2.5508936030887632</v>
      </c>
      <c r="I298" s="1">
        <v>768.35494177536998</v>
      </c>
      <c r="J298" s="1" t="s">
        <v>16</v>
      </c>
      <c r="K298" s="1">
        <f t="shared" si="12"/>
        <v>0.49691744451666725</v>
      </c>
      <c r="L298" s="1">
        <f t="shared" si="13"/>
        <v>1.2738491823615035</v>
      </c>
      <c r="M298" s="1">
        <f t="shared" si="14"/>
        <v>383.22889952201393</v>
      </c>
    </row>
    <row r="299" spans="1:19" x14ac:dyDescent="0.3">
      <c r="A299" s="1">
        <v>297</v>
      </c>
      <c r="C299" s="1" t="s">
        <v>29</v>
      </c>
      <c r="D299" s="1">
        <v>19.899999999999999</v>
      </c>
      <c r="E299" s="1">
        <v>224</v>
      </c>
      <c r="F299" s="1">
        <v>45</v>
      </c>
      <c r="G299" s="1">
        <v>0.43599520496686139</v>
      </c>
      <c r="H299" s="1">
        <v>2.6950878877365243</v>
      </c>
      <c r="I299" s="1">
        <v>915.13445607969561</v>
      </c>
      <c r="J299" s="1" t="s">
        <v>16</v>
      </c>
      <c r="K299" s="1">
        <f t="shared" si="12"/>
        <v>0.50802392578774624</v>
      </c>
      <c r="L299" s="1">
        <f t="shared" si="13"/>
        <v>1.3458560161147186</v>
      </c>
      <c r="M299" s="1">
        <f t="shared" si="14"/>
        <v>456.43745025932054</v>
      </c>
    </row>
    <row r="300" spans="1:19" x14ac:dyDescent="0.3">
      <c r="A300" s="1">
        <v>298</v>
      </c>
      <c r="C300" s="1" t="s">
        <v>29</v>
      </c>
      <c r="D300" s="1">
        <v>19.899999999999999</v>
      </c>
      <c r="E300" s="1">
        <v>225</v>
      </c>
      <c r="F300" s="1">
        <v>0</v>
      </c>
      <c r="G300" s="1">
        <v>0.4424814418877599</v>
      </c>
      <c r="H300" s="1">
        <v>2.5660719488411594</v>
      </c>
      <c r="I300" s="1">
        <v>386.12773185749882</v>
      </c>
      <c r="J300" s="1" t="s">
        <v>83</v>
      </c>
      <c r="K300" s="1">
        <f t="shared" si="12"/>
        <v>0.51558172345755027</v>
      </c>
      <c r="L300" s="1">
        <f t="shared" si="13"/>
        <v>1.2814288490723682</v>
      </c>
      <c r="M300" s="1">
        <f t="shared" si="14"/>
        <v>192.58717255434976</v>
      </c>
      <c r="N300" s="1">
        <f>SLOPE(K300:K303,F300:F303)</f>
        <v>-6.9678477377777025E-4</v>
      </c>
      <c r="O300" s="1">
        <f>SLOPE(L300:L303,F300:F303)</f>
        <v>-1.689182866992717E-3</v>
      </c>
      <c r="P300" s="1">
        <f>SLOPE(M300:M303,F300:F303)</f>
        <v>13.695383578275912</v>
      </c>
      <c r="Q300" s="1">
        <f>(N300*84.63/0.31*60)/1000</f>
        <v>-1.1413334594479876E-2</v>
      </c>
      <c r="R300" s="1">
        <f>O300*84.63/0.31*60</f>
        <v>-27.668815361340705</v>
      </c>
      <c r="S300" s="1">
        <f>(P300*84.63/0.31*60)/1000</f>
        <v>224.33038301215942</v>
      </c>
    </row>
    <row r="301" spans="1:19" x14ac:dyDescent="0.3">
      <c r="A301" s="1">
        <v>299</v>
      </c>
      <c r="C301" s="1" t="s">
        <v>29</v>
      </c>
      <c r="D301" s="1">
        <v>19.899999999999999</v>
      </c>
      <c r="E301" s="1">
        <v>226</v>
      </c>
      <c r="F301" s="1">
        <v>15</v>
      </c>
      <c r="G301" s="1">
        <v>0.41261391110341455</v>
      </c>
      <c r="H301" s="1">
        <v>2.430551004623339</v>
      </c>
      <c r="I301" s="1">
        <v>1294.6741606285675</v>
      </c>
      <c r="J301" s="1" t="s">
        <v>83</v>
      </c>
      <c r="K301" s="1">
        <f t="shared" si="12"/>
        <v>0.48077991813998316</v>
      </c>
      <c r="L301" s="1">
        <f t="shared" si="13"/>
        <v>1.2137532534396474</v>
      </c>
      <c r="M301" s="1">
        <f t="shared" si="14"/>
        <v>645.73874239794418</v>
      </c>
    </row>
    <row r="302" spans="1:19" x14ac:dyDescent="0.3">
      <c r="A302" s="1">
        <v>300</v>
      </c>
      <c r="C302" s="1" t="s">
        <v>29</v>
      </c>
      <c r="D302" s="1">
        <v>19.899999999999999</v>
      </c>
      <c r="E302" s="1">
        <v>227</v>
      </c>
      <c r="F302" s="1">
        <v>30</v>
      </c>
      <c r="G302" s="1">
        <v>0.41130317080439199</v>
      </c>
      <c r="H302" s="1">
        <v>2.3589959460763295</v>
      </c>
      <c r="I302" s="1">
        <v>1486.9024418259692</v>
      </c>
      <c r="J302" s="1" t="s">
        <v>83</v>
      </c>
      <c r="K302" s="1">
        <f t="shared" si="12"/>
        <v>0.47925263659006728</v>
      </c>
      <c r="L302" s="1">
        <f t="shared" si="13"/>
        <v>1.1780205389455707</v>
      </c>
      <c r="M302" s="1">
        <f t="shared" si="14"/>
        <v>741.6155678792403</v>
      </c>
    </row>
    <row r="303" spans="1:19" x14ac:dyDescent="0.3">
      <c r="A303" s="1">
        <v>301</v>
      </c>
      <c r="C303" s="1" t="s">
        <v>29</v>
      </c>
      <c r="D303" s="1">
        <v>19.899999999999999</v>
      </c>
      <c r="E303" s="1">
        <v>228</v>
      </c>
      <c r="F303" s="1">
        <v>45</v>
      </c>
      <c r="G303" s="1">
        <v>0.41301869854870099</v>
      </c>
      <c r="H303" s="1">
        <v>2.4207934966396554</v>
      </c>
      <c r="I303" s="1">
        <v>1694.9798887087368</v>
      </c>
      <c r="J303" s="1" t="s">
        <v>83</v>
      </c>
      <c r="K303" s="1">
        <f t="shared" si="12"/>
        <v>0.48125157861863371</v>
      </c>
      <c r="L303" s="1">
        <f t="shared" si="13"/>
        <v>1.2088806105540912</v>
      </c>
      <c r="M303" s="1">
        <f t="shared" si="14"/>
        <v>845.39740964104658</v>
      </c>
    </row>
    <row r="304" spans="1:19" x14ac:dyDescent="0.3">
      <c r="A304" s="1">
        <v>302</v>
      </c>
      <c r="C304" s="1" t="s">
        <v>29</v>
      </c>
      <c r="D304" s="1">
        <v>19.899999999999999</v>
      </c>
      <c r="E304" s="1" t="s">
        <v>106</v>
      </c>
      <c r="G304" s="1">
        <v>0.40328452426919509</v>
      </c>
      <c r="H304" s="1">
        <v>2.225643336965994</v>
      </c>
      <c r="I304" s="1">
        <v>396.29385209445593</v>
      </c>
      <c r="K304" s="1">
        <f t="shared" si="12"/>
        <v>0.46990926710822944</v>
      </c>
      <c r="L304" s="1">
        <f t="shared" si="13"/>
        <v>1.1114277528429732</v>
      </c>
      <c r="M304" s="1">
        <f t="shared" si="14"/>
        <v>197.65768210533352</v>
      </c>
    </row>
    <row r="305" spans="1:19" x14ac:dyDescent="0.3">
      <c r="A305" s="1">
        <v>303</v>
      </c>
      <c r="C305" s="1" t="s">
        <v>29</v>
      </c>
      <c r="D305" s="1">
        <v>19.899999999999999</v>
      </c>
      <c r="E305" s="1" t="s">
        <v>107</v>
      </c>
      <c r="G305" s="1">
        <v>0.40095217756064017</v>
      </c>
      <c r="H305" s="1">
        <v>2.428382669515853</v>
      </c>
      <c r="I305" s="1">
        <v>404.45482233357802</v>
      </c>
      <c r="K305" s="1">
        <f t="shared" si="12"/>
        <v>0.46719160435029095</v>
      </c>
      <c r="L305" s="1">
        <f t="shared" si="13"/>
        <v>1.2126704439095233</v>
      </c>
      <c r="M305" s="1">
        <f t="shared" si="14"/>
        <v>201.72809211212567</v>
      </c>
    </row>
    <row r="306" spans="1:19" x14ac:dyDescent="0.3">
      <c r="A306" s="1">
        <v>304</v>
      </c>
      <c r="C306" s="1" t="s">
        <v>29</v>
      </c>
      <c r="D306" s="1">
        <v>19.899999999999999</v>
      </c>
      <c r="E306" s="1" t="s">
        <v>108</v>
      </c>
      <c r="G306" s="1">
        <v>0.40217617769281572</v>
      </c>
      <c r="H306" s="1">
        <v>2.7514646005311372</v>
      </c>
      <c r="I306" s="1">
        <v>404.5250074574692</v>
      </c>
      <c r="K306" s="1">
        <f t="shared" si="12"/>
        <v>0.46861781579763884</v>
      </c>
      <c r="L306" s="1">
        <f t="shared" si="13"/>
        <v>1.3740090638979303</v>
      </c>
      <c r="M306" s="1">
        <f t="shared" si="14"/>
        <v>201.76309802713868</v>
      </c>
    </row>
    <row r="307" spans="1:19" x14ac:dyDescent="0.3">
      <c r="A307" s="1">
        <v>305</v>
      </c>
      <c r="B307" s="1" t="s">
        <v>109</v>
      </c>
      <c r="C307" s="1" t="s">
        <v>29</v>
      </c>
      <c r="D307" s="1">
        <v>14.1</v>
      </c>
      <c r="E307" s="1">
        <v>601</v>
      </c>
      <c r="F307" s="1">
        <v>0</v>
      </c>
      <c r="G307" s="1">
        <v>0.39398553885881377</v>
      </c>
      <c r="H307" s="1">
        <v>1.8842569269521412</v>
      </c>
      <c r="I307" s="1">
        <v>396.79168868397653</v>
      </c>
      <c r="J307" s="1" t="s">
        <v>83</v>
      </c>
      <c r="K307" s="1">
        <f t="shared" si="12"/>
        <v>0.46834342007033836</v>
      </c>
      <c r="L307" s="1">
        <f t="shared" si="13"/>
        <v>0.95994748873572744</v>
      </c>
      <c r="M307" s="1">
        <f t="shared" si="14"/>
        <v>201.90199873883736</v>
      </c>
      <c r="N307" s="1">
        <f>SLOPE(K307:K310,F307:F310)</f>
        <v>-2.9002782425230726E-5</v>
      </c>
      <c r="O307" s="1">
        <f>SLOPE(L307:L310,F307:F310)</f>
        <v>-4.215958135141973E-5</v>
      </c>
      <c r="P307" s="1">
        <f>SLOPE(M307:M310,F307:F310)</f>
        <v>2.7017410294345812</v>
      </c>
      <c r="Q307" s="1">
        <f>(N307*84.63/0.31*60)/1000</f>
        <v>-4.7506557612527931E-4</v>
      </c>
      <c r="R307" s="1">
        <f>O307*84.63/0.31*60</f>
        <v>-0.69057394253625515</v>
      </c>
      <c r="S307" s="1">
        <f>(P307*84.63/0.31*60)/1000</f>
        <v>44.254518062138445</v>
      </c>
    </row>
    <row r="308" spans="1:19" x14ac:dyDescent="0.3">
      <c r="A308" s="1">
        <v>306</v>
      </c>
      <c r="C308" s="1" t="s">
        <v>29</v>
      </c>
      <c r="D308" s="1">
        <v>14.1</v>
      </c>
      <c r="E308" s="1">
        <v>602</v>
      </c>
      <c r="F308" s="1">
        <v>15</v>
      </c>
      <c r="G308" s="1">
        <v>0.39752998329436418</v>
      </c>
      <c r="H308" s="1">
        <v>1.9011838790931992</v>
      </c>
      <c r="I308" s="1">
        <v>693.99948161214559</v>
      </c>
      <c r="J308" s="1" t="s">
        <v>83</v>
      </c>
      <c r="K308" s="1">
        <f t="shared" si="12"/>
        <v>0.47255681641479108</v>
      </c>
      <c r="L308" s="1">
        <f t="shared" si="13"/>
        <v>0.96857103946670009</v>
      </c>
      <c r="M308" s="1">
        <f t="shared" si="14"/>
        <v>353.13210043773682</v>
      </c>
    </row>
    <row r="309" spans="1:19" x14ac:dyDescent="0.3">
      <c r="A309" s="1">
        <v>307</v>
      </c>
      <c r="C309" s="1" t="s">
        <v>29</v>
      </c>
      <c r="D309" s="1">
        <v>14.1</v>
      </c>
      <c r="E309" s="1">
        <v>603</v>
      </c>
      <c r="F309" s="1">
        <v>30</v>
      </c>
      <c r="G309" s="1">
        <v>0.39562808628016638</v>
      </c>
      <c r="H309" s="1">
        <v>1.8921561712846351</v>
      </c>
      <c r="I309" s="1">
        <v>697.60046055790679</v>
      </c>
      <c r="J309" s="1" t="s">
        <v>83</v>
      </c>
      <c r="K309" s="1">
        <f t="shared" si="12"/>
        <v>0.47029596959581643</v>
      </c>
      <c r="L309" s="1">
        <f t="shared" si="13"/>
        <v>0.96397181241018148</v>
      </c>
      <c r="M309" s="1">
        <f t="shared" si="14"/>
        <v>354.96440909565507</v>
      </c>
    </row>
    <row r="310" spans="1:19" x14ac:dyDescent="0.3">
      <c r="A310" s="1">
        <v>308</v>
      </c>
      <c r="C310" s="1" t="s">
        <v>29</v>
      </c>
      <c r="D310" s="1">
        <v>14.1</v>
      </c>
      <c r="E310" s="1">
        <v>604</v>
      </c>
      <c r="F310" s="1">
        <v>45</v>
      </c>
      <c r="G310" s="1">
        <v>0.3933996008897932</v>
      </c>
      <c r="H310" s="1">
        <v>1.8831284634760708</v>
      </c>
      <c r="I310" s="1">
        <v>661.07372315575344</v>
      </c>
      <c r="J310" s="1" t="s">
        <v>83</v>
      </c>
      <c r="K310" s="1">
        <f t="shared" si="12"/>
        <v>0.4676468965554017</v>
      </c>
      <c r="L310" s="1">
        <f t="shared" si="13"/>
        <v>0.95937258535366265</v>
      </c>
      <c r="M310" s="1">
        <f t="shared" si="14"/>
        <v>336.37828065792701</v>
      </c>
    </row>
    <row r="311" spans="1:19" x14ac:dyDescent="0.3">
      <c r="A311" s="1">
        <v>309</v>
      </c>
      <c r="C311" s="1" t="s">
        <v>29</v>
      </c>
      <c r="D311" s="1">
        <v>14.1</v>
      </c>
      <c r="E311" s="1">
        <v>605</v>
      </c>
      <c r="F311" s="1">
        <v>0</v>
      </c>
      <c r="G311" s="1">
        <v>0.39465792669211602</v>
      </c>
      <c r="H311" s="1">
        <v>1.8729722921914358</v>
      </c>
      <c r="I311" s="1">
        <v>396.84367775619808</v>
      </c>
      <c r="J311" s="1" t="s">
        <v>16</v>
      </c>
      <c r="K311" s="1">
        <f t="shared" si="12"/>
        <v>0.46914270934977387</v>
      </c>
      <c r="L311" s="1">
        <f t="shared" si="13"/>
        <v>0.95419845491507893</v>
      </c>
      <c r="M311" s="1">
        <f t="shared" si="14"/>
        <v>201.9284526638904</v>
      </c>
      <c r="N311" s="1">
        <f>SLOPE(K311:K314,F311:F314)</f>
        <v>1.8573960398310163E-4</v>
      </c>
      <c r="O311" s="1">
        <f>SLOPE(L311:L314,F311:F314)</f>
        <v>-2.2996135282587668E-5</v>
      </c>
      <c r="P311" s="1">
        <f>SLOPE(M311:M314,F311:F314)</f>
        <v>2.4608339519516749</v>
      </c>
      <c r="Q311" s="1">
        <f>(N311*84.63/0.31*60)/1000</f>
        <v>3.0424147132432043E-3</v>
      </c>
      <c r="R311" s="1">
        <f>O311*84.63/0.31*60</f>
        <v>-0.37667669592878594</v>
      </c>
      <c r="S311" s="1">
        <f>(P311*84.63/0.31*60)/1000</f>
        <v>40.308460132968428</v>
      </c>
    </row>
    <row r="312" spans="1:19" x14ac:dyDescent="0.3">
      <c r="A312" s="1">
        <v>310</v>
      </c>
      <c r="C312" s="1" t="s">
        <v>29</v>
      </c>
      <c r="D312" s="1">
        <v>14.1</v>
      </c>
      <c r="E312" s="1">
        <v>606</v>
      </c>
      <c r="F312" s="1">
        <v>15</v>
      </c>
      <c r="G312" s="1">
        <v>0.39839448193718136</v>
      </c>
      <c r="H312" s="1">
        <v>1.8741007556675064</v>
      </c>
      <c r="I312" s="1">
        <v>524.68971097846224</v>
      </c>
      <c r="J312" s="1" t="s">
        <v>16</v>
      </c>
      <c r="K312" s="1">
        <f t="shared" si="12"/>
        <v>0.47358447405977955</v>
      </c>
      <c r="L312" s="1">
        <f t="shared" si="13"/>
        <v>0.95477335829714394</v>
      </c>
      <c r="M312" s="1">
        <f t="shared" si="14"/>
        <v>266.98115002259215</v>
      </c>
    </row>
    <row r="313" spans="1:19" x14ac:dyDescent="0.3">
      <c r="A313" s="1">
        <v>311</v>
      </c>
      <c r="C313" s="1" t="s">
        <v>29</v>
      </c>
      <c r="D313" s="1">
        <v>14.1</v>
      </c>
      <c r="E313" s="1">
        <v>607</v>
      </c>
      <c r="F313" s="1">
        <v>30</v>
      </c>
      <c r="G313" s="1">
        <v>0.39851935396336607</v>
      </c>
      <c r="H313" s="1">
        <v>1.8774861460957182</v>
      </c>
      <c r="I313" s="1">
        <v>571.60935819547205</v>
      </c>
      <c r="J313" s="1" t="s">
        <v>16</v>
      </c>
      <c r="K313" s="1">
        <f t="shared" si="12"/>
        <v>0.47373291349738905</v>
      </c>
      <c r="L313" s="1">
        <f t="shared" si="13"/>
        <v>0.95649806844333851</v>
      </c>
      <c r="M313" s="1">
        <f t="shared" si="14"/>
        <v>290.85556781761886</v>
      </c>
    </row>
    <row r="314" spans="1:19" x14ac:dyDescent="0.3">
      <c r="A314" s="1">
        <v>312</v>
      </c>
      <c r="C314" s="1" t="s">
        <v>29</v>
      </c>
      <c r="D314" s="1">
        <v>14.1</v>
      </c>
      <c r="E314" s="1">
        <v>608</v>
      </c>
      <c r="F314" s="1">
        <v>45</v>
      </c>
      <c r="G314" s="1">
        <v>0.40242880893699484</v>
      </c>
      <c r="H314" s="1">
        <v>1.8695869017632245</v>
      </c>
      <c r="I314" s="1">
        <v>623.01379858600956</v>
      </c>
      <c r="J314" s="1" t="s">
        <v>16</v>
      </c>
      <c r="K314" s="1">
        <f t="shared" si="12"/>
        <v>0.47838020973639245</v>
      </c>
      <c r="L314" s="1">
        <f t="shared" si="13"/>
        <v>0.95247374476888469</v>
      </c>
      <c r="M314" s="1">
        <f t="shared" si="14"/>
        <v>317.01201099646522</v>
      </c>
    </row>
    <row r="315" spans="1:19" x14ac:dyDescent="0.3">
      <c r="A315" s="1">
        <v>313</v>
      </c>
      <c r="C315" s="1" t="s">
        <v>29</v>
      </c>
      <c r="D315" s="1">
        <v>14.1</v>
      </c>
      <c r="E315" s="1">
        <v>609</v>
      </c>
      <c r="F315" s="1">
        <v>0</v>
      </c>
      <c r="G315" s="1">
        <v>0.39402396102071674</v>
      </c>
      <c r="H315" s="1">
        <v>1.8515314861460959</v>
      </c>
      <c r="I315" s="1">
        <v>394.65425116754682</v>
      </c>
      <c r="J315" s="1" t="s">
        <v>16</v>
      </c>
      <c r="K315" s="1">
        <f t="shared" si="12"/>
        <v>0.468389093743449</v>
      </c>
      <c r="L315" s="1">
        <f t="shared" si="13"/>
        <v>0.94327529065584714</v>
      </c>
      <c r="M315" s="1">
        <f t="shared" si="14"/>
        <v>200.81439302769496</v>
      </c>
      <c r="N315" s="1">
        <f>SLOPE(K315:K318,F315:F318)</f>
        <v>2.2349650708786289E-4</v>
      </c>
      <c r="O315" s="1">
        <f>SLOPE(L315:L318,F315:F318)</f>
        <v>6.1323027420243643E-5</v>
      </c>
      <c r="P315" s="1">
        <f>SLOPE(M315:M318,F315:F318)</f>
        <v>3.3572393444089221</v>
      </c>
      <c r="Q315" s="1">
        <f>(N315*84.63/0.31*60)/1000</f>
        <v>3.6608727860991939E-3</v>
      </c>
      <c r="R315" s="1">
        <f>O315*84.63/0.31*60</f>
        <v>1.0044711891435907</v>
      </c>
      <c r="S315" s="1">
        <f>(P315*84.63/0.31*60)/1000</f>
        <v>54.991580461418138</v>
      </c>
    </row>
    <row r="316" spans="1:19" x14ac:dyDescent="0.3">
      <c r="A316" s="1">
        <v>314</v>
      </c>
      <c r="C316" s="1" t="s">
        <v>29</v>
      </c>
      <c r="D316" s="1">
        <v>14.1</v>
      </c>
      <c r="E316" s="1">
        <v>610</v>
      </c>
      <c r="F316" s="1">
        <v>15</v>
      </c>
      <c r="G316" s="1">
        <v>0.39609875776347797</v>
      </c>
      <c r="H316" s="1">
        <v>1.8695869017632245</v>
      </c>
      <c r="I316" s="1">
        <v>564.23377642124785</v>
      </c>
      <c r="J316" s="1" t="s">
        <v>16</v>
      </c>
      <c r="K316" s="1">
        <f t="shared" si="12"/>
        <v>0.47085547209142126</v>
      </c>
      <c r="L316" s="1">
        <f t="shared" si="13"/>
        <v>0.95247374476888469</v>
      </c>
      <c r="M316" s="1">
        <f t="shared" si="14"/>
        <v>287.10260437471862</v>
      </c>
    </row>
    <row r="317" spans="1:19" x14ac:dyDescent="0.3">
      <c r="A317" s="1">
        <v>315</v>
      </c>
      <c r="C317" s="1" t="s">
        <v>29</v>
      </c>
      <c r="D317" s="1">
        <v>14.1</v>
      </c>
      <c r="E317" s="1">
        <v>611</v>
      </c>
      <c r="F317" s="1">
        <v>30</v>
      </c>
      <c r="G317" s="1">
        <v>0.39954714679427089</v>
      </c>
      <c r="H317" s="1">
        <v>1.8537884130982369</v>
      </c>
      <c r="I317" s="1">
        <v>648.43449305056924</v>
      </c>
      <c r="J317" s="1" t="s">
        <v>16</v>
      </c>
      <c r="K317" s="1">
        <f t="shared" si="12"/>
        <v>0.47495468425309745</v>
      </c>
      <c r="L317" s="1">
        <f t="shared" si="13"/>
        <v>0.94442509741997671</v>
      </c>
      <c r="M317" s="1">
        <f t="shared" si="14"/>
        <v>329.94698208607304</v>
      </c>
    </row>
    <row r="318" spans="1:19" x14ac:dyDescent="0.3">
      <c r="A318" s="1">
        <v>316</v>
      </c>
      <c r="C318" s="1" t="s">
        <v>29</v>
      </c>
      <c r="D318" s="1">
        <v>14.1</v>
      </c>
      <c r="E318" s="1">
        <v>612</v>
      </c>
      <c r="F318" s="1">
        <v>45</v>
      </c>
      <c r="G318" s="1">
        <v>0.40227512028938295</v>
      </c>
      <c r="H318" s="1">
        <v>1.862816120906801</v>
      </c>
      <c r="I318" s="1">
        <v>696.48122411630675</v>
      </c>
      <c r="J318" s="1" t="s">
        <v>16</v>
      </c>
      <c r="K318" s="1">
        <f t="shared" si="12"/>
        <v>0.47819751504395008</v>
      </c>
      <c r="L318" s="1">
        <f t="shared" si="13"/>
        <v>0.94902432447649532</v>
      </c>
      <c r="M318" s="1">
        <f t="shared" si="14"/>
        <v>354.39490101102291</v>
      </c>
    </row>
    <row r="319" spans="1:19" x14ac:dyDescent="0.3">
      <c r="A319" s="1">
        <v>317</v>
      </c>
      <c r="C319" s="1" t="s">
        <v>29</v>
      </c>
      <c r="D319" s="1">
        <v>14.1</v>
      </c>
      <c r="E319" s="1">
        <v>613</v>
      </c>
      <c r="F319" s="1">
        <v>0</v>
      </c>
      <c r="G319" s="1">
        <v>0.39226614711365509</v>
      </c>
      <c r="H319" s="1">
        <v>1.8639445843828719</v>
      </c>
      <c r="I319" s="1">
        <v>404.8647087666825</v>
      </c>
      <c r="J319" s="1" t="s">
        <v>16</v>
      </c>
      <c r="K319" s="1">
        <f t="shared" si="12"/>
        <v>0.46629952319863899</v>
      </c>
      <c r="L319" s="1">
        <f t="shared" si="13"/>
        <v>0.94959922785856044</v>
      </c>
      <c r="M319" s="1">
        <f t="shared" si="14"/>
        <v>206.00984408197732</v>
      </c>
      <c r="N319" s="1">
        <f>SLOPE(K319:K322,F319:F322)</f>
        <v>2.2364875266490041E-4</v>
      </c>
      <c r="O319" s="1">
        <f>SLOPE(L319:L322,F319:F322)</f>
        <v>1.6480563619191885E-4</v>
      </c>
      <c r="P319" s="1">
        <f>SLOPE(M319:M322,F319:F322)</f>
        <v>1.1965858997476446</v>
      </c>
      <c r="Q319" s="1">
        <f>(N319*84.63/0.31*60)/1000</f>
        <v>3.6633665686510689E-3</v>
      </c>
      <c r="R319" s="1">
        <f>O319*84.63/0.31*60</f>
        <v>2.6995163208236308</v>
      </c>
      <c r="S319" s="1">
        <f>(P319*84.63/0.31*60)/1000</f>
        <v>19.60007703786642</v>
      </c>
    </row>
    <row r="320" spans="1:19" x14ac:dyDescent="0.3">
      <c r="A320" s="1">
        <v>318</v>
      </c>
      <c r="C320" s="1" t="s">
        <v>29</v>
      </c>
      <c r="D320" s="1">
        <v>14.1</v>
      </c>
      <c r="E320" s="1">
        <v>614</v>
      </c>
      <c r="F320" s="1">
        <v>15</v>
      </c>
      <c r="G320" s="1">
        <v>0.39426409953261038</v>
      </c>
      <c r="H320" s="1">
        <v>1.8515314861460959</v>
      </c>
      <c r="I320" s="1">
        <v>490.54564256548173</v>
      </c>
      <c r="J320" s="1" t="s">
        <v>16</v>
      </c>
      <c r="K320" s="1">
        <f t="shared" si="12"/>
        <v>0.46867455420039017</v>
      </c>
      <c r="L320" s="1">
        <f t="shared" si="13"/>
        <v>0.94327529065584714</v>
      </c>
      <c r="M320" s="1">
        <f t="shared" si="14"/>
        <v>249.60740996135092</v>
      </c>
    </row>
    <row r="321" spans="1:19" x14ac:dyDescent="0.3">
      <c r="A321" s="1">
        <v>319</v>
      </c>
      <c r="C321" s="1" t="s">
        <v>29</v>
      </c>
      <c r="D321" s="1">
        <v>14.1</v>
      </c>
      <c r="E321" s="1">
        <v>615</v>
      </c>
      <c r="F321" s="1">
        <v>30</v>
      </c>
      <c r="G321" s="1">
        <v>0.39585861925158433</v>
      </c>
      <c r="H321" s="1">
        <v>1.845889168765743</v>
      </c>
      <c r="I321" s="1">
        <v>507.08699586495567</v>
      </c>
      <c r="J321" s="1" t="s">
        <v>16</v>
      </c>
      <c r="K321" s="1">
        <f t="shared" si="12"/>
        <v>0.47057001163448009</v>
      </c>
      <c r="L321" s="1">
        <f t="shared" si="13"/>
        <v>0.94040077374552267</v>
      </c>
      <c r="M321" s="1">
        <f t="shared" si="14"/>
        <v>258.02425030416606</v>
      </c>
    </row>
    <row r="322" spans="1:19" x14ac:dyDescent="0.3">
      <c r="A322" s="1">
        <v>320</v>
      </c>
      <c r="C322" s="1" t="s">
        <v>29</v>
      </c>
      <c r="D322" s="1">
        <v>14.1</v>
      </c>
      <c r="E322" s="1">
        <v>616</v>
      </c>
      <c r="F322" s="1">
        <v>45</v>
      </c>
      <c r="G322" s="1">
        <v>0.40114166651324484</v>
      </c>
      <c r="H322" s="1">
        <v>1.8820000000000003</v>
      </c>
      <c r="I322" s="1">
        <v>516.9315681067585</v>
      </c>
      <c r="J322" s="1" t="s">
        <v>16</v>
      </c>
      <c r="K322" s="1">
        <f t="shared" si="12"/>
        <v>0.47685014168718737</v>
      </c>
      <c r="L322" s="1">
        <f t="shared" si="13"/>
        <v>0.95879768197159787</v>
      </c>
      <c r="M322" s="1">
        <f t="shared" si="14"/>
        <v>263.03352562175451</v>
      </c>
    </row>
    <row r="323" spans="1:19" x14ac:dyDescent="0.3">
      <c r="A323" s="1">
        <v>321</v>
      </c>
      <c r="C323" s="1" t="s">
        <v>29</v>
      </c>
      <c r="D323" s="1">
        <v>14.1</v>
      </c>
      <c r="E323" s="1">
        <v>617</v>
      </c>
      <c r="F323" s="1">
        <v>0</v>
      </c>
      <c r="G323" s="1">
        <v>0.39611796884442946</v>
      </c>
      <c r="H323" s="1">
        <v>1.8650730478589423</v>
      </c>
      <c r="I323" s="1">
        <v>422.45957647306119</v>
      </c>
      <c r="J323" s="1" t="s">
        <v>16</v>
      </c>
      <c r="K323" s="1">
        <f t="shared" ref="K323:K341" si="15">(G323*28*1)/(0.082*(D323+273.15))</f>
        <v>0.47087830892797661</v>
      </c>
      <c r="L323" s="1">
        <f t="shared" ref="L323:L341" si="16">(H323*12*1)/(0.082*(D323+273.15))</f>
        <v>0.95017413124062522</v>
      </c>
      <c r="M323" s="1">
        <f t="shared" ref="M323:M341" si="17">(I323*12*1)/(0.0821*(D323+273.15))</f>
        <v>214.96275075511232</v>
      </c>
      <c r="N323" s="1">
        <f>SLOPE(K323:K326,F323:F326)</f>
        <v>1.5574722530714235E-4</v>
      </c>
      <c r="O323" s="1">
        <f>SLOPE(L323:L326,F323:F326)</f>
        <v>2.2996135282592106E-5</v>
      </c>
      <c r="P323" s="1">
        <f>SLOPE(M323:M326,F323:F326)</f>
        <v>2.011230362333452</v>
      </c>
      <c r="Q323" s="1">
        <f>(N323*84.63/0.31*60)/1000</f>
        <v>2.5511395505309919E-3</v>
      </c>
      <c r="R323" s="1">
        <f>O323*84.63/0.31*60</f>
        <v>0.37667669592885872</v>
      </c>
      <c r="S323" s="1">
        <f>(P323*84.63/0.31*60)/1000</f>
        <v>32.943953335021945</v>
      </c>
    </row>
    <row r="324" spans="1:19" x14ac:dyDescent="0.3">
      <c r="A324" s="1">
        <v>322</v>
      </c>
      <c r="C324" s="1" t="s">
        <v>29</v>
      </c>
      <c r="D324" s="1">
        <v>14.1</v>
      </c>
      <c r="E324" s="1">
        <v>618</v>
      </c>
      <c r="F324" s="1">
        <v>15</v>
      </c>
      <c r="G324" s="1">
        <v>0.39902844760858064</v>
      </c>
      <c r="H324" s="1">
        <v>1.8707153652392949</v>
      </c>
      <c r="I324" s="1">
        <v>530.76948965071153</v>
      </c>
      <c r="J324" s="1" t="s">
        <v>16</v>
      </c>
      <c r="K324" s="1">
        <f t="shared" si="15"/>
        <v>0.47433808966610441</v>
      </c>
      <c r="L324" s="1">
        <f t="shared" si="16"/>
        <v>0.95304864815094936</v>
      </c>
      <c r="M324" s="1">
        <f t="shared" si="17"/>
        <v>270.07476186181231</v>
      </c>
    </row>
    <row r="325" spans="1:19" x14ac:dyDescent="0.3">
      <c r="A325" s="1">
        <v>323</v>
      </c>
      <c r="C325" s="1" t="s">
        <v>29</v>
      </c>
      <c r="D325" s="1">
        <v>14.1</v>
      </c>
      <c r="E325" s="1">
        <v>619</v>
      </c>
      <c r="F325" s="1">
        <v>30</v>
      </c>
      <c r="G325" s="1">
        <v>0.40049809530136987</v>
      </c>
      <c r="H325" s="1">
        <v>1.8605591939546602</v>
      </c>
      <c r="I325" s="1">
        <v>558.89753957435596</v>
      </c>
      <c r="J325" s="1" t="s">
        <v>16</v>
      </c>
      <c r="K325" s="1">
        <f t="shared" si="15"/>
        <v>0.47608510766258494</v>
      </c>
      <c r="L325" s="1">
        <f t="shared" si="16"/>
        <v>0.94787451771236575</v>
      </c>
      <c r="M325" s="1">
        <f t="shared" si="17"/>
        <v>284.38733357682298</v>
      </c>
    </row>
    <row r="326" spans="1:19" x14ac:dyDescent="0.3">
      <c r="A326" s="1">
        <v>324</v>
      </c>
      <c r="C326" s="1" t="s">
        <v>29</v>
      </c>
      <c r="D326" s="1">
        <v>14.1</v>
      </c>
      <c r="E326" s="1">
        <v>620</v>
      </c>
      <c r="F326" s="1">
        <v>45</v>
      </c>
      <c r="G326" s="1">
        <v>0.40217906488462546</v>
      </c>
      <c r="H326" s="1">
        <v>1.8707153652392949</v>
      </c>
      <c r="I326" s="1">
        <v>610.71396883910188</v>
      </c>
      <c r="J326" s="1" t="s">
        <v>16</v>
      </c>
      <c r="K326" s="1">
        <f t="shared" si="15"/>
        <v>0.47808333086117355</v>
      </c>
      <c r="L326" s="1">
        <f t="shared" si="16"/>
        <v>0.95304864815094936</v>
      </c>
      <c r="M326" s="1">
        <f t="shared" si="17"/>
        <v>310.75341163344802</v>
      </c>
    </row>
    <row r="327" spans="1:19" x14ac:dyDescent="0.3">
      <c r="A327" s="1">
        <v>325</v>
      </c>
      <c r="C327" s="1" t="s">
        <v>29</v>
      </c>
      <c r="D327" s="1">
        <v>14.1</v>
      </c>
      <c r="E327" s="1">
        <v>621</v>
      </c>
      <c r="F327" s="1">
        <v>0</v>
      </c>
      <c r="G327" s="1">
        <v>0.3943793660183193</v>
      </c>
      <c r="H327" s="1">
        <v>1.8752292191435771</v>
      </c>
      <c r="I327" s="1">
        <v>392.28923884441144</v>
      </c>
      <c r="J327" s="1" t="s">
        <v>16</v>
      </c>
      <c r="K327" s="1">
        <f t="shared" si="15"/>
        <v>0.46881157521972189</v>
      </c>
      <c r="L327" s="1">
        <f t="shared" si="16"/>
        <v>0.95534826167920883</v>
      </c>
      <c r="M327" s="1">
        <f t="shared" si="17"/>
        <v>199.61098900311288</v>
      </c>
      <c r="N327" s="1">
        <f>SLOPE(K327:K330,F327:F330)</f>
        <v>1.8572437942539848E-3</v>
      </c>
      <c r="O327" s="1">
        <f>SLOPE(L327:L330,F327:F330)</f>
        <v>-4.5992270565187323E-4</v>
      </c>
      <c r="P327" s="1">
        <f>SLOPE(M327:M330,F327:F330)</f>
        <v>3.8153614306479939</v>
      </c>
      <c r="Q327" s="1">
        <f>(N327*84.63/0.31*60)/1000</f>
        <v>3.042165334988027E-2</v>
      </c>
      <c r="R327" s="1">
        <f>O327*84.63/0.31*60</f>
        <v>-7.5335339185776826</v>
      </c>
      <c r="S327" s="1">
        <f>(P327*84.63/0.31*60)/1000</f>
        <v>62.495620234014126</v>
      </c>
    </row>
    <row r="328" spans="1:19" x14ac:dyDescent="0.3">
      <c r="A328" s="1">
        <v>326</v>
      </c>
      <c r="C328" s="1" t="s">
        <v>29</v>
      </c>
      <c r="D328" s="1">
        <v>14.1</v>
      </c>
      <c r="E328" s="1">
        <v>622</v>
      </c>
      <c r="F328" s="1">
        <v>15</v>
      </c>
      <c r="G328" s="1">
        <v>0.43388695399506433</v>
      </c>
      <c r="H328" s="1">
        <v>1.8537884130982369</v>
      </c>
      <c r="I328" s="1">
        <v>699.8771895508545</v>
      </c>
      <c r="J328" s="1" t="s">
        <v>16</v>
      </c>
      <c r="K328" s="1">
        <f t="shared" si="15"/>
        <v>0.51577552959569506</v>
      </c>
      <c r="L328" s="1">
        <f t="shared" si="16"/>
        <v>0.94442509741997671</v>
      </c>
      <c r="M328" s="1">
        <f t="shared" si="17"/>
        <v>356.12289136071314</v>
      </c>
    </row>
    <row r="329" spans="1:19" x14ac:dyDescent="0.3">
      <c r="A329" s="1">
        <v>327</v>
      </c>
      <c r="C329" s="1" t="s">
        <v>29</v>
      </c>
      <c r="D329" s="1">
        <v>14.1</v>
      </c>
      <c r="E329" s="1">
        <v>623</v>
      </c>
      <c r="F329" s="1">
        <v>30</v>
      </c>
      <c r="G329" s="1">
        <v>0.44756524363252731</v>
      </c>
      <c r="H329" s="1">
        <v>1.8470176322418139</v>
      </c>
      <c r="I329" s="1">
        <v>705.02018399722476</v>
      </c>
      <c r="J329" s="1" t="s">
        <v>16</v>
      </c>
      <c r="K329" s="1">
        <f t="shared" si="15"/>
        <v>0.53203535722306838</v>
      </c>
      <c r="L329" s="1">
        <f t="shared" si="16"/>
        <v>0.94097567712758778</v>
      </c>
      <c r="M329" s="1">
        <f t="shared" si="17"/>
        <v>358.73983341831735</v>
      </c>
    </row>
    <row r="330" spans="1:19" x14ac:dyDescent="0.3">
      <c r="A330" s="1">
        <v>328</v>
      </c>
      <c r="C330" s="1" t="s">
        <v>29</v>
      </c>
      <c r="D330" s="1">
        <v>14.1</v>
      </c>
      <c r="E330" s="1">
        <v>624</v>
      </c>
      <c r="F330" s="1">
        <v>45</v>
      </c>
      <c r="G330" s="1">
        <v>0.46793859498158541</v>
      </c>
      <c r="H330" s="1">
        <v>1.832347607052897</v>
      </c>
      <c r="I330" s="1">
        <v>765.48543684267781</v>
      </c>
      <c r="J330" s="1" t="s">
        <v>16</v>
      </c>
      <c r="K330" s="1">
        <f t="shared" si="15"/>
        <v>0.55625382238996335</v>
      </c>
      <c r="L330" s="1">
        <f t="shared" si="16"/>
        <v>0.93350193316074481</v>
      </c>
      <c r="M330" s="1">
        <f t="shared" si="17"/>
        <v>389.50674651631118</v>
      </c>
    </row>
    <row r="331" spans="1:19" x14ac:dyDescent="0.3">
      <c r="A331" s="1">
        <v>329</v>
      </c>
      <c r="C331" s="1" t="s">
        <v>29</v>
      </c>
      <c r="D331" s="1">
        <v>14.1</v>
      </c>
      <c r="E331" s="1">
        <v>625</v>
      </c>
      <c r="F331" s="1">
        <v>0</v>
      </c>
      <c r="G331" s="1">
        <v>0.39425449399213469</v>
      </c>
      <c r="H331" s="1">
        <v>1.8470176322418139</v>
      </c>
      <c r="I331" s="1">
        <v>410.91996429165749</v>
      </c>
      <c r="J331" s="1" t="s">
        <v>16</v>
      </c>
      <c r="K331" s="1">
        <f t="shared" si="15"/>
        <v>0.46866313578211255</v>
      </c>
      <c r="L331" s="1">
        <f t="shared" si="16"/>
        <v>0.94097567712758778</v>
      </c>
      <c r="M331" s="1">
        <f t="shared" si="17"/>
        <v>209.09097765466299</v>
      </c>
      <c r="N331" s="1">
        <f>SLOPE(K331:K334,F331:F334)</f>
        <v>4.9076361757338421E-4</v>
      </c>
      <c r="O331" s="1">
        <f>SLOPE(L331:L334,F331:F334)</f>
        <v>-1.6863832540568778E-4</v>
      </c>
      <c r="P331" s="1">
        <f>SLOPE(M331:M334,F331:F334)</f>
        <v>3.3204833625050547</v>
      </c>
      <c r="Q331" s="1">
        <f>(N331*84.63/0.31*60)/1000</f>
        <v>8.0387080558520334E-3</v>
      </c>
      <c r="R331" s="1">
        <f>O331*84.63/0.31*60</f>
        <v>-2.7622957701451658</v>
      </c>
      <c r="S331" s="1">
        <f>(P331*84.63/0.31*60)/1000</f>
        <v>54.38951747783279</v>
      </c>
    </row>
    <row r="332" spans="1:19" x14ac:dyDescent="0.3">
      <c r="A332" s="1">
        <v>330</v>
      </c>
      <c r="C332" s="1" t="s">
        <v>29</v>
      </c>
      <c r="D332" s="1">
        <v>14.1</v>
      </c>
      <c r="E332" s="1">
        <v>626</v>
      </c>
      <c r="F332" s="1">
        <v>15</v>
      </c>
      <c r="G332" s="1">
        <v>0.40369674027979335</v>
      </c>
      <c r="H332" s="1">
        <v>1.8583022670025191</v>
      </c>
      <c r="I332" s="1">
        <v>579.81480327345935</v>
      </c>
      <c r="J332" s="1" t="s">
        <v>16</v>
      </c>
      <c r="K332" s="1">
        <f t="shared" si="15"/>
        <v>0.47988744094904212</v>
      </c>
      <c r="L332" s="1">
        <f t="shared" si="16"/>
        <v>0.94672471094823618</v>
      </c>
      <c r="M332" s="1">
        <f t="shared" si="17"/>
        <v>295.03079580004481</v>
      </c>
    </row>
    <row r="333" spans="1:19" x14ac:dyDescent="0.3">
      <c r="A333" s="1">
        <v>331</v>
      </c>
      <c r="C333" s="1" t="s">
        <v>29</v>
      </c>
      <c r="D333" s="1">
        <v>14.1</v>
      </c>
      <c r="E333" s="1">
        <v>627</v>
      </c>
      <c r="F333" s="1">
        <v>30</v>
      </c>
      <c r="G333" s="1">
        <v>0.40787515038674305</v>
      </c>
      <c r="H333" s="1">
        <v>1.832347607052897</v>
      </c>
      <c r="I333" s="1">
        <v>629.76453056768423</v>
      </c>
      <c r="J333" s="1" t="s">
        <v>16</v>
      </c>
      <c r="K333" s="1">
        <f t="shared" si="15"/>
        <v>0.48485445289981982</v>
      </c>
      <c r="L333" s="1">
        <f t="shared" si="16"/>
        <v>0.93350193316074481</v>
      </c>
      <c r="M333" s="1">
        <f t="shared" si="17"/>
        <v>320.44702820806782</v>
      </c>
    </row>
    <row r="334" spans="1:19" x14ac:dyDescent="0.3">
      <c r="A334" s="1">
        <v>332</v>
      </c>
      <c r="C334" s="1" t="s">
        <v>29</v>
      </c>
      <c r="D334" s="1">
        <v>14.1</v>
      </c>
      <c r="E334" s="1">
        <v>628</v>
      </c>
      <c r="F334" s="1">
        <v>45</v>
      </c>
      <c r="G334" s="1">
        <v>0.41350399710553049</v>
      </c>
      <c r="H334" s="1">
        <v>1.83911838790932</v>
      </c>
      <c r="I334" s="1">
        <v>720.5521645548879</v>
      </c>
      <c r="J334" s="1" t="s">
        <v>16</v>
      </c>
      <c r="K334" s="1">
        <f t="shared" si="15"/>
        <v>0.49154564601052253</v>
      </c>
      <c r="L334" s="1">
        <f t="shared" si="16"/>
        <v>0.93695135345313385</v>
      </c>
      <c r="M334" s="1">
        <f t="shared" si="17"/>
        <v>366.64306831057473</v>
      </c>
    </row>
    <row r="335" spans="1:19" x14ac:dyDescent="0.3">
      <c r="A335" s="1">
        <v>333</v>
      </c>
      <c r="C335" s="1" t="s">
        <v>29</v>
      </c>
      <c r="D335" s="1">
        <v>14.1</v>
      </c>
      <c r="E335" s="1">
        <v>629</v>
      </c>
      <c r="F335" s="1">
        <v>0</v>
      </c>
      <c r="G335" s="1">
        <v>0.39506135939209736</v>
      </c>
      <c r="H335" s="1">
        <v>1.8684584382871536</v>
      </c>
      <c r="I335" s="1">
        <v>393.60564139009688</v>
      </c>
      <c r="J335" s="1" t="s">
        <v>83</v>
      </c>
      <c r="K335" s="1">
        <f t="shared" si="15"/>
        <v>0.46962228291743507</v>
      </c>
      <c r="L335" s="1">
        <f t="shared" si="16"/>
        <v>0.95189884138681957</v>
      </c>
      <c r="M335" s="1">
        <f t="shared" si="17"/>
        <v>200.28082235068197</v>
      </c>
      <c r="N335" s="1">
        <f>SLOPE(K335:K338,F335:F338)</f>
        <v>-1.4843943760943408E-5</v>
      </c>
      <c r="O335" s="1">
        <f>SLOPE(L335:L338,F335:F338)</f>
        <v>-3.1428051552877533E-4</v>
      </c>
      <c r="P335" s="1">
        <f>SLOPE(M335:M338,F335:F338)</f>
        <v>2.3178563102311123</v>
      </c>
      <c r="Q335" s="1">
        <f>(N335*84.63/0.31*60)/1000</f>
        <v>-2.4314379880425302E-4</v>
      </c>
      <c r="R335" s="1">
        <f>O335*84.63/0.31*60</f>
        <v>-5.1479148443613392</v>
      </c>
      <c r="S335" s="1">
        <f>(P335*84.63/0.31*60)/1000</f>
        <v>37.966486361585616</v>
      </c>
    </row>
    <row r="336" spans="1:19" x14ac:dyDescent="0.3">
      <c r="A336" s="1">
        <v>334</v>
      </c>
      <c r="C336" s="1" t="s">
        <v>29</v>
      </c>
      <c r="D336" s="1">
        <v>14.1</v>
      </c>
      <c r="E336" s="1">
        <v>630</v>
      </c>
      <c r="F336" s="1">
        <v>15</v>
      </c>
      <c r="G336" s="1">
        <v>0.39533992006589397</v>
      </c>
      <c r="H336" s="1">
        <v>1.8379899244332496</v>
      </c>
      <c r="I336" s="1">
        <v>636.42894107095333</v>
      </c>
      <c r="J336" s="1" t="s">
        <v>83</v>
      </c>
      <c r="K336" s="1">
        <f t="shared" si="15"/>
        <v>0.46995341704748689</v>
      </c>
      <c r="L336" s="1">
        <f t="shared" si="16"/>
        <v>0.93637645007106907</v>
      </c>
      <c r="M336" s="1">
        <f t="shared" si="17"/>
        <v>323.83812192146911</v>
      </c>
    </row>
    <row r="337" spans="1:13" x14ac:dyDescent="0.3">
      <c r="A337" s="1">
        <v>335</v>
      </c>
      <c r="C337" s="1" t="s">
        <v>29</v>
      </c>
      <c r="D337" s="1">
        <v>14.1</v>
      </c>
      <c r="E337" s="1">
        <v>631</v>
      </c>
      <c r="F337" s="1">
        <v>30</v>
      </c>
      <c r="G337" s="1">
        <v>0.39695365086581941</v>
      </c>
      <c r="H337" s="1">
        <v>1.8402468513853905</v>
      </c>
      <c r="I337" s="1">
        <v>615.23603719648645</v>
      </c>
      <c r="J337" s="1" t="s">
        <v>83</v>
      </c>
      <c r="K337" s="1">
        <f t="shared" si="15"/>
        <v>0.4718717113181321</v>
      </c>
      <c r="L337" s="1">
        <f t="shared" si="16"/>
        <v>0.93752625683519863</v>
      </c>
      <c r="M337" s="1">
        <f t="shared" si="17"/>
        <v>313.05440398240006</v>
      </c>
    </row>
    <row r="338" spans="1:13" x14ac:dyDescent="0.3">
      <c r="A338" s="1">
        <v>336</v>
      </c>
      <c r="C338" s="1" t="s">
        <v>29</v>
      </c>
      <c r="D338" s="1">
        <v>14.1</v>
      </c>
      <c r="E338" s="1">
        <v>632</v>
      </c>
      <c r="F338" s="1">
        <v>45</v>
      </c>
      <c r="G338" s="1">
        <v>0.39389908899453202</v>
      </c>
      <c r="H338" s="1">
        <v>1.8368614609571792</v>
      </c>
      <c r="I338" s="1">
        <v>628.43047135596134</v>
      </c>
      <c r="J338" s="1" t="s">
        <v>83</v>
      </c>
      <c r="K338" s="1">
        <f t="shared" si="15"/>
        <v>0.4682406543058395</v>
      </c>
      <c r="L338" s="1">
        <f t="shared" si="16"/>
        <v>0.93580154668900428</v>
      </c>
      <c r="M338" s="1">
        <f t="shared" si="17"/>
        <v>319.76821050859394</v>
      </c>
    </row>
    <row r="339" spans="1:13" x14ac:dyDescent="0.3">
      <c r="A339" s="1">
        <v>337</v>
      </c>
      <c r="C339" s="1" t="s">
        <v>29</v>
      </c>
      <c r="D339" s="1">
        <v>14.1</v>
      </c>
      <c r="E339" s="1" t="s">
        <v>65</v>
      </c>
      <c r="G339" s="1">
        <v>0.39521504803970936</v>
      </c>
      <c r="H339" s="1">
        <v>1.8425037783375318</v>
      </c>
      <c r="I339" s="1">
        <v>394.0460771151437</v>
      </c>
      <c r="K339" s="1">
        <f t="shared" si="15"/>
        <v>0.46980497760987761</v>
      </c>
      <c r="L339" s="1">
        <f t="shared" si="16"/>
        <v>0.93867606359932831</v>
      </c>
      <c r="M339" s="1">
        <f t="shared" si="17"/>
        <v>200.50493201764064</v>
      </c>
    </row>
    <row r="340" spans="1:13" x14ac:dyDescent="0.3">
      <c r="A340" s="1">
        <v>338</v>
      </c>
      <c r="C340" s="1" t="s">
        <v>29</v>
      </c>
      <c r="D340" s="1">
        <v>14.1</v>
      </c>
      <c r="E340" s="1" t="s">
        <v>66</v>
      </c>
      <c r="G340" s="1">
        <v>0.39281366292077274</v>
      </c>
      <c r="H340" s="1">
        <v>1.8357329974811085</v>
      </c>
      <c r="I340" s="1">
        <v>393.95288915550128</v>
      </c>
      <c r="K340" s="1">
        <f t="shared" si="15"/>
        <v>0.46695037304046516</v>
      </c>
      <c r="L340" s="1">
        <f t="shared" si="16"/>
        <v>0.93522664330693928</v>
      </c>
      <c r="M340" s="1">
        <f t="shared" si="17"/>
        <v>200.45751460480977</v>
      </c>
    </row>
    <row r="341" spans="1:13" x14ac:dyDescent="0.3">
      <c r="A341" s="1">
        <v>339</v>
      </c>
      <c r="C341" s="1" t="s">
        <v>29</v>
      </c>
      <c r="D341" s="1">
        <v>14.1</v>
      </c>
      <c r="E341" s="1" t="s">
        <v>67</v>
      </c>
      <c r="G341" s="1">
        <v>0.39233338589698541</v>
      </c>
      <c r="H341" s="1">
        <v>1.8368614609571792</v>
      </c>
      <c r="I341" s="1">
        <v>391.81250886139873</v>
      </c>
      <c r="K341" s="1">
        <f t="shared" si="15"/>
        <v>0.46637945212658266</v>
      </c>
      <c r="L341" s="1">
        <f t="shared" si="16"/>
        <v>0.93580154668900428</v>
      </c>
      <c r="M341" s="1">
        <f t="shared" si="17"/>
        <v>199.36841150168325</v>
      </c>
    </row>
    <row r="342" spans="1:13" x14ac:dyDescent="0.3">
      <c r="A342" s="1">
        <v>340</v>
      </c>
      <c r="C342" s="1" t="s">
        <v>29</v>
      </c>
    </row>
    <row r="343" spans="1:13" x14ac:dyDescent="0.3">
      <c r="A343" s="1">
        <v>341</v>
      </c>
      <c r="C343" s="1" t="s">
        <v>29</v>
      </c>
    </row>
    <row r="344" spans="1:13" x14ac:dyDescent="0.3">
      <c r="A344" s="1">
        <v>342</v>
      </c>
      <c r="C344" s="1" t="s">
        <v>29</v>
      </c>
    </row>
  </sheetData>
  <autoFilter ref="A2:S344" xr:uid="{4059CBFF-85F0-47D3-A617-46107C624BE4}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D665-59F8-491F-8F2C-CFC63CE0E646}">
  <dimension ref="A2:S1556"/>
  <sheetViews>
    <sheetView topLeftCell="A2" workbookViewId="0">
      <selection activeCell="C2" sqref="C2"/>
    </sheetView>
  </sheetViews>
  <sheetFormatPr defaultColWidth="11.5546875" defaultRowHeight="14.4" x14ac:dyDescent="0.3"/>
  <cols>
    <col min="1" max="1" width="11.5546875" style="1" customWidth="1"/>
    <col min="2" max="2" width="28.5546875" style="1" customWidth="1"/>
    <col min="3" max="3" width="21.44140625" style="1" customWidth="1"/>
    <col min="4" max="4" width="10.5546875" style="1" customWidth="1"/>
    <col min="5" max="9" width="11.5546875" style="1" customWidth="1"/>
    <col min="10" max="10" width="20.5546875" style="1" customWidth="1"/>
    <col min="11" max="11" width="18.109375" style="1" customWidth="1"/>
    <col min="12" max="12" width="11.5546875" style="1" customWidth="1"/>
    <col min="13" max="13" width="11.5546875" customWidth="1"/>
    <col min="14" max="14" width="20" style="1" customWidth="1"/>
    <col min="15" max="15" width="18.5546875" customWidth="1"/>
    <col min="16" max="16" width="19.109375" customWidth="1"/>
    <col min="17" max="17" width="15.88671875" style="1" customWidth="1"/>
    <col min="18" max="18" width="20" style="1" customWidth="1"/>
    <col min="19" max="19" width="14.44140625" style="1" customWidth="1"/>
    <col min="20" max="20" width="11.5546875" customWidth="1"/>
  </cols>
  <sheetData>
    <row r="2" spans="1:19" ht="16.8" x14ac:dyDescent="0.35">
      <c r="D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</row>
    <row r="3" spans="1:19" x14ac:dyDescent="0.3">
      <c r="A3" s="1">
        <v>1</v>
      </c>
      <c r="B3" s="1" t="s">
        <v>110</v>
      </c>
      <c r="C3" s="1" t="s">
        <v>15</v>
      </c>
      <c r="D3" s="6">
        <v>22.3</v>
      </c>
      <c r="E3" s="1">
        <v>1</v>
      </c>
      <c r="F3" s="1">
        <v>0</v>
      </c>
      <c r="G3" s="1">
        <v>0.42925516334577762</v>
      </c>
      <c r="H3" s="1">
        <v>1.6693327620533747</v>
      </c>
      <c r="I3" s="1">
        <v>402.96311826266287</v>
      </c>
      <c r="K3" s="1">
        <f t="shared" ref="K3:K66" si="0">(G3*28*1)/(0.082*(D3+273.15))</f>
        <v>0.49610740844605677</v>
      </c>
      <c r="L3" s="1">
        <f t="shared" ref="L3:L66" si="1">(H3*12*1)/(0.082*(D3+273.15))</f>
        <v>0.82684921077977347</v>
      </c>
      <c r="M3" s="1">
        <f t="shared" ref="M3:M66" si="2">(I3*12*1)/(0.0821*(D3+273.15))</f>
        <v>199.35144738447676</v>
      </c>
      <c r="N3" s="1">
        <f>SLOPE(K3:K6,F3:F6)</f>
        <v>2.3000241861818242E-3</v>
      </c>
      <c r="O3" s="1">
        <f>SLOPE(L3:L6,F3:F6)</f>
        <v>-3.5040742605378856E-4</v>
      </c>
      <c r="P3" s="1">
        <f>SLOPE(M3:M6,F3:F6)</f>
        <v>3.2883179514842888</v>
      </c>
      <c r="Q3" s="1">
        <f>(N3*41.35/0.31*60)/1000</f>
        <v>1.8407612922313243E-2</v>
      </c>
      <c r="R3" s="1">
        <f>O3*41.35/0.31*60/1000</f>
        <v>-2.8043897549659661E-3</v>
      </c>
      <c r="S3" s="1">
        <f>(P3*41.35/0.31*60)/1000</f>
        <v>26.317151089137166</v>
      </c>
    </row>
    <row r="4" spans="1:19" x14ac:dyDescent="0.3">
      <c r="A4" s="1">
        <v>2</v>
      </c>
      <c r="C4" s="1" t="s">
        <v>15</v>
      </c>
      <c r="D4" s="6">
        <v>22.3</v>
      </c>
      <c r="E4" s="1">
        <v>2</v>
      </c>
      <c r="F4" s="1">
        <v>15</v>
      </c>
      <c r="G4" s="1">
        <v>0.44043371880931081</v>
      </c>
      <c r="H4" s="1">
        <v>1.6639597964392843</v>
      </c>
      <c r="I4" s="1">
        <v>561.33987756320323</v>
      </c>
      <c r="K4" s="1">
        <f t="shared" si="0"/>
        <v>0.50902691333438044</v>
      </c>
      <c r="L4" s="1">
        <f t="shared" si="1"/>
        <v>0.82418788855658009</v>
      </c>
      <c r="M4" s="1">
        <f t="shared" si="2"/>
        <v>277.70262834304202</v>
      </c>
      <c r="N4"/>
      <c r="P4" s="1"/>
    </row>
    <row r="5" spans="1:19" x14ac:dyDescent="0.3">
      <c r="A5" s="1">
        <v>3</v>
      </c>
      <c r="C5" s="1" t="s">
        <v>15</v>
      </c>
      <c r="D5" s="6">
        <v>22.3</v>
      </c>
      <c r="E5" s="1">
        <v>3</v>
      </c>
      <c r="F5" s="1">
        <v>30</v>
      </c>
      <c r="G5" s="1">
        <v>0.43899383525090968</v>
      </c>
      <c r="H5" s="1">
        <v>1.6585868308251941</v>
      </c>
      <c r="I5" s="1">
        <v>582.70012634168188</v>
      </c>
      <c r="K5" s="1">
        <f t="shared" si="0"/>
        <v>0.50736278215642405</v>
      </c>
      <c r="L5" s="1">
        <f t="shared" si="1"/>
        <v>0.82152656633338683</v>
      </c>
      <c r="M5" s="1">
        <f t="shared" si="2"/>
        <v>288.269839875554</v>
      </c>
      <c r="N5"/>
      <c r="P5" s="1"/>
    </row>
    <row r="6" spans="1:19" x14ac:dyDescent="0.3">
      <c r="A6" s="1">
        <v>4</v>
      </c>
      <c r="C6" s="1" t="s">
        <v>15</v>
      </c>
      <c r="D6" s="6">
        <v>22.3</v>
      </c>
      <c r="E6" s="1">
        <v>4</v>
      </c>
      <c r="F6" s="1">
        <v>45</v>
      </c>
      <c r="G6" s="1">
        <v>0.52923951016799786</v>
      </c>
      <c r="H6" s="1">
        <v>1.6357517269653108</v>
      </c>
      <c r="I6" s="1">
        <v>728.18846672271718</v>
      </c>
      <c r="K6" s="1">
        <f t="shared" si="0"/>
        <v>0.61166332814780011</v>
      </c>
      <c r="L6" s="1">
        <f t="shared" si="1"/>
        <v>0.81021594688481513</v>
      </c>
      <c r="M6" s="1">
        <f t="shared" si="2"/>
        <v>360.24494111452054</v>
      </c>
      <c r="N6"/>
      <c r="P6" s="1"/>
    </row>
    <row r="7" spans="1:19" x14ac:dyDescent="0.3">
      <c r="A7" s="1">
        <v>5</v>
      </c>
      <c r="C7" s="1" t="s">
        <v>15</v>
      </c>
      <c r="D7" s="6">
        <v>22.3</v>
      </c>
      <c r="E7" s="1">
        <v>5</v>
      </c>
      <c r="F7" s="1">
        <v>0</v>
      </c>
      <c r="G7" s="1">
        <v>0.42190008246637711</v>
      </c>
      <c r="H7" s="1">
        <v>1.6760489690709874</v>
      </c>
      <c r="I7" s="1">
        <v>396.4082210797705</v>
      </c>
      <c r="K7" s="1">
        <f t="shared" si="0"/>
        <v>0.48760684648298208</v>
      </c>
      <c r="L7" s="1">
        <f t="shared" si="1"/>
        <v>0.83017586355876516</v>
      </c>
      <c r="M7" s="1">
        <f t="shared" si="2"/>
        <v>196.10864877179017</v>
      </c>
      <c r="N7" s="1">
        <f>SLOPE(K7:K10,F7:F10)</f>
        <v>1.2930749017904476E-4</v>
      </c>
      <c r="O7" s="1">
        <f>SLOPE(L7:L10,F7:F10)</f>
        <v>-6.2097518541177833E-4</v>
      </c>
      <c r="P7" s="1">
        <f>SLOPE(M7:M10,F7:F10)</f>
        <v>1.2540425594699951</v>
      </c>
      <c r="Q7" s="1">
        <f>(N7*41.35/0.31*60)/1000</f>
        <v>1.0348770423684196E-3</v>
      </c>
      <c r="R7" s="1">
        <f>O7*41.35/0.31*60/1000</f>
        <v>-4.9698046290536195E-3</v>
      </c>
      <c r="S7" s="1">
        <f>(P7*41.35/0.31*60)/1000</f>
        <v>10.036385774338898</v>
      </c>
    </row>
    <row r="8" spans="1:19" x14ac:dyDescent="0.3">
      <c r="A8" s="1">
        <v>6</v>
      </c>
      <c r="C8" s="1" t="s">
        <v>15</v>
      </c>
      <c r="D8" s="6">
        <v>22.3</v>
      </c>
      <c r="E8" s="1">
        <v>6</v>
      </c>
      <c r="F8" s="1">
        <v>15</v>
      </c>
      <c r="G8" s="1">
        <v>0.44696183953692686</v>
      </c>
      <c r="H8" s="1">
        <v>1.6881381417026899</v>
      </c>
      <c r="I8" s="1">
        <v>576.46091253061445</v>
      </c>
      <c r="K8" s="1">
        <f t="shared" si="0"/>
        <v>0.51657172428308828</v>
      </c>
      <c r="L8" s="1">
        <f t="shared" si="1"/>
        <v>0.83616383856095</v>
      </c>
      <c r="M8" s="1">
        <f t="shared" si="2"/>
        <v>285.18321420832171</v>
      </c>
      <c r="N8"/>
      <c r="P8" s="1"/>
    </row>
    <row r="9" spans="1:19" x14ac:dyDescent="0.3">
      <c r="A9" s="1">
        <v>7</v>
      </c>
      <c r="C9" s="1" t="s">
        <v>15</v>
      </c>
      <c r="D9" s="6">
        <v>22.3</v>
      </c>
      <c r="E9" s="1">
        <v>7</v>
      </c>
      <c r="F9" s="1">
        <v>30</v>
      </c>
      <c r="G9" s="1">
        <v>0.42834064270733357</v>
      </c>
      <c r="H9" s="1">
        <v>1.6411246925794007</v>
      </c>
      <c r="I9" s="1">
        <v>512.94402831843774</v>
      </c>
      <c r="K9" s="1">
        <f t="shared" si="0"/>
        <v>0.49505046026546279</v>
      </c>
      <c r="L9" s="1">
        <f t="shared" si="1"/>
        <v>0.81287726910800839</v>
      </c>
      <c r="M9" s="1">
        <f t="shared" si="2"/>
        <v>253.76053002908108</v>
      </c>
      <c r="N9"/>
      <c r="P9" s="1"/>
    </row>
    <row r="10" spans="1:19" x14ac:dyDescent="0.3">
      <c r="A10" s="1">
        <v>8</v>
      </c>
      <c r="C10" s="1" t="s">
        <v>15</v>
      </c>
      <c r="D10" s="6">
        <v>22.3</v>
      </c>
      <c r="E10" s="1">
        <v>8</v>
      </c>
      <c r="F10" s="1">
        <v>45</v>
      </c>
      <c r="G10" s="1">
        <v>0.43370129027948923</v>
      </c>
      <c r="H10" s="1">
        <v>1.629035519947698</v>
      </c>
      <c r="I10" s="1">
        <v>544.32474236484256</v>
      </c>
      <c r="K10" s="1">
        <f t="shared" si="0"/>
        <v>0.50124597566447615</v>
      </c>
      <c r="L10" s="1">
        <f t="shared" si="1"/>
        <v>0.80688929410582344</v>
      </c>
      <c r="M10" s="1">
        <f t="shared" si="2"/>
        <v>269.28500480503681</v>
      </c>
      <c r="N10"/>
      <c r="P10" s="1"/>
    </row>
    <row r="11" spans="1:19" x14ac:dyDescent="0.3">
      <c r="A11" s="1">
        <v>9</v>
      </c>
      <c r="C11" s="1" t="s">
        <v>15</v>
      </c>
      <c r="D11" s="6">
        <v>22.3</v>
      </c>
      <c r="E11" s="1">
        <v>9</v>
      </c>
      <c r="F11" s="1">
        <v>0</v>
      </c>
      <c r="G11" s="1">
        <v>0.42437123397876836</v>
      </c>
      <c r="H11" s="1">
        <v>1.6961975901238255</v>
      </c>
      <c r="I11" s="1">
        <v>398.66366957280877</v>
      </c>
      <c r="K11" s="1">
        <f t="shared" si="0"/>
        <v>0.49046285539650203</v>
      </c>
      <c r="L11" s="1">
        <f t="shared" si="1"/>
        <v>0.84015582189574023</v>
      </c>
      <c r="M11" s="1">
        <f t="shared" si="2"/>
        <v>197.22445044497266</v>
      </c>
      <c r="N11" s="1">
        <f>SLOPE(K11:K14,F11:F14)</f>
        <v>9.5552613177524019E-4</v>
      </c>
      <c r="O11" s="1">
        <f>SLOPE(L11:L14,F11:F14)</f>
        <v>-1.5834867228000323E-3</v>
      </c>
      <c r="P11" s="1">
        <f>SLOPE(M11:M14,F11:F14)</f>
        <v>9.3345846383715809</v>
      </c>
      <c r="Q11" s="1">
        <f>(N11*41.35/0.31*60)/1000</f>
        <v>7.6472913965624891E-3</v>
      </c>
      <c r="R11" s="1">
        <f>O11*41.35/0.31*60/1000</f>
        <v>-1.2673001804086712E-2</v>
      </c>
      <c r="S11" s="1">
        <f>(O11*41.35/0.31*60)/1000</f>
        <v>-1.2673001804086712E-2</v>
      </c>
    </row>
    <row r="12" spans="1:19" x14ac:dyDescent="0.3">
      <c r="A12" s="1">
        <v>10</v>
      </c>
      <c r="C12" s="1" t="s">
        <v>15</v>
      </c>
      <c r="D12" s="6">
        <v>22.3</v>
      </c>
      <c r="E12" s="1">
        <v>10</v>
      </c>
      <c r="F12" s="1">
        <v>15</v>
      </c>
      <c r="G12" s="1">
        <v>0.43608488130522088</v>
      </c>
      <c r="H12" s="1">
        <v>1.6666462792463292</v>
      </c>
      <c r="I12" s="1">
        <v>553.66420513883179</v>
      </c>
      <c r="K12" s="1">
        <f t="shared" si="0"/>
        <v>0.5040007874117689</v>
      </c>
      <c r="L12" s="1">
        <f t="shared" si="1"/>
        <v>0.82551854966817673</v>
      </c>
      <c r="M12" s="1">
        <f t="shared" si="2"/>
        <v>273.90536666300369</v>
      </c>
      <c r="N12"/>
      <c r="P12" s="1"/>
    </row>
    <row r="13" spans="1:19" x14ac:dyDescent="0.3">
      <c r="A13" s="1">
        <v>11</v>
      </c>
      <c r="C13" s="1" t="s">
        <v>15</v>
      </c>
      <c r="D13" s="6">
        <v>22.3</v>
      </c>
      <c r="E13" s="1">
        <v>11</v>
      </c>
      <c r="F13" s="1">
        <v>30</v>
      </c>
      <c r="G13" s="1">
        <v>0.43663943105406455</v>
      </c>
      <c r="H13" s="1">
        <v>1.5900815192455442</v>
      </c>
      <c r="I13" s="1">
        <v>549.96832717246684</v>
      </c>
      <c r="K13" s="1">
        <f t="shared" si="0"/>
        <v>0.50464170279787379</v>
      </c>
      <c r="L13" s="1">
        <f t="shared" si="1"/>
        <v>0.78759470798767195</v>
      </c>
      <c r="M13" s="1">
        <f t="shared" si="2"/>
        <v>272.07696453744984</v>
      </c>
      <c r="N13"/>
      <c r="P13" s="1"/>
    </row>
    <row r="14" spans="1:19" x14ac:dyDescent="0.3">
      <c r="A14" s="1">
        <v>12</v>
      </c>
      <c r="C14" s="1" t="s">
        <v>15</v>
      </c>
      <c r="D14" s="6">
        <v>22.3</v>
      </c>
      <c r="E14" s="1">
        <v>12</v>
      </c>
      <c r="F14" s="1">
        <v>45</v>
      </c>
      <c r="G14" s="1">
        <v>0.46552466270874709</v>
      </c>
      <c r="H14" s="1">
        <v>1.5618734497715705</v>
      </c>
      <c r="I14" s="1">
        <v>1343.3282908887018</v>
      </c>
      <c r="K14" s="1">
        <f t="shared" si="0"/>
        <v>0.53802552352322908</v>
      </c>
      <c r="L14" s="1">
        <f t="shared" si="1"/>
        <v>0.77362276631590687</v>
      </c>
      <c r="M14" s="1">
        <f t="shared" si="2"/>
        <v>664.56314973873634</v>
      </c>
      <c r="N14"/>
      <c r="P14" s="1"/>
    </row>
    <row r="15" spans="1:19" x14ac:dyDescent="0.3">
      <c r="A15" s="1">
        <v>13</v>
      </c>
      <c r="C15" s="1" t="s">
        <v>15</v>
      </c>
      <c r="D15" s="6">
        <v>22.3</v>
      </c>
      <c r="E15" s="1">
        <v>13</v>
      </c>
      <c r="F15" s="1">
        <v>0</v>
      </c>
      <c r="G15" s="1">
        <v>0.42091745922719803</v>
      </c>
      <c r="H15" s="1">
        <v>1.6961975901238255</v>
      </c>
      <c r="I15" s="1">
        <v>398.38670208620766</v>
      </c>
      <c r="K15" s="1">
        <f t="shared" si="0"/>
        <v>0.4864711893953228</v>
      </c>
      <c r="L15" s="1">
        <f t="shared" si="1"/>
        <v>0.84015582189574023</v>
      </c>
      <c r="M15" s="1">
        <f t="shared" si="2"/>
        <v>197.0874307852817</v>
      </c>
      <c r="N15" s="1">
        <f>SLOPE(K15:K18,F15:F18)</f>
        <v>1.2382785103000847E-3</v>
      </c>
      <c r="O15" s="1">
        <f>SLOPE(L15:L18,F15:F18)</f>
        <v>-9.3146277811766512E-4</v>
      </c>
      <c r="P15" s="1">
        <f>SLOPE(M15:M18,F15:F18)</f>
        <v>3.3688534255363516</v>
      </c>
      <c r="Q15" s="1">
        <f>(N15*41.35/0.31*60)/1000</f>
        <v>9.910222529208099E-3</v>
      </c>
      <c r="R15" s="1">
        <f>O15*41.35/0.31*60/1000</f>
        <v>-7.454706943580411E-3</v>
      </c>
      <c r="S15" s="1">
        <f>(O15*41.35/0.31*60)/1000</f>
        <v>-7.454706943580411E-3</v>
      </c>
    </row>
    <row r="16" spans="1:19" x14ac:dyDescent="0.3">
      <c r="A16" s="1">
        <v>14</v>
      </c>
      <c r="C16" s="1" t="s">
        <v>15</v>
      </c>
      <c r="D16" s="6">
        <v>22.3</v>
      </c>
      <c r="E16" s="1">
        <v>14</v>
      </c>
      <c r="F16" s="1">
        <v>15</v>
      </c>
      <c r="G16" s="1">
        <v>0.44395559616161634</v>
      </c>
      <c r="H16" s="1">
        <v>1.6599300722287165</v>
      </c>
      <c r="I16" s="1">
        <v>511.07375324762609</v>
      </c>
      <c r="K16" s="1">
        <f t="shared" si="0"/>
        <v>0.51309728824262524</v>
      </c>
      <c r="L16" s="1">
        <f t="shared" si="1"/>
        <v>0.82219189688918504</v>
      </c>
      <c r="M16" s="1">
        <f t="shared" si="2"/>
        <v>252.8352789937484</v>
      </c>
      <c r="N16"/>
      <c r="P16" s="1"/>
    </row>
    <row r="17" spans="1:19" x14ac:dyDescent="0.3">
      <c r="A17" s="1">
        <v>15</v>
      </c>
      <c r="C17" s="1" t="s">
        <v>15</v>
      </c>
      <c r="D17" s="6">
        <v>22.3</v>
      </c>
      <c r="E17" s="1">
        <v>15</v>
      </c>
      <c r="F17" s="1">
        <v>30</v>
      </c>
      <c r="G17" s="1">
        <v>0.46144823560759785</v>
      </c>
      <c r="H17" s="1">
        <v>1.61963283012304</v>
      </c>
      <c r="I17" s="1">
        <v>759.9146455911191</v>
      </c>
      <c r="K17" s="1">
        <f t="shared" si="0"/>
        <v>0.5333142332288795</v>
      </c>
      <c r="L17" s="1">
        <f t="shared" si="1"/>
        <v>0.80223198021523512</v>
      </c>
      <c r="M17" s="1">
        <f t="shared" si="2"/>
        <v>375.9403221326715</v>
      </c>
      <c r="N17"/>
      <c r="P17" s="1"/>
    </row>
    <row r="18" spans="1:19" x14ac:dyDescent="0.3">
      <c r="A18" s="1">
        <v>16</v>
      </c>
      <c r="C18" s="1" t="s">
        <v>15</v>
      </c>
      <c r="D18" s="6">
        <v>22.3</v>
      </c>
      <c r="E18" s="1">
        <v>16</v>
      </c>
      <c r="F18" s="1">
        <v>45</v>
      </c>
      <c r="G18" s="1">
        <v>0.46865738234256582</v>
      </c>
      <c r="H18" s="1">
        <v>1.6156031059124727</v>
      </c>
      <c r="I18" s="1">
        <v>655.92477059497708</v>
      </c>
      <c r="K18" s="1">
        <f t="shared" si="0"/>
        <v>0.54164613324824229</v>
      </c>
      <c r="L18" s="1">
        <f t="shared" si="1"/>
        <v>0.80023598854784028</v>
      </c>
      <c r="M18" s="1">
        <f t="shared" si="2"/>
        <v>324.49508768245823</v>
      </c>
      <c r="N18"/>
      <c r="P18" s="1"/>
    </row>
    <row r="19" spans="1:19" x14ac:dyDescent="0.3">
      <c r="A19" s="1">
        <v>17</v>
      </c>
      <c r="C19" s="1" t="s">
        <v>15</v>
      </c>
      <c r="D19" s="6">
        <v>22.3</v>
      </c>
      <c r="E19" s="1">
        <v>17</v>
      </c>
      <c r="F19" s="1">
        <v>0</v>
      </c>
      <c r="G19" s="1">
        <v>0.42317457399442143</v>
      </c>
      <c r="H19" s="1">
        <v>1.7042570385449609</v>
      </c>
      <c r="I19" s="1">
        <v>397.36619106030827</v>
      </c>
      <c r="K19" s="1">
        <f t="shared" si="0"/>
        <v>0.48907982745806522</v>
      </c>
      <c r="L19" s="1">
        <f t="shared" si="1"/>
        <v>0.84414780523053012</v>
      </c>
      <c r="M19" s="1">
        <f t="shared" si="2"/>
        <v>196.58256981695791</v>
      </c>
      <c r="N19" s="1">
        <f>SLOPE(K19:K22,F19:F22)</f>
        <v>5.9526422000683997E-4</v>
      </c>
      <c r="O19" s="1">
        <f>SLOPE(L19:L22,F19:F22)</f>
        <v>-1.4326784634857428E-3</v>
      </c>
      <c r="P19" s="1">
        <f>SLOPE(M19:M22,F19:F22)</f>
        <v>3.6900229241596953</v>
      </c>
      <c r="Q19" s="1">
        <f>(N19*41.35/0.31*60)/1000</f>
        <v>4.7640339672160321E-3</v>
      </c>
      <c r="R19" s="1">
        <f>O19*41.35/0.31*60/1000</f>
        <v>-1.1466049251316541E-2</v>
      </c>
      <c r="S19" s="1">
        <f>(O19*41.35/0.31*60)/1000</f>
        <v>-1.1466049251316541E-2</v>
      </c>
    </row>
    <row r="20" spans="1:19" x14ac:dyDescent="0.3">
      <c r="A20" s="1">
        <v>18</v>
      </c>
      <c r="C20" s="1" t="s">
        <v>15</v>
      </c>
      <c r="D20" s="6">
        <v>22.3</v>
      </c>
      <c r="E20" s="1">
        <v>18</v>
      </c>
      <c r="F20" s="1">
        <v>15</v>
      </c>
      <c r="G20" s="1">
        <v>0.43411963482686255</v>
      </c>
      <c r="H20" s="1">
        <v>1.5927680020525889</v>
      </c>
      <c r="I20" s="1">
        <v>607.65003258091178</v>
      </c>
      <c r="K20" s="1">
        <f t="shared" si="0"/>
        <v>0.50172947323645001</v>
      </c>
      <c r="L20" s="1">
        <f t="shared" si="1"/>
        <v>0.78892536909926847</v>
      </c>
      <c r="M20" s="1">
        <f t="shared" si="2"/>
        <v>300.61290477524392</v>
      </c>
      <c r="N20"/>
      <c r="P20" s="1"/>
    </row>
    <row r="21" spans="1:19" x14ac:dyDescent="0.3">
      <c r="A21" s="1">
        <v>19</v>
      </c>
      <c r="C21" s="1" t="s">
        <v>15</v>
      </c>
      <c r="D21" s="6">
        <v>22.3</v>
      </c>
      <c r="E21" s="1">
        <v>19</v>
      </c>
      <c r="F21" s="1">
        <v>30</v>
      </c>
      <c r="G21" s="1">
        <v>0.44100772644407887</v>
      </c>
      <c r="H21" s="1">
        <v>1.5860517950349762</v>
      </c>
      <c r="I21" s="1">
        <v>675.48621978305744</v>
      </c>
      <c r="K21" s="1">
        <f t="shared" si="0"/>
        <v>0.50969031697964695</v>
      </c>
      <c r="L21" s="1">
        <f t="shared" si="1"/>
        <v>0.78559871632027678</v>
      </c>
      <c r="M21" s="1">
        <f t="shared" si="2"/>
        <v>334.17240809181595</v>
      </c>
      <c r="N21"/>
      <c r="P21" s="1"/>
    </row>
    <row r="22" spans="1:19" x14ac:dyDescent="0.3">
      <c r="A22" s="1">
        <v>20</v>
      </c>
      <c r="C22" s="1" t="s">
        <v>15</v>
      </c>
      <c r="D22" s="6">
        <v>22.3</v>
      </c>
      <c r="E22" s="1">
        <v>20</v>
      </c>
      <c r="F22" s="1">
        <v>45</v>
      </c>
      <c r="G22" s="1">
        <v>0.44663105547621307</v>
      </c>
      <c r="H22" s="1">
        <v>1.5618734497715705</v>
      </c>
      <c r="I22" s="1">
        <v>747.69928744550486</v>
      </c>
      <c r="K22" s="1">
        <f t="shared" si="0"/>
        <v>0.51618942387734157</v>
      </c>
      <c r="L22" s="1">
        <f t="shared" si="1"/>
        <v>0.77362276631590687</v>
      </c>
      <c r="M22" s="1">
        <f t="shared" si="2"/>
        <v>369.89721491941867</v>
      </c>
      <c r="N22"/>
      <c r="P22" s="1"/>
    </row>
    <row r="23" spans="1:19" x14ac:dyDescent="0.3">
      <c r="A23" s="1">
        <v>21</v>
      </c>
      <c r="C23" s="1" t="s">
        <v>15</v>
      </c>
      <c r="D23" s="6">
        <v>22.3</v>
      </c>
      <c r="E23" s="1">
        <v>21</v>
      </c>
      <c r="F23" s="1">
        <v>0</v>
      </c>
      <c r="G23" s="1">
        <v>0.42533439933202311</v>
      </c>
      <c r="H23" s="1">
        <v>1.6773922104745098</v>
      </c>
      <c r="I23" s="1">
        <v>403.01374672795555</v>
      </c>
      <c r="K23" s="1">
        <f t="shared" si="0"/>
        <v>0.4915760242249998</v>
      </c>
      <c r="L23" s="1">
        <f t="shared" si="1"/>
        <v>0.83084119411456336</v>
      </c>
      <c r="M23" s="1">
        <f t="shared" si="2"/>
        <v>199.3764939889364</v>
      </c>
      <c r="N23" s="1">
        <f>SLOPE(K23:K26,F23:F26)</f>
        <v>-1.7773220824029767E-4</v>
      </c>
      <c r="O23" s="1">
        <f>SLOPE(L23:L26,F23:F26)</f>
        <v>-5.6774874094790717E-4</v>
      </c>
      <c r="P23" s="1">
        <f>SLOPE(M23:M26,F23:F26)</f>
        <v>4.8211701444143804</v>
      </c>
      <c r="Q23" s="1">
        <f>(N23*41.35/0.31*60)/1000</f>
        <v>-1.4224309956263825E-3</v>
      </c>
      <c r="R23" s="1">
        <f>O23*41.35/0.31*60/1000</f>
        <v>-4.5438213751347019E-3</v>
      </c>
      <c r="S23" s="1">
        <f>(O23*41.35/0.31*60)/1000</f>
        <v>-4.5438213751347019E-3</v>
      </c>
    </row>
    <row r="24" spans="1:19" x14ac:dyDescent="0.3">
      <c r="A24" s="1">
        <v>22</v>
      </c>
      <c r="C24" s="1" t="s">
        <v>15</v>
      </c>
      <c r="D24" s="6">
        <v>22.3</v>
      </c>
      <c r="E24" s="1">
        <v>22</v>
      </c>
      <c r="F24" s="1">
        <v>15</v>
      </c>
      <c r="G24" s="1">
        <v>0.45499794642367919</v>
      </c>
      <c r="H24" s="1">
        <v>1.6572435894216715</v>
      </c>
      <c r="I24" s="1">
        <v>501.8127149590901</v>
      </c>
      <c r="K24" s="1">
        <f t="shared" si="0"/>
        <v>0.52585937531681792</v>
      </c>
      <c r="L24" s="1">
        <f t="shared" si="1"/>
        <v>0.8208612357775884</v>
      </c>
      <c r="M24" s="1">
        <f t="shared" si="2"/>
        <v>248.25371481719938</v>
      </c>
      <c r="N24"/>
      <c r="P24" s="1"/>
    </row>
    <row r="25" spans="1:19" x14ac:dyDescent="0.3">
      <c r="A25" s="1">
        <v>23</v>
      </c>
      <c r="C25" s="1" t="s">
        <v>15</v>
      </c>
      <c r="D25" s="6">
        <v>22.3</v>
      </c>
      <c r="E25" s="1">
        <v>23</v>
      </c>
      <c r="F25" s="1">
        <v>30</v>
      </c>
      <c r="G25" s="1">
        <v>0.42796121393180903</v>
      </c>
      <c r="H25" s="1">
        <v>1.6263490371406528</v>
      </c>
      <c r="I25" s="1">
        <v>505.7716624019759</v>
      </c>
      <c r="K25" s="1">
        <f t="shared" si="0"/>
        <v>0.49461193921181218</v>
      </c>
      <c r="L25" s="1">
        <f t="shared" si="1"/>
        <v>0.80555863299422681</v>
      </c>
      <c r="M25" s="1">
        <f t="shared" si="2"/>
        <v>250.21226106396512</v>
      </c>
      <c r="N25"/>
      <c r="P25" s="1"/>
    </row>
    <row r="26" spans="1:19" x14ac:dyDescent="0.3">
      <c r="A26" s="1">
        <v>24</v>
      </c>
      <c r="C26" s="1" t="s">
        <v>15</v>
      </c>
      <c r="D26" s="6">
        <v>22.3</v>
      </c>
      <c r="E26" s="1">
        <v>24</v>
      </c>
      <c r="F26" s="1">
        <v>45</v>
      </c>
      <c r="G26" s="1">
        <v>0.42665753557487829</v>
      </c>
      <c r="H26" s="1">
        <v>1.6303787613512206</v>
      </c>
      <c r="I26" s="1">
        <v>888.96263276211641</v>
      </c>
      <c r="K26" s="1">
        <f t="shared" si="0"/>
        <v>0.49310522584798683</v>
      </c>
      <c r="L26" s="1">
        <f t="shared" si="1"/>
        <v>0.80755462466162187</v>
      </c>
      <c r="M26" s="1">
        <f t="shared" si="2"/>
        <v>439.78215246073353</v>
      </c>
      <c r="N26"/>
      <c r="P26" s="1"/>
    </row>
    <row r="27" spans="1:19" x14ac:dyDescent="0.3">
      <c r="A27" s="1">
        <v>25</v>
      </c>
      <c r="C27" s="1" t="s">
        <v>15</v>
      </c>
      <c r="D27" s="6">
        <v>22.3</v>
      </c>
      <c r="E27" s="1">
        <v>25</v>
      </c>
      <c r="F27" s="1">
        <v>0</v>
      </c>
      <c r="G27" s="1">
        <v>0.42451716812320089</v>
      </c>
      <c r="H27" s="1">
        <v>1.7284353838083666</v>
      </c>
      <c r="I27" s="1">
        <v>398.87511786903104</v>
      </c>
      <c r="K27" s="1">
        <f t="shared" si="0"/>
        <v>0.49063151734021376</v>
      </c>
      <c r="L27" s="1">
        <f t="shared" si="1"/>
        <v>0.85612375523490003</v>
      </c>
      <c r="M27" s="1">
        <f t="shared" si="2"/>
        <v>197.32905685183349</v>
      </c>
      <c r="N27" s="1">
        <f>SLOPE(K27:K30,F27:F30)</f>
        <v>7.5223226895462054E-4</v>
      </c>
      <c r="O27" s="1">
        <f>SLOPE(L27:L30,F27:F30)</f>
        <v>-2.3907544638353405E-3</v>
      </c>
      <c r="P27" s="1">
        <f>SLOPE(M27:M30,F27:F30)</f>
        <v>3.1020596140849999</v>
      </c>
      <c r="Q27" s="1">
        <f>(N27*41.35/0.31*60)/1000</f>
        <v>6.0202847073432706E-3</v>
      </c>
      <c r="R27" s="1">
        <f>O27*41.35/0.31*60/1000</f>
        <v>-1.9133747821856388E-2</v>
      </c>
      <c r="S27" s="1">
        <f>(O27*41.35/0.31*60)/1000</f>
        <v>-1.9133747821856388E-2</v>
      </c>
    </row>
    <row r="28" spans="1:19" x14ac:dyDescent="0.3">
      <c r="A28" s="1">
        <v>26</v>
      </c>
      <c r="C28" s="1" t="s">
        <v>15</v>
      </c>
      <c r="D28" s="6">
        <v>22.3</v>
      </c>
      <c r="E28" s="1">
        <v>26</v>
      </c>
      <c r="F28" s="1">
        <v>15</v>
      </c>
      <c r="G28" s="1">
        <v>0.44101745538704101</v>
      </c>
      <c r="H28" s="1">
        <v>1.5618734497715705</v>
      </c>
      <c r="I28" s="1">
        <v>612.40315202838838</v>
      </c>
      <c r="K28" s="1">
        <f t="shared" si="0"/>
        <v>0.50970156110922771</v>
      </c>
      <c r="L28" s="1">
        <f t="shared" si="1"/>
        <v>0.77362276631590687</v>
      </c>
      <c r="M28" s="1">
        <f t="shared" si="2"/>
        <v>302.96433893510203</v>
      </c>
      <c r="N28"/>
      <c r="P28" s="1"/>
    </row>
    <row r="29" spans="1:19" x14ac:dyDescent="0.3">
      <c r="A29" s="1">
        <v>27</v>
      </c>
      <c r="C29" s="1" t="s">
        <v>15</v>
      </c>
      <c r="D29" s="6">
        <v>22.3</v>
      </c>
      <c r="E29" s="1">
        <v>27</v>
      </c>
      <c r="F29" s="1">
        <v>30</v>
      </c>
      <c r="G29" s="1">
        <v>0.44837253626644152</v>
      </c>
      <c r="H29" s="1">
        <v>1.5470977943328224</v>
      </c>
      <c r="I29" s="1">
        <v>621.36240495517984</v>
      </c>
      <c r="K29" s="1">
        <f t="shared" si="0"/>
        <v>0.5182021230723024</v>
      </c>
      <c r="L29" s="1">
        <f t="shared" si="1"/>
        <v>0.76630413020212518</v>
      </c>
      <c r="M29" s="1">
        <f t="shared" si="2"/>
        <v>307.39660570467595</v>
      </c>
      <c r="N29"/>
      <c r="P29" s="1"/>
    </row>
    <row r="30" spans="1:19" x14ac:dyDescent="0.3">
      <c r="A30" s="1">
        <v>28</v>
      </c>
      <c r="C30" s="1" t="s">
        <v>15</v>
      </c>
      <c r="D30" s="6">
        <v>22.3</v>
      </c>
      <c r="E30" s="1">
        <v>28</v>
      </c>
      <c r="F30" s="1">
        <v>45</v>
      </c>
      <c r="G30" s="1">
        <v>0.45460878870519239</v>
      </c>
      <c r="H30" s="1">
        <v>1.4920248967883978</v>
      </c>
      <c r="I30" s="1">
        <v>709.40927695915889</v>
      </c>
      <c r="K30" s="1">
        <f t="shared" si="0"/>
        <v>0.52540961013358656</v>
      </c>
      <c r="L30" s="1">
        <f t="shared" si="1"/>
        <v>0.73902557741439356</v>
      </c>
      <c r="M30" s="1">
        <f t="shared" si="2"/>
        <v>350.95461529955884</v>
      </c>
      <c r="O30" s="1"/>
      <c r="P30" s="1"/>
    </row>
    <row r="31" spans="1:19" x14ac:dyDescent="0.3">
      <c r="A31" s="1">
        <v>29</v>
      </c>
      <c r="C31" s="1" t="s">
        <v>15</v>
      </c>
      <c r="D31" s="6">
        <v>22.3</v>
      </c>
      <c r="E31" s="1">
        <v>29</v>
      </c>
      <c r="F31" s="1">
        <v>0</v>
      </c>
      <c r="G31" s="1">
        <v>0.42157902734862551</v>
      </c>
      <c r="H31" s="1">
        <v>1.6747057276674646</v>
      </c>
      <c r="I31" s="1">
        <v>400.64612143926882</v>
      </c>
      <c r="K31" s="1">
        <f t="shared" si="0"/>
        <v>0.48723579020681612</v>
      </c>
      <c r="L31" s="1">
        <f t="shared" si="1"/>
        <v>0.82951053300296673</v>
      </c>
      <c r="M31" s="1">
        <f t="shared" si="2"/>
        <v>198.20519689802961</v>
      </c>
      <c r="N31" s="1">
        <f>SLOPE(K31:K34,F31:F34)</f>
        <v>7.5957843361406762E-4</v>
      </c>
      <c r="O31" s="1">
        <f>SLOPE(L31:L34,F31:F34)</f>
        <v>-6.1210411133446306E-4</v>
      </c>
      <c r="P31" s="1">
        <f>SLOPE(M31:M34,F31:F34)</f>
        <v>3.0594574680420097</v>
      </c>
      <c r="Q31" s="1">
        <f>(N31*41.35/0.31*60)/1000</f>
        <v>6.0790777219241997E-3</v>
      </c>
      <c r="R31" s="1">
        <f>O31*41.35/0.31*60/1000</f>
        <v>-4.8988074200671059E-3</v>
      </c>
      <c r="S31" s="1">
        <f>(O31*41.35/0.31*60)/1000</f>
        <v>-4.8988074200671059E-3</v>
      </c>
    </row>
    <row r="32" spans="1:19" x14ac:dyDescent="0.3">
      <c r="A32" s="1">
        <v>30</v>
      </c>
      <c r="C32" s="1" t="s">
        <v>15</v>
      </c>
      <c r="D32" s="6">
        <v>22.3</v>
      </c>
      <c r="E32" s="1">
        <v>30</v>
      </c>
      <c r="F32" s="1">
        <v>15</v>
      </c>
      <c r="G32" s="1">
        <v>0.43015995504125942</v>
      </c>
      <c r="H32" s="1">
        <v>1.6263490371406528</v>
      </c>
      <c r="I32" s="1">
        <v>534.72221011433248</v>
      </c>
      <c r="K32" s="1">
        <f t="shared" si="0"/>
        <v>0.49715311249706989</v>
      </c>
      <c r="L32" s="1">
        <f t="shared" si="1"/>
        <v>0.80555863299422681</v>
      </c>
      <c r="M32" s="1">
        <f t="shared" si="2"/>
        <v>264.53449882585801</v>
      </c>
      <c r="N32"/>
      <c r="P32" s="1"/>
    </row>
    <row r="33" spans="1:19" x14ac:dyDescent="0.3">
      <c r="A33" s="1">
        <v>31</v>
      </c>
      <c r="C33" s="1" t="s">
        <v>15</v>
      </c>
      <c r="D33" s="6">
        <v>22.3</v>
      </c>
      <c r="E33" s="1">
        <v>31</v>
      </c>
      <c r="F33" s="1">
        <v>30</v>
      </c>
      <c r="G33" s="1">
        <v>0.43986944011750495</v>
      </c>
      <c r="H33" s="1">
        <v>1.6303787613512206</v>
      </c>
      <c r="I33" s="1">
        <v>587.57832787988173</v>
      </c>
      <c r="K33" s="1">
        <f t="shared" si="0"/>
        <v>0.5083747538186949</v>
      </c>
      <c r="L33" s="1">
        <f t="shared" si="1"/>
        <v>0.80755462466162187</v>
      </c>
      <c r="M33" s="1">
        <f t="shared" si="2"/>
        <v>290.68315388172425</v>
      </c>
      <c r="N33"/>
      <c r="P33" s="1"/>
    </row>
    <row r="34" spans="1:19" x14ac:dyDescent="0.3">
      <c r="A34" s="1">
        <v>32</v>
      </c>
      <c r="C34" s="1" t="s">
        <v>15</v>
      </c>
      <c r="D34" s="6">
        <v>22.3</v>
      </c>
      <c r="E34" s="1">
        <v>32</v>
      </c>
      <c r="F34" s="1">
        <v>45</v>
      </c>
      <c r="G34" s="1">
        <v>0.45120365866843293</v>
      </c>
      <c r="H34" s="1">
        <v>1.6115733817019049</v>
      </c>
      <c r="I34" s="1">
        <v>692.24225636492019</v>
      </c>
      <c r="K34" s="1">
        <f t="shared" si="0"/>
        <v>0.52147416478031117</v>
      </c>
      <c r="L34" s="1">
        <f t="shared" si="1"/>
        <v>0.79823999688044522</v>
      </c>
      <c r="M34" s="1">
        <f t="shared" si="2"/>
        <v>342.46185194817468</v>
      </c>
      <c r="O34" s="1"/>
      <c r="P34" s="1"/>
    </row>
    <row r="35" spans="1:19" x14ac:dyDescent="0.3">
      <c r="A35" s="1">
        <v>33</v>
      </c>
      <c r="C35" s="1" t="s">
        <v>15</v>
      </c>
      <c r="D35" s="6">
        <v>22.3</v>
      </c>
      <c r="E35" s="1">
        <v>33</v>
      </c>
      <c r="G35" s="1">
        <v>0.42052830150871123</v>
      </c>
      <c r="H35" s="1">
        <v>1.689481383106213</v>
      </c>
      <c r="I35" s="1">
        <v>404.85126220357779</v>
      </c>
      <c r="K35" s="1">
        <f t="shared" si="0"/>
        <v>0.48602142421209127</v>
      </c>
      <c r="L35" s="1">
        <f t="shared" si="1"/>
        <v>0.83682916911674854</v>
      </c>
      <c r="M35" s="1">
        <f t="shared" si="2"/>
        <v>200.285538397854</v>
      </c>
      <c r="N35"/>
      <c r="P35" s="1"/>
    </row>
    <row r="36" spans="1:19" x14ac:dyDescent="0.3">
      <c r="A36" s="1">
        <v>34</v>
      </c>
      <c r="C36" s="1" t="s">
        <v>15</v>
      </c>
      <c r="D36" s="6">
        <v>22.3</v>
      </c>
      <c r="E36" s="1">
        <v>34</v>
      </c>
      <c r="G36" s="1">
        <v>0.4257332859934721</v>
      </c>
      <c r="H36" s="1">
        <v>1.6491841410005363</v>
      </c>
      <c r="I36" s="1">
        <v>776.91886092441655</v>
      </c>
      <c r="K36" s="1">
        <f t="shared" si="0"/>
        <v>0.49203703353781203</v>
      </c>
      <c r="L36" s="1">
        <f t="shared" si="1"/>
        <v>0.81686925244279851</v>
      </c>
      <c r="M36" s="1">
        <f t="shared" si="2"/>
        <v>384.35254346187162</v>
      </c>
      <c r="N36"/>
      <c r="P36" s="1"/>
    </row>
    <row r="37" spans="1:19" x14ac:dyDescent="0.3">
      <c r="A37" s="1">
        <v>35</v>
      </c>
      <c r="C37" s="1" t="s">
        <v>15</v>
      </c>
      <c r="D37" s="6">
        <v>22.3</v>
      </c>
      <c r="E37" s="1">
        <v>35</v>
      </c>
      <c r="G37" s="1">
        <v>0.42268812684631291</v>
      </c>
      <c r="H37" s="1">
        <v>1.6760489690709874</v>
      </c>
      <c r="I37" s="1">
        <v>840.14885049993484</v>
      </c>
      <c r="K37" s="1">
        <f t="shared" si="0"/>
        <v>0.48851762097902585</v>
      </c>
      <c r="L37" s="1">
        <f t="shared" si="1"/>
        <v>0.83017586355876516</v>
      </c>
      <c r="M37" s="1">
        <f t="shared" si="2"/>
        <v>415.63329688250769</v>
      </c>
      <c r="N37"/>
      <c r="P37" s="1"/>
    </row>
    <row r="38" spans="1:19" x14ac:dyDescent="0.3">
      <c r="A38" s="1">
        <v>36</v>
      </c>
      <c r="C38" s="1" t="s">
        <v>15</v>
      </c>
      <c r="D38" s="6">
        <v>22.3</v>
      </c>
      <c r="E38" s="1">
        <v>36</v>
      </c>
      <c r="G38" s="1">
        <v>0.42956648952056703</v>
      </c>
      <c r="H38" s="1">
        <v>1.6411246925794007</v>
      </c>
      <c r="I38" s="1">
        <v>1168.0356678903745</v>
      </c>
      <c r="K38" s="1">
        <f t="shared" si="0"/>
        <v>0.49646722059264192</v>
      </c>
      <c r="L38" s="1">
        <f t="shared" si="1"/>
        <v>0.81287726910800839</v>
      </c>
      <c r="M38" s="1">
        <f t="shared" si="2"/>
        <v>577.84345623130241</v>
      </c>
      <c r="N38"/>
      <c r="P38" s="1"/>
    </row>
    <row r="39" spans="1:19" x14ac:dyDescent="0.3">
      <c r="A39" s="1">
        <v>37</v>
      </c>
      <c r="C39" s="1" t="s">
        <v>15</v>
      </c>
      <c r="D39" s="6">
        <v>22.3</v>
      </c>
      <c r="E39" s="1">
        <v>37</v>
      </c>
      <c r="F39" s="1">
        <v>0</v>
      </c>
      <c r="G39" s="1">
        <v>0.42519819413055276</v>
      </c>
      <c r="H39" s="1">
        <v>1.7002273143343931</v>
      </c>
      <c r="I39" s="1">
        <v>473.75163989187536</v>
      </c>
      <c r="K39" s="1">
        <f t="shared" si="0"/>
        <v>0.49141860641086876</v>
      </c>
      <c r="L39" s="1">
        <f t="shared" si="1"/>
        <v>0.84215181356313507</v>
      </c>
      <c r="M39" s="1">
        <f t="shared" si="2"/>
        <v>234.37151151796994</v>
      </c>
      <c r="N39" s="1">
        <f>SLOPE(K39:K42,F39:F42)</f>
        <v>-4.4181933166103894E-4</v>
      </c>
      <c r="O39" s="1">
        <f>SLOPE(L39:L42,F39:F42)</f>
        <v>-7.7621898176472178E-4</v>
      </c>
      <c r="P39" s="1">
        <f>SLOPE(M39:M42,F39:F42)</f>
        <v>5.2495161916633934</v>
      </c>
      <c r="Q39" s="1">
        <f>(N39*41.35/0.31*60)/1000</f>
        <v>-3.5359798769388317E-3</v>
      </c>
      <c r="R39" s="1">
        <f>O39*41.35/0.31*60/1000</f>
        <v>-6.2122557863170148E-3</v>
      </c>
      <c r="S39" s="1">
        <f>(O39*41.35/0.31*60)/1000</f>
        <v>-6.2122557863170148E-3</v>
      </c>
    </row>
    <row r="40" spans="1:19" x14ac:dyDescent="0.3">
      <c r="A40" s="1">
        <v>38</v>
      </c>
      <c r="C40" s="1" t="s">
        <v>15</v>
      </c>
      <c r="D40" s="6">
        <v>22.3</v>
      </c>
      <c r="E40" s="1">
        <v>38</v>
      </c>
      <c r="F40" s="1">
        <v>15</v>
      </c>
      <c r="G40" s="1">
        <v>0.45409315472819745</v>
      </c>
      <c r="H40" s="1">
        <v>1.6545571066146263</v>
      </c>
      <c r="I40" s="1">
        <v>798.41312622867008</v>
      </c>
      <c r="K40" s="1">
        <f t="shared" si="0"/>
        <v>0.5248136712658048</v>
      </c>
      <c r="L40" s="1">
        <f t="shared" si="1"/>
        <v>0.81953057466599177</v>
      </c>
      <c r="M40" s="1">
        <f t="shared" si="2"/>
        <v>394.98605482971811</v>
      </c>
      <c r="N40"/>
      <c r="P40" s="1"/>
    </row>
    <row r="41" spans="1:19" x14ac:dyDescent="0.3">
      <c r="A41" s="1">
        <v>39</v>
      </c>
      <c r="C41" s="1" t="s">
        <v>15</v>
      </c>
      <c r="D41" s="6">
        <v>22.3</v>
      </c>
      <c r="E41" s="1">
        <v>39</v>
      </c>
      <c r="F41" s="1">
        <v>30</v>
      </c>
      <c r="G41" s="1">
        <v>0.41726910561638431</v>
      </c>
      <c r="H41" s="1">
        <v>1.6250057957371302</v>
      </c>
      <c r="I41" s="1">
        <v>848.66435981916106</v>
      </c>
      <c r="K41" s="1">
        <f t="shared" si="0"/>
        <v>0.48225464080252778</v>
      </c>
      <c r="L41" s="1">
        <f t="shared" si="1"/>
        <v>0.80489330243842849</v>
      </c>
      <c r="M41" s="1">
        <f t="shared" si="2"/>
        <v>419.84603753064113</v>
      </c>
      <c r="N41"/>
      <c r="P41" s="1"/>
    </row>
    <row r="42" spans="1:19" x14ac:dyDescent="0.3">
      <c r="A42" s="1">
        <v>42</v>
      </c>
      <c r="C42" s="1" t="s">
        <v>15</v>
      </c>
      <c r="D42" s="6">
        <v>22.3</v>
      </c>
      <c r="E42" s="1">
        <v>40</v>
      </c>
      <c r="F42" s="1">
        <v>45</v>
      </c>
      <c r="G42" s="1">
        <v>0.41835874722814731</v>
      </c>
      <c r="H42" s="1">
        <v>1.631722002754743</v>
      </c>
      <c r="I42" s="1">
        <v>987.5620652770973</v>
      </c>
      <c r="K42" s="1">
        <f t="shared" si="0"/>
        <v>0.48351398331557582</v>
      </c>
      <c r="L42" s="1">
        <f t="shared" si="1"/>
        <v>0.80821995521742007</v>
      </c>
      <c r="M42" s="1">
        <f t="shared" si="2"/>
        <v>488.56066020083193</v>
      </c>
      <c r="N42"/>
      <c r="P42" s="1"/>
    </row>
    <row r="43" spans="1:19" x14ac:dyDescent="0.3">
      <c r="A43" s="1">
        <v>43</v>
      </c>
      <c r="C43" s="1" t="s">
        <v>15</v>
      </c>
      <c r="D43" s="6">
        <v>22.3</v>
      </c>
      <c r="E43" s="1" t="s">
        <v>54</v>
      </c>
      <c r="G43" s="1">
        <v>0.41762907650598458</v>
      </c>
      <c r="H43" s="1">
        <v>1.7472407634576823</v>
      </c>
      <c r="I43" s="1">
        <v>404.89196351881316</v>
      </c>
      <c r="K43" s="1">
        <f t="shared" si="0"/>
        <v>0.48267067359701687</v>
      </c>
      <c r="L43" s="1">
        <f t="shared" si="1"/>
        <v>0.86543838301607656</v>
      </c>
      <c r="M43" s="1">
        <f t="shared" si="2"/>
        <v>200.30567390340002</v>
      </c>
      <c r="N43"/>
      <c r="P43" s="1"/>
    </row>
    <row r="44" spans="1:19" x14ac:dyDescent="0.3">
      <c r="A44" s="1">
        <v>44</v>
      </c>
      <c r="C44" s="1" t="s">
        <v>15</v>
      </c>
      <c r="D44" s="6">
        <v>22.3</v>
      </c>
      <c r="E44" s="1" t="s">
        <v>55</v>
      </c>
      <c r="G44" s="1">
        <v>0.42071315142499238</v>
      </c>
      <c r="H44" s="1">
        <v>1.7324651080189344</v>
      </c>
      <c r="I44" s="1">
        <v>402.79237128167586</v>
      </c>
      <c r="K44" s="1">
        <f t="shared" si="0"/>
        <v>0.48623506267412614</v>
      </c>
      <c r="L44" s="1">
        <f t="shared" si="1"/>
        <v>0.85811974690229498</v>
      </c>
      <c r="M44" s="1">
        <f t="shared" si="2"/>
        <v>199.2669764831619</v>
      </c>
      <c r="N44"/>
      <c r="P44" s="1"/>
    </row>
    <row r="45" spans="1:19" x14ac:dyDescent="0.3">
      <c r="A45" s="1">
        <v>45</v>
      </c>
      <c r="C45" s="1" t="s">
        <v>15</v>
      </c>
      <c r="D45" s="6">
        <v>22.3</v>
      </c>
      <c r="E45" s="1" t="s">
        <v>111</v>
      </c>
      <c r="G45" s="1">
        <v>0.42181252197971764</v>
      </c>
      <c r="H45" s="1">
        <v>1.7109732455625737</v>
      </c>
      <c r="I45" s="1">
        <v>399.70602032883437</v>
      </c>
      <c r="K45" s="1">
        <f t="shared" si="0"/>
        <v>0.48750564931675505</v>
      </c>
      <c r="L45" s="1">
        <f t="shared" si="1"/>
        <v>0.84747445800952181</v>
      </c>
      <c r="M45" s="1">
        <f t="shared" si="2"/>
        <v>197.74011583090652</v>
      </c>
      <c r="N45"/>
      <c r="P45" s="1"/>
    </row>
    <row r="46" spans="1:19" x14ac:dyDescent="0.3">
      <c r="A46" s="1">
        <v>46</v>
      </c>
      <c r="C46" s="1" t="s">
        <v>15</v>
      </c>
      <c r="D46" s="6">
        <v>22.3</v>
      </c>
      <c r="K46" s="1">
        <f t="shared" si="0"/>
        <v>0</v>
      </c>
      <c r="L46" s="1">
        <f t="shared" si="1"/>
        <v>0</v>
      </c>
      <c r="M46" s="1">
        <f t="shared" si="2"/>
        <v>0</v>
      </c>
      <c r="N46"/>
      <c r="P46" s="1"/>
    </row>
    <row r="47" spans="1:19" x14ac:dyDescent="0.3">
      <c r="A47" s="1">
        <v>47</v>
      </c>
      <c r="B47" s="1" t="s">
        <v>112</v>
      </c>
      <c r="C47" s="1" t="s">
        <v>15</v>
      </c>
      <c r="D47" s="6">
        <v>13</v>
      </c>
      <c r="E47" s="1">
        <v>201</v>
      </c>
      <c r="F47" s="1">
        <v>0</v>
      </c>
      <c r="G47" s="1">
        <v>0.45923003661222311</v>
      </c>
      <c r="H47" s="1">
        <v>1.7015705557379155</v>
      </c>
      <c r="I47" s="1">
        <v>438.47650487795778</v>
      </c>
      <c r="K47" s="1">
        <f t="shared" si="0"/>
        <v>0.54800019711400927</v>
      </c>
      <c r="L47" s="1">
        <f t="shared" si="1"/>
        <v>0.87020906947383847</v>
      </c>
      <c r="M47" s="1">
        <f t="shared" si="2"/>
        <v>223.97042080710264</v>
      </c>
      <c r="N47" s="1">
        <f>SLOPE(K47:K50,F47:F50)</f>
        <v>-9.8294348360348222E-5</v>
      </c>
      <c r="O47" s="1">
        <f>SLOPE(L47:L50,F47:F50)</f>
        <v>-1.6028928755015565E-4</v>
      </c>
      <c r="P47" s="1">
        <f>SLOPE(M47:M50,F47:F50)</f>
        <v>1.3421869822233081</v>
      </c>
      <c r="Q47" s="1">
        <f>(N47*41.35/0.31*60)/1000</f>
        <v>-7.866718654258837E-4</v>
      </c>
      <c r="R47" s="1">
        <f>O47*41.35/0.31*60/1000</f>
        <v>-1.282831362619149E-3</v>
      </c>
      <c r="S47" s="1">
        <f>(O47*41.35/0.31*60)/1000</f>
        <v>-1.282831362619149E-3</v>
      </c>
    </row>
    <row r="48" spans="1:19" x14ac:dyDescent="0.3">
      <c r="A48" s="1">
        <v>48</v>
      </c>
      <c r="C48" s="1" t="s">
        <v>15</v>
      </c>
      <c r="D48" s="6">
        <v>13</v>
      </c>
      <c r="E48" s="1">
        <v>202</v>
      </c>
      <c r="F48" s="1">
        <v>15</v>
      </c>
      <c r="G48" s="1">
        <v>0.44921895430415026</v>
      </c>
      <c r="H48" s="1">
        <v>1.6948543487203027</v>
      </c>
      <c r="I48" s="1">
        <v>488.62648153786341</v>
      </c>
      <c r="K48" s="1">
        <f t="shared" si="0"/>
        <v>0.53605395091761554</v>
      </c>
      <c r="L48" s="1">
        <f t="shared" si="1"/>
        <v>0.86677429902633507</v>
      </c>
      <c r="M48" s="1">
        <f t="shared" si="2"/>
        <v>249.58664254539553</v>
      </c>
      <c r="N48"/>
      <c r="P48" s="1"/>
    </row>
    <row r="49" spans="1:19" x14ac:dyDescent="0.3">
      <c r="A49" s="1">
        <v>49</v>
      </c>
      <c r="C49" s="1" t="s">
        <v>15</v>
      </c>
      <c r="D49" s="6">
        <v>13</v>
      </c>
      <c r="E49" s="1">
        <v>203</v>
      </c>
      <c r="F49" s="1">
        <v>30</v>
      </c>
      <c r="G49" s="1">
        <v>0.44579436638146647</v>
      </c>
      <c r="H49" s="1">
        <v>1.6961975901238255</v>
      </c>
      <c r="I49" s="1">
        <v>540.22582210614758</v>
      </c>
      <c r="K49" s="1">
        <f t="shared" si="0"/>
        <v>0.53196738273381527</v>
      </c>
      <c r="L49" s="1">
        <f t="shared" si="1"/>
        <v>0.867461253115836</v>
      </c>
      <c r="M49" s="1">
        <f t="shared" si="2"/>
        <v>275.94318820264624</v>
      </c>
      <c r="N49"/>
      <c r="P49" s="1"/>
    </row>
    <row r="50" spans="1:19" x14ac:dyDescent="0.3">
      <c r="A50" s="1">
        <v>50</v>
      </c>
      <c r="C50" s="1" t="s">
        <v>15</v>
      </c>
      <c r="D50" s="6">
        <v>13</v>
      </c>
      <c r="E50" s="1">
        <v>204</v>
      </c>
      <c r="F50" s="1">
        <v>45</v>
      </c>
      <c r="G50" s="1">
        <v>0.45625298006579917</v>
      </c>
      <c r="H50" s="1">
        <v>1.685451658895645</v>
      </c>
      <c r="I50" s="1">
        <v>552.65957755302429</v>
      </c>
      <c r="K50" s="1">
        <f t="shared" si="0"/>
        <v>0.54444766909059195</v>
      </c>
      <c r="L50" s="1">
        <f t="shared" si="1"/>
        <v>0.86196562039983038</v>
      </c>
      <c r="M50" s="1">
        <f t="shared" si="2"/>
        <v>282.29425469918448</v>
      </c>
      <c r="N50"/>
      <c r="P50" s="1"/>
    </row>
    <row r="51" spans="1:19" x14ac:dyDescent="0.3">
      <c r="A51" s="1">
        <v>51</v>
      </c>
      <c r="C51" s="1" t="s">
        <v>15</v>
      </c>
      <c r="D51" s="6">
        <v>13</v>
      </c>
      <c r="E51" s="1">
        <v>205</v>
      </c>
      <c r="F51" s="1">
        <v>0</v>
      </c>
      <c r="G51" s="1">
        <v>0.45581517763250151</v>
      </c>
      <c r="H51" s="1">
        <v>1.689481383106213</v>
      </c>
      <c r="I51" s="1">
        <v>433.95071716679519</v>
      </c>
      <c r="K51" s="1">
        <f t="shared" si="0"/>
        <v>0.54392523849891294</v>
      </c>
      <c r="L51" s="1">
        <f t="shared" si="1"/>
        <v>0.8640264826683326</v>
      </c>
      <c r="M51" s="1">
        <f t="shared" si="2"/>
        <v>221.65868330948044</v>
      </c>
      <c r="N51" s="1">
        <f>SLOPE(K51:K54,F51:F54)</f>
        <v>1.6747886415234392E-2</v>
      </c>
      <c r="O51" s="1">
        <f>SLOPE(L51:L54,F51:F54)</f>
        <v>4.9460694444048619E-4</v>
      </c>
      <c r="P51" s="1">
        <f>SLOPE(M51:M54,F51:F54)</f>
        <v>1.6196901352244126</v>
      </c>
      <c r="Q51" s="1">
        <f>(N51*41.35/0.31*60)/1000</f>
        <v>0.13403711676192426</v>
      </c>
      <c r="R51" s="1">
        <f>O51*41.35/0.31*60/1000</f>
        <v>3.9584510617962781E-3</v>
      </c>
      <c r="S51" s="1">
        <f>(O51*41.35/0.31*60)/1000</f>
        <v>3.9584510617962781E-3</v>
      </c>
    </row>
    <row r="52" spans="1:19" x14ac:dyDescent="0.3">
      <c r="A52" s="1">
        <v>52</v>
      </c>
      <c r="C52" s="1" t="s">
        <v>15</v>
      </c>
      <c r="D52" s="6">
        <v>13</v>
      </c>
      <c r="E52" s="1">
        <v>206</v>
      </c>
      <c r="F52" s="1">
        <v>15</v>
      </c>
      <c r="G52" s="1">
        <v>0.42436150503580611</v>
      </c>
      <c r="H52" s="1">
        <v>1.6653030378428069</v>
      </c>
      <c r="I52" s="1">
        <v>536.39592761400775</v>
      </c>
      <c r="K52" s="1">
        <f t="shared" si="0"/>
        <v>0.50639150287895107</v>
      </c>
      <c r="L52" s="1">
        <f t="shared" si="1"/>
        <v>0.8516613090573204</v>
      </c>
      <c r="M52" s="1">
        <f t="shared" si="2"/>
        <v>273.98690760035925</v>
      </c>
      <c r="N52"/>
      <c r="P52" s="1"/>
    </row>
    <row r="53" spans="1:19" x14ac:dyDescent="0.3">
      <c r="A53" s="1">
        <v>53</v>
      </c>
      <c r="C53" s="1" t="s">
        <v>15</v>
      </c>
      <c r="D53" s="6">
        <v>13</v>
      </c>
      <c r="E53" s="1">
        <v>207</v>
      </c>
      <c r="F53" s="1">
        <v>30</v>
      </c>
      <c r="G53" s="1">
        <v>0.43126905453894676</v>
      </c>
      <c r="H53" s="1">
        <v>1.7096300041590511</v>
      </c>
      <c r="I53" s="1">
        <v>615.71385657252688</v>
      </c>
      <c r="K53" s="1">
        <f t="shared" si="0"/>
        <v>0.51463429665877569</v>
      </c>
      <c r="L53" s="1">
        <f t="shared" si="1"/>
        <v>0.87433079401084268</v>
      </c>
      <c r="M53" s="1">
        <f t="shared" si="2"/>
        <v>314.50189467208827</v>
      </c>
      <c r="N53"/>
      <c r="P53" s="1"/>
    </row>
    <row r="54" spans="1:19" x14ac:dyDescent="0.3">
      <c r="A54" s="1">
        <v>54</v>
      </c>
      <c r="C54" s="1" t="s">
        <v>15</v>
      </c>
      <c r="D54" s="6">
        <v>13</v>
      </c>
      <c r="E54" s="1">
        <v>208</v>
      </c>
      <c r="F54" s="1">
        <v>45</v>
      </c>
      <c r="G54" s="1">
        <v>1.1552580740117837</v>
      </c>
      <c r="H54" s="1">
        <v>1.7230624181942766</v>
      </c>
      <c r="I54" s="1">
        <v>566.05825198547905</v>
      </c>
      <c r="K54" s="1">
        <f t="shared" si="0"/>
        <v>1.3785719613340244</v>
      </c>
      <c r="L54" s="1">
        <f t="shared" si="1"/>
        <v>0.88120033490584948</v>
      </c>
      <c r="M54" s="1">
        <f t="shared" si="2"/>
        <v>289.13819438012473</v>
      </c>
      <c r="N54"/>
      <c r="P54" s="1"/>
    </row>
    <row r="55" spans="1:19" x14ac:dyDescent="0.3">
      <c r="A55" s="1">
        <v>55</v>
      </c>
      <c r="C55" s="1" t="s">
        <v>15</v>
      </c>
      <c r="D55" s="6">
        <v>13</v>
      </c>
      <c r="E55" s="1">
        <v>209</v>
      </c>
      <c r="F55" s="1">
        <v>0</v>
      </c>
      <c r="G55" s="1">
        <v>0.41827118674148772</v>
      </c>
      <c r="H55" s="1">
        <v>1.6948543487203027</v>
      </c>
      <c r="I55" s="1">
        <v>435.67605584676903</v>
      </c>
      <c r="K55" s="1">
        <f t="shared" si="0"/>
        <v>0.49912391287026064</v>
      </c>
      <c r="L55" s="1">
        <f t="shared" si="1"/>
        <v>0.86677429902633507</v>
      </c>
      <c r="M55" s="1">
        <f t="shared" si="2"/>
        <v>222.5399730157466</v>
      </c>
      <c r="N55" s="1">
        <f>SLOPE(K55:K58,F55:F58)</f>
        <v>7.4437458644921089E-3</v>
      </c>
      <c r="O55" s="1">
        <f>SLOPE(L55:L58,F55:F58)</f>
        <v>2.289846965002281E-4</v>
      </c>
      <c r="P55" s="1">
        <f>SLOPE(M55:M58,F55:F58)</f>
        <v>0.72894862221212098</v>
      </c>
      <c r="Q55" s="1">
        <f>(N55*41.35/0.31*60)/1000</f>
        <v>5.9573978999370718E-2</v>
      </c>
      <c r="R55" s="1">
        <f>O55*41.35/0.31*60/1000</f>
        <v>1.8326162323131158E-3</v>
      </c>
      <c r="S55" s="1">
        <f>(O55*41.35/0.31*60)/1000</f>
        <v>1.8326162323131158E-3</v>
      </c>
    </row>
    <row r="56" spans="1:19" x14ac:dyDescent="0.3">
      <c r="A56" s="1">
        <v>56</v>
      </c>
      <c r="C56" s="1" t="s">
        <v>15</v>
      </c>
      <c r="D56" s="6">
        <v>13</v>
      </c>
      <c r="E56" s="1">
        <v>210</v>
      </c>
      <c r="F56" s="1">
        <v>15</v>
      </c>
      <c r="G56" s="1">
        <v>0.42201682978192312</v>
      </c>
      <c r="H56" s="1">
        <v>1.6988840729308705</v>
      </c>
      <c r="I56" s="1">
        <v>440.45200773937773</v>
      </c>
      <c r="K56" s="1">
        <f t="shared" si="0"/>
        <v>0.50359359682129223</v>
      </c>
      <c r="L56" s="1">
        <f t="shared" si="1"/>
        <v>0.86883516129483718</v>
      </c>
      <c r="M56" s="1">
        <f t="shared" si="2"/>
        <v>224.97949245006561</v>
      </c>
      <c r="N56"/>
      <c r="P56" s="1"/>
    </row>
    <row r="57" spans="1:19" x14ac:dyDescent="0.3">
      <c r="A57" s="1">
        <v>57</v>
      </c>
      <c r="C57" s="1" t="s">
        <v>15</v>
      </c>
      <c r="D57" s="6">
        <v>13</v>
      </c>
      <c r="E57" s="1">
        <v>211</v>
      </c>
      <c r="F57" s="1">
        <v>30</v>
      </c>
      <c r="G57" s="1">
        <v>1.3493018413922628</v>
      </c>
      <c r="H57" s="1">
        <v>1.7217191767907538</v>
      </c>
      <c r="I57" s="1">
        <v>448.22298080429988</v>
      </c>
      <c r="K57" s="1">
        <f t="shared" si="0"/>
        <v>1.6101248091348714</v>
      </c>
      <c r="L57" s="1">
        <f t="shared" si="1"/>
        <v>0.88051338081634856</v>
      </c>
      <c r="M57" s="1">
        <f t="shared" si="2"/>
        <v>228.94884562650478</v>
      </c>
      <c r="N57"/>
      <c r="P57" s="1"/>
    </row>
    <row r="58" spans="1:19" x14ac:dyDescent="0.3">
      <c r="A58" s="1">
        <v>58</v>
      </c>
      <c r="C58" s="1" t="s">
        <v>15</v>
      </c>
      <c r="D58" s="6">
        <v>13</v>
      </c>
      <c r="E58" s="1">
        <v>212</v>
      </c>
      <c r="F58" s="1">
        <v>45</v>
      </c>
      <c r="G58" s="1">
        <v>0.42107312231459265</v>
      </c>
      <c r="H58" s="1">
        <v>1.7096300041590511</v>
      </c>
      <c r="I58" s="1">
        <v>504.4404315792803</v>
      </c>
      <c r="K58" s="1">
        <f t="shared" si="0"/>
        <v>0.50246746865700642</v>
      </c>
      <c r="L58" s="1">
        <f t="shared" si="1"/>
        <v>0.87433079401084268</v>
      </c>
      <c r="M58" s="1">
        <f t="shared" si="2"/>
        <v>257.66428640087292</v>
      </c>
      <c r="N58"/>
      <c r="P58" s="1"/>
    </row>
    <row r="59" spans="1:19" x14ac:dyDescent="0.3">
      <c r="A59" s="1">
        <v>59</v>
      </c>
      <c r="C59" s="1" t="s">
        <v>15</v>
      </c>
      <c r="D59" s="6">
        <v>13</v>
      </c>
      <c r="E59" s="1">
        <v>213</v>
      </c>
      <c r="F59" s="1">
        <v>0</v>
      </c>
      <c r="G59" s="1">
        <v>0.4210147486568197</v>
      </c>
      <c r="H59" s="1">
        <v>1.6693327620533747</v>
      </c>
      <c r="I59" s="1">
        <v>494.97985757459082</v>
      </c>
      <c r="K59" s="1">
        <f t="shared" si="0"/>
        <v>0.50239781124478267</v>
      </c>
      <c r="L59" s="1">
        <f t="shared" si="1"/>
        <v>0.85372217132582251</v>
      </c>
      <c r="M59" s="1">
        <f t="shared" si="2"/>
        <v>252.8318980805528</v>
      </c>
      <c r="N59" s="1">
        <f>SLOPE(K59:K62,F59:F62)</f>
        <v>1.9666609384539221E-3</v>
      </c>
      <c r="O59" s="1">
        <f>SLOPE(L59:L62,F59:F62)</f>
        <v>4.9460694444048033E-4</v>
      </c>
      <c r="P59" s="1">
        <f>SLOPE(M59:M62,F59:F62)</f>
        <v>4.4348614196359319</v>
      </c>
      <c r="Q59" s="1">
        <f>(N59*41.35/0.31*60)/1000</f>
        <v>1.5739631575174776E-2</v>
      </c>
      <c r="R59" s="1">
        <f>O59*41.35/0.31*60/1000</f>
        <v>3.9584510617962322E-3</v>
      </c>
      <c r="S59" s="1">
        <f>(O59*41.35/0.31*60)/1000</f>
        <v>3.9584510617962322E-3</v>
      </c>
    </row>
    <row r="60" spans="1:19" x14ac:dyDescent="0.3">
      <c r="A60" s="1">
        <v>60</v>
      </c>
      <c r="C60" s="1" t="s">
        <v>15</v>
      </c>
      <c r="D60" s="6">
        <v>13</v>
      </c>
      <c r="E60" s="1">
        <v>214</v>
      </c>
      <c r="F60" s="1">
        <v>15</v>
      </c>
      <c r="G60" s="1">
        <v>0.42806823230439289</v>
      </c>
      <c r="H60" s="1">
        <v>1.6988840729308705</v>
      </c>
      <c r="I60" s="1">
        <v>451.81065283503943</v>
      </c>
      <c r="K60" s="1">
        <f t="shared" si="0"/>
        <v>0.51081474855516695</v>
      </c>
      <c r="L60" s="1">
        <f t="shared" si="1"/>
        <v>0.86883516129483718</v>
      </c>
      <c r="M60" s="1">
        <f t="shared" si="2"/>
        <v>230.7814008615139</v>
      </c>
      <c r="N60"/>
      <c r="P60" s="1"/>
    </row>
    <row r="61" spans="1:19" x14ac:dyDescent="0.3">
      <c r="A61" s="1">
        <v>61</v>
      </c>
      <c r="C61" s="1" t="s">
        <v>15</v>
      </c>
      <c r="D61" s="6">
        <v>13</v>
      </c>
      <c r="E61" s="1">
        <v>215</v>
      </c>
      <c r="F61" s="1">
        <v>30</v>
      </c>
      <c r="G61" s="1">
        <v>0.45214736613576345</v>
      </c>
      <c r="H61" s="1">
        <v>1.6787354518780324</v>
      </c>
      <c r="I61" s="1">
        <v>483.44053834788468</v>
      </c>
      <c r="K61" s="1">
        <f t="shared" si="0"/>
        <v>0.53954843109751316</v>
      </c>
      <c r="L61" s="1">
        <f t="shared" si="1"/>
        <v>0.8585308499523272</v>
      </c>
      <c r="M61" s="1">
        <f t="shared" si="2"/>
        <v>246.93770271482342</v>
      </c>
      <c r="N61"/>
      <c r="P61" s="1"/>
    </row>
    <row r="62" spans="1:19" x14ac:dyDescent="0.3">
      <c r="A62" s="1">
        <v>62</v>
      </c>
      <c r="C62" s="1" t="s">
        <v>15</v>
      </c>
      <c r="D62" s="6">
        <v>13</v>
      </c>
      <c r="E62" s="1">
        <v>216</v>
      </c>
      <c r="F62" s="1">
        <v>45</v>
      </c>
      <c r="G62" s="1">
        <v>0.49539251760260877</v>
      </c>
      <c r="H62" s="1">
        <v>1.724405659597799</v>
      </c>
      <c r="I62" s="1">
        <v>918.55248893816861</v>
      </c>
      <c r="K62" s="1">
        <f t="shared" si="0"/>
        <v>0.5911529639866967</v>
      </c>
      <c r="L62" s="1">
        <f t="shared" si="1"/>
        <v>0.88188728899534985</v>
      </c>
      <c r="M62" s="1">
        <f t="shared" si="2"/>
        <v>469.18953511124624</v>
      </c>
      <c r="N62"/>
      <c r="P62" s="1"/>
    </row>
    <row r="63" spans="1:19" x14ac:dyDescent="0.3">
      <c r="A63" s="1">
        <v>63</v>
      </c>
      <c r="C63" s="1" t="s">
        <v>15</v>
      </c>
      <c r="D63" s="6">
        <v>13</v>
      </c>
      <c r="E63" s="1">
        <v>217</v>
      </c>
      <c r="F63" s="1">
        <v>0</v>
      </c>
      <c r="G63" s="1">
        <v>0.41835874722814731</v>
      </c>
      <c r="H63" s="1">
        <v>1.9178324217050464</v>
      </c>
      <c r="I63" s="1">
        <v>405.82213747919025</v>
      </c>
      <c r="K63" s="1">
        <f t="shared" si="0"/>
        <v>0.4992283989885965</v>
      </c>
      <c r="L63" s="1">
        <f t="shared" si="1"/>
        <v>0.98080867788344672</v>
      </c>
      <c r="M63" s="1">
        <f t="shared" si="2"/>
        <v>207.29082149874901</v>
      </c>
      <c r="N63" s="1">
        <f>SLOPE(K63:K66,F63:F66)</f>
        <v>1.8585371552575388E-3</v>
      </c>
      <c r="O63" s="1">
        <f>SLOPE(L63:L66,F63:F66)</f>
        <v>-2.4043393132523504E-3</v>
      </c>
      <c r="P63" s="1">
        <f>SLOPE(M63:M66,F63:F66)</f>
        <v>4.281235755265909</v>
      </c>
      <c r="Q63" s="1">
        <f>(N63*41.35/0.31*60)/1000</f>
        <v>1.4874292523206304E-2</v>
      </c>
      <c r="R63" s="1">
        <f>O63*41.35/0.31*60/1000</f>
        <v>-1.9242470439287365E-2</v>
      </c>
      <c r="S63" s="1">
        <f>(O63*41.35/0.31*60)/1000</f>
        <v>-1.9242470439287365E-2</v>
      </c>
    </row>
    <row r="64" spans="1:19" x14ac:dyDescent="0.3">
      <c r="A64" s="1">
        <v>64</v>
      </c>
      <c r="C64" s="1" t="s">
        <v>15</v>
      </c>
      <c r="D64" s="6">
        <v>13</v>
      </c>
      <c r="E64" s="1">
        <v>218</v>
      </c>
      <c r="F64" s="1">
        <v>15</v>
      </c>
      <c r="G64" s="1">
        <v>0.47736478629370788</v>
      </c>
      <c r="H64" s="1">
        <v>1.6773922104745098</v>
      </c>
      <c r="I64" s="1">
        <v>629.68532756329284</v>
      </c>
      <c r="K64" s="1">
        <f t="shared" si="0"/>
        <v>0.56964043317822488</v>
      </c>
      <c r="L64" s="1">
        <f t="shared" si="1"/>
        <v>0.8578438958628265</v>
      </c>
      <c r="M64" s="1">
        <f t="shared" si="2"/>
        <v>321.63841442237003</v>
      </c>
      <c r="N64"/>
      <c r="P64" s="1"/>
    </row>
    <row r="65" spans="1:19" x14ac:dyDescent="0.3">
      <c r="A65" s="1">
        <v>65</v>
      </c>
      <c r="C65" s="1" t="s">
        <v>15</v>
      </c>
      <c r="D65" s="6">
        <v>13</v>
      </c>
      <c r="E65" s="1">
        <v>219</v>
      </c>
      <c r="F65" s="1">
        <v>30</v>
      </c>
      <c r="G65" s="1">
        <v>0.4829491995539934</v>
      </c>
      <c r="H65" s="1">
        <v>1.6773922104745098</v>
      </c>
      <c r="I65" s="1">
        <v>661.793701708904</v>
      </c>
      <c r="K65" s="1">
        <f t="shared" si="0"/>
        <v>0.57630432561430844</v>
      </c>
      <c r="L65" s="1">
        <f t="shared" si="1"/>
        <v>0.8578438958628265</v>
      </c>
      <c r="M65" s="1">
        <f t="shared" si="2"/>
        <v>338.03912458317109</v>
      </c>
      <c r="N65"/>
      <c r="P65" s="1"/>
    </row>
    <row r="66" spans="1:19" x14ac:dyDescent="0.3">
      <c r="A66" s="1">
        <v>66</v>
      </c>
      <c r="C66" s="1" t="s">
        <v>15</v>
      </c>
      <c r="D66" s="6">
        <v>13</v>
      </c>
      <c r="E66" s="1">
        <v>220</v>
      </c>
      <c r="F66" s="1">
        <v>45</v>
      </c>
      <c r="G66" s="1">
        <v>0.49437097859158091</v>
      </c>
      <c r="H66" s="1">
        <v>1.6827651760886002</v>
      </c>
      <c r="I66" s="1">
        <v>814.19729481991476</v>
      </c>
      <c r="K66" s="1">
        <f t="shared" si="0"/>
        <v>0.58993395927277892</v>
      </c>
      <c r="L66" s="1">
        <f t="shared" si="1"/>
        <v>0.8605917122208292</v>
      </c>
      <c r="M66" s="1">
        <f t="shared" si="2"/>
        <v>415.88570587511077</v>
      </c>
      <c r="N66"/>
      <c r="P66" s="1"/>
    </row>
    <row r="67" spans="1:19" x14ac:dyDescent="0.3">
      <c r="A67" s="1">
        <v>67</v>
      </c>
      <c r="C67" s="1" t="s">
        <v>15</v>
      </c>
      <c r="D67" s="6">
        <v>13</v>
      </c>
      <c r="E67" s="1">
        <v>221</v>
      </c>
      <c r="F67" s="1">
        <v>0</v>
      </c>
      <c r="G67" s="1">
        <v>0.50064614680218056</v>
      </c>
      <c r="H67" s="1">
        <v>1.7136597283696187</v>
      </c>
      <c r="I67" s="1">
        <v>443.88283079921052</v>
      </c>
      <c r="K67" s="1">
        <f t="shared" ref="K67:K130" si="3">(G67*28*1)/(0.082*(D67+273.15))</f>
        <v>0.59742213108684494</v>
      </c>
      <c r="L67" s="1">
        <f t="shared" ref="L67:L130" si="4">(H67*12*1)/(0.082*(D67+273.15))</f>
        <v>0.87639165627934457</v>
      </c>
      <c r="M67" s="1">
        <f t="shared" ref="M67:M130" si="5">(I67*12*1)/(0.0821*(D67+273.15))</f>
        <v>226.7319304390505</v>
      </c>
      <c r="N67" s="1">
        <f>SLOPE(K67:K70,F67:F70)</f>
        <v>4.3020495186586641E-2</v>
      </c>
      <c r="O67" s="1">
        <f>SLOPE(L67:L70,F67:F70)</f>
        <v>-7.6480888631074828E-4</v>
      </c>
      <c r="P67" s="1">
        <f>SLOPE(M67:M70,F67:F70)</f>
        <v>3.7181940613396702</v>
      </c>
      <c r="Q67" s="1">
        <f>(N67*41.35/0.31*60)/1000</f>
        <v>0.34430273728361765</v>
      </c>
      <c r="R67" s="1">
        <f>O67*41.35/0.31*60/1000</f>
        <v>-6.1209382159256986E-3</v>
      </c>
      <c r="S67" s="1">
        <f>(O67*41.35/0.31*60)/1000</f>
        <v>-6.1209382159256986E-3</v>
      </c>
    </row>
    <row r="68" spans="1:19" x14ac:dyDescent="0.3">
      <c r="A68" s="1">
        <v>68</v>
      </c>
      <c r="C68" s="1" t="s">
        <v>15</v>
      </c>
      <c r="D68" s="6">
        <v>13</v>
      </c>
      <c r="E68" s="1">
        <v>222</v>
      </c>
      <c r="F68" s="1">
        <v>15</v>
      </c>
      <c r="G68" s="1">
        <v>0.50855577743042457</v>
      </c>
      <c r="H68" s="1">
        <v>1.6639597964392843</v>
      </c>
      <c r="I68" s="1">
        <v>738.56035310267475</v>
      </c>
      <c r="K68" s="1">
        <f t="shared" si="3"/>
        <v>0.60686071044317924</v>
      </c>
      <c r="L68" s="1">
        <f t="shared" si="4"/>
        <v>0.8509743549678197</v>
      </c>
      <c r="M68" s="1">
        <f t="shared" si="5"/>
        <v>377.25093872906353</v>
      </c>
      <c r="N68"/>
      <c r="P68" s="1"/>
    </row>
    <row r="69" spans="1:19" x14ac:dyDescent="0.3">
      <c r="A69" s="1">
        <v>69</v>
      </c>
      <c r="C69" s="1" t="s">
        <v>15</v>
      </c>
      <c r="D69" s="6">
        <v>13</v>
      </c>
      <c r="E69" s="1">
        <v>223</v>
      </c>
      <c r="F69" s="1">
        <v>30</v>
      </c>
      <c r="G69" s="1">
        <v>1.8573180560478895</v>
      </c>
      <c r="H69" s="1">
        <v>1.6209760715265624</v>
      </c>
      <c r="I69" s="1">
        <v>746.83463267550644</v>
      </c>
      <c r="K69" s="1">
        <f t="shared" si="3"/>
        <v>2.2163416581505055</v>
      </c>
      <c r="L69" s="1">
        <f t="shared" si="4"/>
        <v>0.82899182410379824</v>
      </c>
      <c r="M69" s="1">
        <f t="shared" si="5"/>
        <v>381.47737699242845</v>
      </c>
      <c r="N69"/>
      <c r="P69" s="1"/>
    </row>
    <row r="70" spans="1:19" x14ac:dyDescent="0.3">
      <c r="A70" s="1">
        <v>70</v>
      </c>
      <c r="C70" s="1" t="s">
        <v>15</v>
      </c>
      <c r="D70" s="6">
        <v>13</v>
      </c>
      <c r="E70" s="1">
        <v>224</v>
      </c>
      <c r="F70" s="1">
        <v>45</v>
      </c>
      <c r="G70" s="1">
        <v>1.8536405156081892</v>
      </c>
      <c r="H70" s="1">
        <v>1.6532138652111037</v>
      </c>
      <c r="I70" s="1">
        <v>805.08814192725686</v>
      </c>
      <c r="K70" s="1">
        <f t="shared" si="3"/>
        <v>2.2119532411804017</v>
      </c>
      <c r="L70" s="1">
        <f t="shared" si="4"/>
        <v>0.84547872225181431</v>
      </c>
      <c r="M70" s="1">
        <f t="shared" si="5"/>
        <v>411.23282075157903</v>
      </c>
      <c r="N70"/>
      <c r="P70" s="1"/>
    </row>
    <row r="71" spans="1:19" x14ac:dyDescent="0.3">
      <c r="A71" s="1">
        <v>71</v>
      </c>
      <c r="C71" s="1" t="s">
        <v>15</v>
      </c>
      <c r="D71" s="6">
        <v>13</v>
      </c>
      <c r="E71" s="1">
        <v>225</v>
      </c>
      <c r="F71" s="1">
        <v>0</v>
      </c>
      <c r="G71" s="1">
        <v>0.41411692809664119</v>
      </c>
      <c r="H71" s="1">
        <v>1.6787354518780324</v>
      </c>
      <c r="I71" s="1">
        <v>408.34561902377789</v>
      </c>
      <c r="K71" s="1">
        <f t="shared" si="3"/>
        <v>0.49416662703366193</v>
      </c>
      <c r="L71" s="1">
        <f t="shared" si="4"/>
        <v>0.8585308499523272</v>
      </c>
      <c r="M71" s="1">
        <f t="shared" si="5"/>
        <v>208.57979643161923</v>
      </c>
      <c r="N71" s="1">
        <f>SLOPE(K71:K74,F71:F74)</f>
        <v>2.8545607529341854E-3</v>
      </c>
      <c r="O71" s="1">
        <f>SLOPE(L71:L74,F71:F74)</f>
        <v>-6.2283837448060984E-4</v>
      </c>
      <c r="P71" s="1">
        <f>SLOPE(M71:M74,F71:F74)</f>
        <v>9.0677408949832259</v>
      </c>
      <c r="Q71" s="1">
        <f>(N71*41.35/0.31*60)/1000</f>
        <v>2.2845694283966822E-2</v>
      </c>
      <c r="R71" s="1">
        <f>O71*41.35/0.31*60/1000</f>
        <v>-4.9847161518915915E-3</v>
      </c>
      <c r="S71" s="1">
        <f>(O71*41.35/0.31*60)/1000</f>
        <v>-4.9847161518915915E-3</v>
      </c>
    </row>
    <row r="72" spans="1:19" x14ac:dyDescent="0.3">
      <c r="A72" s="1">
        <v>72</v>
      </c>
      <c r="C72" s="1" t="s">
        <v>15</v>
      </c>
      <c r="D72" s="6">
        <v>13</v>
      </c>
      <c r="E72" s="1">
        <v>226</v>
      </c>
      <c r="F72" s="1">
        <v>15</v>
      </c>
      <c r="G72" s="1">
        <v>0.50493661064849737</v>
      </c>
      <c r="H72" s="1">
        <v>1.6142598645089499</v>
      </c>
      <c r="I72" s="1">
        <v>1138.2313852730827</v>
      </c>
      <c r="K72" s="1">
        <f t="shared" si="3"/>
        <v>0.60254195088529927</v>
      </c>
      <c r="L72" s="1">
        <f t="shared" si="4"/>
        <v>0.82555705365629484</v>
      </c>
      <c r="M72" s="1">
        <f t="shared" si="5"/>
        <v>581.39982302225974</v>
      </c>
      <c r="N72"/>
      <c r="P72" s="1"/>
    </row>
    <row r="73" spans="1:19" x14ac:dyDescent="0.3">
      <c r="A73" s="1">
        <v>73</v>
      </c>
      <c r="C73" s="1" t="s">
        <v>15</v>
      </c>
      <c r="D73" s="6">
        <v>13</v>
      </c>
      <c r="E73" s="1">
        <v>227</v>
      </c>
      <c r="F73" s="1">
        <v>30</v>
      </c>
      <c r="G73" s="1">
        <v>0.52119367433828334</v>
      </c>
      <c r="H73" s="1">
        <v>1.6169463473159951</v>
      </c>
      <c r="I73" s="1">
        <v>1250.2334630805415</v>
      </c>
      <c r="K73" s="1">
        <f t="shared" si="3"/>
        <v>0.62194154018964709</v>
      </c>
      <c r="L73" s="1">
        <f t="shared" si="4"/>
        <v>0.82693096183529624</v>
      </c>
      <c r="M73" s="1">
        <f t="shared" si="5"/>
        <v>638.60962153766343</v>
      </c>
      <c r="N73"/>
      <c r="P73" s="1"/>
    </row>
    <row r="74" spans="1:19" x14ac:dyDescent="0.3">
      <c r="A74" s="1">
        <v>74</v>
      </c>
      <c r="C74" s="1" t="s">
        <v>15</v>
      </c>
      <c r="D74" s="6">
        <v>13</v>
      </c>
      <c r="E74" s="1">
        <v>228</v>
      </c>
      <c r="F74" s="1">
        <v>45</v>
      </c>
      <c r="G74" s="1">
        <v>0.52830553164362959</v>
      </c>
      <c r="H74" s="1">
        <v>1.6169463473159951</v>
      </c>
      <c r="I74" s="1">
        <v>1258.6268684540619</v>
      </c>
      <c r="K74" s="1">
        <f t="shared" si="3"/>
        <v>0.63042813491225524</v>
      </c>
      <c r="L74" s="1">
        <f t="shared" si="4"/>
        <v>0.82693096183529624</v>
      </c>
      <c r="M74" s="1">
        <f t="shared" si="5"/>
        <v>642.89690834231271</v>
      </c>
      <c r="N74"/>
      <c r="P74" s="1"/>
    </row>
    <row r="75" spans="1:19" x14ac:dyDescent="0.3">
      <c r="A75" s="1">
        <v>75</v>
      </c>
      <c r="C75" s="1" t="s">
        <v>15</v>
      </c>
      <c r="D75" s="6">
        <v>13</v>
      </c>
      <c r="E75" s="1">
        <v>229</v>
      </c>
      <c r="F75" s="1">
        <v>0</v>
      </c>
      <c r="G75" s="1">
        <v>0.54900872226712716</v>
      </c>
      <c r="H75" s="1">
        <v>1.670676003456897</v>
      </c>
      <c r="I75" s="1">
        <v>509.37819601782439</v>
      </c>
      <c r="K75" s="1">
        <f t="shared" si="3"/>
        <v>0.655133297114321</v>
      </c>
      <c r="L75" s="1">
        <f t="shared" si="4"/>
        <v>0.8544091254153231</v>
      </c>
      <c r="M75" s="1">
        <f t="shared" si="5"/>
        <v>260.18645843710294</v>
      </c>
      <c r="N75" s="1">
        <f>SLOPE(K75:K78,F75:F78)</f>
        <v>-1.0926926064184371E-3</v>
      </c>
      <c r="O75" s="1">
        <f>SLOPE(L75:L78,F75:F78)</f>
        <v>-1.2136188914511838E-3</v>
      </c>
      <c r="P75" s="1">
        <f>SLOPE(M75:M78,F75:F78)</f>
        <v>9.2586565737369142</v>
      </c>
      <c r="Q75" s="1">
        <f>(N75*41.35/0.31*60)/1000</f>
        <v>-8.7450656662069123E-3</v>
      </c>
      <c r="R75" s="1">
        <f>O75*41.35/0.31*60/1000</f>
        <v>-9.7128660312593117E-3</v>
      </c>
      <c r="S75" s="1">
        <f>(O75*41.35/0.31*60)/1000</f>
        <v>-9.7128660312593117E-3</v>
      </c>
    </row>
    <row r="76" spans="1:19" x14ac:dyDescent="0.3">
      <c r="A76" s="1">
        <v>76</v>
      </c>
      <c r="C76" s="1" t="s">
        <v>15</v>
      </c>
      <c r="D76" s="6">
        <v>13</v>
      </c>
      <c r="E76" s="1">
        <v>230</v>
      </c>
      <c r="F76" s="1">
        <v>15</v>
      </c>
      <c r="G76" s="1">
        <v>0.44345942007054573</v>
      </c>
      <c r="H76" s="1">
        <v>1.6223193129300855</v>
      </c>
      <c r="I76" s="1">
        <v>806.037177472743</v>
      </c>
      <c r="K76" s="1">
        <f t="shared" si="3"/>
        <v>0.5291810862448606</v>
      </c>
      <c r="L76" s="1">
        <f t="shared" si="4"/>
        <v>0.82967877819329905</v>
      </c>
      <c r="M76" s="1">
        <f t="shared" si="5"/>
        <v>411.71758079714317</v>
      </c>
      <c r="N76"/>
      <c r="P76" s="1"/>
    </row>
    <row r="77" spans="1:19" x14ac:dyDescent="0.3">
      <c r="A77" s="1">
        <v>77</v>
      </c>
      <c r="C77" s="1" t="s">
        <v>15</v>
      </c>
      <c r="D77" s="6">
        <v>13</v>
      </c>
      <c r="E77" s="1">
        <v>231</v>
      </c>
      <c r="F77" s="1">
        <v>30</v>
      </c>
      <c r="G77" s="1">
        <v>0.49129663261553519</v>
      </c>
      <c r="H77" s="1">
        <v>1.5484410357363452</v>
      </c>
      <c r="I77" s="1">
        <v>1306.7834733824441</v>
      </c>
      <c r="K77" s="1">
        <f t="shared" si="3"/>
        <v>0.58626533556232174</v>
      </c>
      <c r="L77" s="1">
        <f t="shared" si="4"/>
        <v>0.79189630327076221</v>
      </c>
      <c r="M77" s="1">
        <f t="shared" si="5"/>
        <v>667.49493115644998</v>
      </c>
      <c r="N77"/>
      <c r="P77" s="1"/>
    </row>
    <row r="78" spans="1:19" x14ac:dyDescent="0.3">
      <c r="A78" s="1">
        <v>78</v>
      </c>
      <c r="C78" s="1" t="s">
        <v>15</v>
      </c>
      <c r="D78" s="6">
        <v>13</v>
      </c>
      <c r="E78" s="1">
        <v>232</v>
      </c>
      <c r="F78" s="1">
        <v>45</v>
      </c>
      <c r="G78" s="1">
        <v>0.487278579172159</v>
      </c>
      <c r="H78" s="1">
        <v>1.5766491052103186</v>
      </c>
      <c r="I78" s="1">
        <v>1248.7662303020597</v>
      </c>
      <c r="K78" s="1">
        <f t="shared" si="3"/>
        <v>0.58147058368757876</v>
      </c>
      <c r="L78" s="1">
        <f t="shared" si="4"/>
        <v>0.80632233915027618</v>
      </c>
      <c r="M78" s="1">
        <f t="shared" si="5"/>
        <v>637.86017033751307</v>
      </c>
      <c r="N78"/>
      <c r="P78" s="1"/>
    </row>
    <row r="79" spans="1:19" x14ac:dyDescent="0.3">
      <c r="A79" s="1">
        <v>79</v>
      </c>
      <c r="C79" s="1" t="s">
        <v>15</v>
      </c>
      <c r="D79" s="6">
        <v>13</v>
      </c>
      <c r="E79" s="1">
        <v>233</v>
      </c>
      <c r="F79" s="1">
        <v>0</v>
      </c>
      <c r="G79" s="1">
        <v>0.41645187440756198</v>
      </c>
      <c r="H79" s="1">
        <v>1.7069435213520059</v>
      </c>
      <c r="I79" s="1">
        <v>422.25851982920523</v>
      </c>
      <c r="K79" s="1">
        <f t="shared" si="3"/>
        <v>0.49695292352261677</v>
      </c>
      <c r="L79" s="1">
        <f t="shared" si="4"/>
        <v>0.87295688583184128</v>
      </c>
      <c r="M79" s="1">
        <f t="shared" si="5"/>
        <v>215.68639898243632</v>
      </c>
      <c r="N79" s="1">
        <f>SLOPE(K79:K82,F79:F82)</f>
        <v>6.3066273084997791E-3</v>
      </c>
      <c r="O79" s="1">
        <f>SLOPE(L79:L82,F79:F82)</f>
        <v>-1.1449234825011176E-3</v>
      </c>
      <c r="P79" s="1">
        <f>SLOPE(M79:M82,F79:F82)</f>
        <v>5.0284220374907127</v>
      </c>
      <c r="Q79" s="1">
        <f>(N79*41.35/0.31*60)/1000</f>
        <v>5.0473362427057918E-2</v>
      </c>
      <c r="R79" s="1">
        <f>O79*41.35/0.31*60/1000</f>
        <v>-9.1630811615653982E-3</v>
      </c>
      <c r="S79" s="1">
        <f>(O79*41.35/0.31*60)/1000</f>
        <v>-9.1630811615653982E-3</v>
      </c>
    </row>
    <row r="80" spans="1:19" x14ac:dyDescent="0.3">
      <c r="A80" s="1">
        <v>80</v>
      </c>
      <c r="C80" s="1" t="s">
        <v>15</v>
      </c>
      <c r="D80" s="6">
        <v>13</v>
      </c>
      <c r="E80" s="1">
        <v>234</v>
      </c>
      <c r="F80" s="1">
        <v>15</v>
      </c>
      <c r="G80" s="1">
        <v>0.43625027333557775</v>
      </c>
      <c r="H80" s="1">
        <v>1.6545571066146263</v>
      </c>
      <c r="I80" s="1">
        <v>690.9348507023625</v>
      </c>
      <c r="K80" s="1">
        <f t="shared" si="3"/>
        <v>0.52057839583521259</v>
      </c>
      <c r="L80" s="1">
        <f t="shared" si="4"/>
        <v>0.84616567634131501</v>
      </c>
      <c r="M80" s="1">
        <f t="shared" si="5"/>
        <v>352.92419899481825</v>
      </c>
      <c r="N80"/>
      <c r="P80" s="1"/>
    </row>
    <row r="81" spans="1:19" x14ac:dyDescent="0.3">
      <c r="A81" s="1">
        <v>81</v>
      </c>
      <c r="C81" s="1" t="s">
        <v>15</v>
      </c>
      <c r="D81" s="6">
        <v>13</v>
      </c>
      <c r="E81" s="1">
        <v>235</v>
      </c>
      <c r="F81" s="1">
        <v>30</v>
      </c>
      <c r="G81" s="1">
        <v>1.1190858640784358</v>
      </c>
      <c r="H81" s="1">
        <v>1.6048571746842921</v>
      </c>
      <c r="I81" s="1">
        <v>847.60314747802647</v>
      </c>
      <c r="K81" s="1">
        <f t="shared" si="3"/>
        <v>1.335407584892633</v>
      </c>
      <c r="L81" s="1">
        <f t="shared" si="4"/>
        <v>0.82074837502979026</v>
      </c>
      <c r="M81" s="1">
        <f t="shared" si="5"/>
        <v>432.94915806473216</v>
      </c>
      <c r="N81"/>
      <c r="P81" s="1"/>
    </row>
    <row r="82" spans="1:19" x14ac:dyDescent="0.3">
      <c r="A82" s="1">
        <v>82</v>
      </c>
      <c r="C82" s="1" t="s">
        <v>15</v>
      </c>
      <c r="D82" s="6">
        <v>13</v>
      </c>
      <c r="E82" s="1">
        <v>236</v>
      </c>
      <c r="F82" s="1">
        <v>45</v>
      </c>
      <c r="G82" s="1">
        <v>0.45309107360309392</v>
      </c>
      <c r="H82" s="1">
        <v>1.6115733817019049</v>
      </c>
      <c r="I82" s="1">
        <v>862.25363553271768</v>
      </c>
      <c r="K82" s="1">
        <f t="shared" si="3"/>
        <v>0.54067455926179897</v>
      </c>
      <c r="L82" s="1">
        <f t="shared" si="4"/>
        <v>0.82418314547729365</v>
      </c>
      <c r="M82" s="1">
        <f t="shared" si="5"/>
        <v>440.43251450033398</v>
      </c>
      <c r="N82"/>
      <c r="P82" s="1"/>
    </row>
    <row r="83" spans="1:19" x14ac:dyDescent="0.3">
      <c r="A83" s="1">
        <v>83</v>
      </c>
      <c r="C83" s="1" t="s">
        <v>15</v>
      </c>
      <c r="D83" s="6">
        <v>13</v>
      </c>
      <c r="E83" s="1">
        <v>237</v>
      </c>
      <c r="F83" s="1">
        <v>0</v>
      </c>
      <c r="G83" s="1">
        <v>0.41078962960357907</v>
      </c>
      <c r="H83" s="1">
        <v>1.7123164869660961</v>
      </c>
      <c r="I83" s="1">
        <v>417.72975397302548</v>
      </c>
      <c r="K83" s="1">
        <f t="shared" si="3"/>
        <v>0.49019615453690141</v>
      </c>
      <c r="L83" s="1">
        <f t="shared" si="4"/>
        <v>0.87570470218984386</v>
      </c>
      <c r="M83" s="1">
        <f t="shared" si="5"/>
        <v>213.37314027128204</v>
      </c>
      <c r="N83" s="1">
        <f>SLOPE(K83:K86,F83:F86)</f>
        <v>3.8023349830770929E-2</v>
      </c>
      <c r="O83" s="1">
        <f>SLOPE(L83:L86,F83:F86)</f>
        <v>-1.2136188914511849E-3</v>
      </c>
      <c r="P83" s="1">
        <f>SLOPE(M83:M86,F83:F86)</f>
        <v>11.948588038287488</v>
      </c>
      <c r="Q83" s="1">
        <f>(N83*41.35/0.31*60)/1000</f>
        <v>0.30430945461336345</v>
      </c>
      <c r="R83" s="1">
        <f>O83*41.35/0.31*60/1000</f>
        <v>-9.7128660312593221E-3</v>
      </c>
      <c r="S83" s="1">
        <f>(O83*41.35/0.31*60)/1000</f>
        <v>-9.7128660312593221E-3</v>
      </c>
    </row>
    <row r="84" spans="1:19" x14ac:dyDescent="0.3">
      <c r="A84" s="1">
        <v>84</v>
      </c>
      <c r="C84" s="1" t="s">
        <v>15</v>
      </c>
      <c r="D84" s="6">
        <v>13</v>
      </c>
      <c r="E84" s="1">
        <v>238</v>
      </c>
      <c r="F84" s="1">
        <v>15</v>
      </c>
      <c r="G84" s="1">
        <v>0.61266519606860492</v>
      </c>
      <c r="H84" s="1">
        <v>1.6397814511758784</v>
      </c>
      <c r="I84" s="1">
        <v>947.30548636438311</v>
      </c>
      <c r="K84" s="1">
        <f t="shared" si="3"/>
        <v>0.73109470514445096</v>
      </c>
      <c r="L84" s="1">
        <f t="shared" si="4"/>
        <v>0.83860918135680773</v>
      </c>
      <c r="M84" s="1">
        <f t="shared" si="5"/>
        <v>483.87634469254232</v>
      </c>
      <c r="N84"/>
      <c r="P84" s="1"/>
    </row>
    <row r="85" spans="1:19" x14ac:dyDescent="0.3">
      <c r="A85" s="1">
        <v>85</v>
      </c>
      <c r="C85" s="1" t="s">
        <v>15</v>
      </c>
      <c r="D85" s="6">
        <v>13</v>
      </c>
      <c r="E85" s="1">
        <v>239</v>
      </c>
      <c r="F85" s="1">
        <v>30</v>
      </c>
      <c r="G85" s="1">
        <v>1.2593480347640396</v>
      </c>
      <c r="H85" s="1">
        <v>1.6062004160878145</v>
      </c>
      <c r="I85" s="1">
        <v>1317.9485390519869</v>
      </c>
      <c r="K85" s="1">
        <f t="shared" si="3"/>
        <v>1.5027827368978879</v>
      </c>
      <c r="L85" s="1">
        <f t="shared" si="4"/>
        <v>0.82143532911929085</v>
      </c>
      <c r="M85" s="1">
        <f t="shared" si="5"/>
        <v>673.19796068831147</v>
      </c>
      <c r="N85"/>
      <c r="P85" s="1"/>
    </row>
    <row r="86" spans="1:19" x14ac:dyDescent="0.3">
      <c r="A86" s="1">
        <v>86</v>
      </c>
      <c r="C86" s="1" t="s">
        <v>15</v>
      </c>
      <c r="D86" s="6">
        <v>13</v>
      </c>
      <c r="E86" s="1">
        <v>240</v>
      </c>
      <c r="F86" s="1">
        <v>45</v>
      </c>
      <c r="G86" s="1">
        <v>1.7884274109327642</v>
      </c>
      <c r="H86" s="1">
        <v>1.6048571746842921</v>
      </c>
      <c r="I86" s="1">
        <v>1463.7952495500938</v>
      </c>
      <c r="K86" s="1">
        <f t="shared" si="3"/>
        <v>2.1341343021576353</v>
      </c>
      <c r="L86" s="1">
        <f t="shared" si="4"/>
        <v>0.82074837502979026</v>
      </c>
      <c r="M86" s="1">
        <f t="shared" si="5"/>
        <v>747.69533685373335</v>
      </c>
      <c r="N86"/>
      <c r="P86" s="1"/>
    </row>
    <row r="87" spans="1:19" x14ac:dyDescent="0.3">
      <c r="A87" s="1">
        <v>87</v>
      </c>
      <c r="C87" s="1" t="s">
        <v>15</v>
      </c>
      <c r="D87" s="6">
        <v>13</v>
      </c>
      <c r="E87" s="1">
        <v>241</v>
      </c>
      <c r="F87" s="1">
        <v>0</v>
      </c>
      <c r="G87" s="1">
        <v>0.41568328791355058</v>
      </c>
      <c r="H87" s="1">
        <v>1.715002969773141</v>
      </c>
      <c r="I87" s="1">
        <v>427.46828817932175</v>
      </c>
      <c r="K87" s="1">
        <f t="shared" si="3"/>
        <v>0.49603576759500256</v>
      </c>
      <c r="L87" s="1">
        <f t="shared" si="4"/>
        <v>0.87707861036884516</v>
      </c>
      <c r="M87" s="1">
        <f t="shared" si="5"/>
        <v>218.3475085212653</v>
      </c>
      <c r="N87" s="1">
        <f>SLOPE(K87:K90,F87:F90)</f>
        <v>1.0647367649792567E-2</v>
      </c>
      <c r="O87" s="1">
        <f>SLOPE(L87:L90,F87:F90)</f>
        <v>-3.2973796296032219E-4</v>
      </c>
      <c r="P87" s="1">
        <f>SLOPE(M87:M90,F87:F90)</f>
        <v>5.1945689794672161</v>
      </c>
      <c r="Q87" s="1">
        <f>(N87*41.35/0.31*60)/1000</f>
        <v>8.521328754559794E-2</v>
      </c>
      <c r="R87" s="1">
        <f>O87*41.35/0.31*60/1000</f>
        <v>-2.6389673745308372E-3</v>
      </c>
      <c r="S87" s="1">
        <f>(O87*41.35/0.31*60)/1000</f>
        <v>-2.6389673745308372E-3</v>
      </c>
    </row>
    <row r="88" spans="1:19" x14ac:dyDescent="0.3">
      <c r="A88" s="1">
        <v>88</v>
      </c>
      <c r="C88" s="1" t="s">
        <v>15</v>
      </c>
      <c r="D88" s="6">
        <v>13</v>
      </c>
      <c r="E88" s="1">
        <v>242</v>
      </c>
      <c r="F88" s="1">
        <v>15</v>
      </c>
      <c r="G88" s="1">
        <v>0.7128830375219174</v>
      </c>
      <c r="H88" s="1">
        <v>1.6988840729308705</v>
      </c>
      <c r="I88" s="1">
        <v>890.03079410829105</v>
      </c>
      <c r="K88" s="1">
        <f t="shared" si="3"/>
        <v>0.85068487236413137</v>
      </c>
      <c r="L88" s="1">
        <f t="shared" si="4"/>
        <v>0.86883516129483718</v>
      </c>
      <c r="M88" s="1">
        <f t="shared" si="5"/>
        <v>454.62087311427689</v>
      </c>
      <c r="N88"/>
      <c r="P88" s="1"/>
    </row>
    <row r="89" spans="1:19" x14ac:dyDescent="0.3">
      <c r="A89" s="1">
        <v>89</v>
      </c>
      <c r="C89" s="1" t="s">
        <v>15</v>
      </c>
      <c r="D89" s="6">
        <v>13</v>
      </c>
      <c r="E89" s="1">
        <v>243</v>
      </c>
      <c r="F89" s="1">
        <v>30</v>
      </c>
      <c r="G89" s="1">
        <v>0.7815888327207613</v>
      </c>
      <c r="H89" s="1">
        <v>1.6626165550357619</v>
      </c>
      <c r="I89" s="1">
        <v>870.38992771975165</v>
      </c>
      <c r="K89" s="1">
        <f t="shared" si="3"/>
        <v>0.93267164655162604</v>
      </c>
      <c r="L89" s="1">
        <f t="shared" si="4"/>
        <v>0.85028740087831911</v>
      </c>
      <c r="M89" s="1">
        <f t="shared" si="5"/>
        <v>444.58846987004466</v>
      </c>
      <c r="N89"/>
      <c r="P89" s="1"/>
    </row>
    <row r="90" spans="1:19" x14ac:dyDescent="0.3">
      <c r="A90" s="1">
        <v>90</v>
      </c>
      <c r="C90" s="1" t="s">
        <v>15</v>
      </c>
      <c r="D90" s="6">
        <v>13</v>
      </c>
      <c r="E90" s="1">
        <v>244</v>
      </c>
      <c r="F90" s="1">
        <v>45</v>
      </c>
      <c r="G90" s="1">
        <v>0.83891176465386641</v>
      </c>
      <c r="H90" s="1">
        <v>1.6948543487203027</v>
      </c>
      <c r="I90" s="1">
        <v>942.49677487658516</v>
      </c>
      <c r="K90" s="1">
        <f t="shared" si="3"/>
        <v>1.001075225355466</v>
      </c>
      <c r="L90" s="1">
        <f t="shared" si="4"/>
        <v>0.86677429902633507</v>
      </c>
      <c r="M90" s="1">
        <f t="shared" si="5"/>
        <v>481.42009190937017</v>
      </c>
      <c r="N90"/>
      <c r="P90" s="1"/>
    </row>
    <row r="91" spans="1:19" x14ac:dyDescent="0.3">
      <c r="A91" s="1">
        <v>91</v>
      </c>
      <c r="C91" s="1" t="s">
        <v>15</v>
      </c>
      <c r="D91" s="6">
        <v>13</v>
      </c>
      <c r="E91" s="1">
        <v>245</v>
      </c>
      <c r="F91" s="1">
        <v>0</v>
      </c>
      <c r="G91" s="1">
        <v>0.43633783382223734</v>
      </c>
      <c r="H91" s="1">
        <v>1.7203759353872312</v>
      </c>
      <c r="I91" s="1">
        <v>467.54220753098002</v>
      </c>
      <c r="K91" s="1">
        <f t="shared" si="3"/>
        <v>0.52068288195354839</v>
      </c>
      <c r="L91" s="1">
        <f t="shared" si="4"/>
        <v>0.87982642672684785</v>
      </c>
      <c r="M91" s="1">
        <f t="shared" si="5"/>
        <v>238.81695780926975</v>
      </c>
      <c r="N91" s="1">
        <f>SLOPE(K91:K94,F91:F94)</f>
        <v>1.6145814182246085E-3</v>
      </c>
      <c r="O91" s="1">
        <f>SLOPE(L91:L94,F91:F94)</f>
        <v>-5.7246174125055835E-4</v>
      </c>
      <c r="P91" s="1">
        <f>SLOPE(M91:M94,F91:F94)</f>
        <v>4.1967069899986074</v>
      </c>
      <c r="Q91" s="1">
        <f>(N91*41.35/0.31*60)/1000</f>
        <v>1.2921859672952432E-2</v>
      </c>
      <c r="R91" s="1">
        <f>O91*41.35/0.31*60/1000</f>
        <v>-4.5815405807826939E-3</v>
      </c>
      <c r="S91" s="1">
        <f>(O91*41.35/0.31*60)/1000</f>
        <v>-4.5815405807826939E-3</v>
      </c>
    </row>
    <row r="92" spans="1:19" x14ac:dyDescent="0.3">
      <c r="A92" s="1">
        <v>92</v>
      </c>
      <c r="C92" s="1" t="s">
        <v>15</v>
      </c>
      <c r="D92" s="6">
        <v>13</v>
      </c>
      <c r="E92" s="1">
        <v>246</v>
      </c>
      <c r="F92" s="1">
        <v>15</v>
      </c>
      <c r="G92" s="1">
        <v>0.44868386244123093</v>
      </c>
      <c r="H92" s="1">
        <v>1.6720192448604196</v>
      </c>
      <c r="I92" s="1">
        <v>660.81091385322281</v>
      </c>
      <c r="K92" s="1">
        <f t="shared" si="3"/>
        <v>0.53541542463889691</v>
      </c>
      <c r="L92" s="1">
        <f t="shared" si="4"/>
        <v>0.8550960795048238</v>
      </c>
      <c r="M92" s="1">
        <f t="shared" si="5"/>
        <v>337.53712411757647</v>
      </c>
      <c r="N92"/>
      <c r="P92" s="1"/>
    </row>
    <row r="93" spans="1:19" x14ac:dyDescent="0.3">
      <c r="A93" s="1">
        <v>93</v>
      </c>
      <c r="C93" s="1" t="s">
        <v>15</v>
      </c>
      <c r="D93" s="6">
        <v>13</v>
      </c>
      <c r="E93" s="1">
        <v>247</v>
      </c>
      <c r="F93" s="1">
        <v>30</v>
      </c>
      <c r="G93" s="1">
        <v>0.4833480862154424</v>
      </c>
      <c r="H93" s="1">
        <v>1.6411246925794007</v>
      </c>
      <c r="I93" s="1">
        <v>791.67755491473326</v>
      </c>
      <c r="K93" s="1">
        <f t="shared" si="3"/>
        <v>0.57678031793117157</v>
      </c>
      <c r="L93" s="1">
        <f t="shared" si="4"/>
        <v>0.83929613544630832</v>
      </c>
      <c r="M93" s="1">
        <f t="shared" si="5"/>
        <v>404.38279621651037</v>
      </c>
      <c r="N93"/>
      <c r="P93" s="1"/>
    </row>
    <row r="94" spans="1:19" x14ac:dyDescent="0.3">
      <c r="A94" s="1">
        <v>94</v>
      </c>
      <c r="C94" s="1" t="s">
        <v>15</v>
      </c>
      <c r="D94" s="6">
        <v>13</v>
      </c>
      <c r="E94" s="1">
        <v>248</v>
      </c>
      <c r="F94" s="1">
        <v>45</v>
      </c>
      <c r="G94" s="1">
        <v>0.49243491894210906</v>
      </c>
      <c r="H94" s="1">
        <v>1.6747057276674646</v>
      </c>
      <c r="I94" s="1">
        <v>834.72366299357304</v>
      </c>
      <c r="K94" s="1">
        <f t="shared" si="3"/>
        <v>0.58762365510068726</v>
      </c>
      <c r="L94" s="1">
        <f t="shared" si="4"/>
        <v>0.8564699876838251</v>
      </c>
      <c r="M94" s="1">
        <f t="shared" si="5"/>
        <v>426.37041660955549</v>
      </c>
      <c r="N94"/>
      <c r="P94" s="1"/>
    </row>
    <row r="95" spans="1:19" x14ac:dyDescent="0.3">
      <c r="A95" s="1">
        <v>95</v>
      </c>
      <c r="C95" s="1" t="s">
        <v>15</v>
      </c>
      <c r="D95" s="6">
        <v>13</v>
      </c>
      <c r="E95" s="1">
        <v>249</v>
      </c>
      <c r="F95" s="1">
        <v>0</v>
      </c>
      <c r="G95" s="1">
        <v>0.41811552365409305</v>
      </c>
      <c r="H95" s="1">
        <v>1.6881381417026899</v>
      </c>
      <c r="I95" s="1">
        <v>413.01535041077256</v>
      </c>
      <c r="K95" s="1">
        <f t="shared" si="3"/>
        <v>0.49893815977099704</v>
      </c>
      <c r="L95" s="1">
        <f t="shared" si="4"/>
        <v>0.86333952857883167</v>
      </c>
      <c r="M95" s="1">
        <f t="shared" si="5"/>
        <v>210.96505924995986</v>
      </c>
      <c r="N95" s="1">
        <f>SLOPE(K95:K98,F95:F98)</f>
        <v>8.2629944293695096E-3</v>
      </c>
      <c r="O95" s="1">
        <f>SLOPE(L95:L98,F95:F98)</f>
        <v>-3.2515826903031455E-4</v>
      </c>
      <c r="P95" s="1">
        <f>SLOPE(M95:M98,F95:F98)</f>
        <v>5.9655402803851088</v>
      </c>
      <c r="Q95" s="1">
        <f>(N95*41.35/0.31*60)/1000</f>
        <v>6.6130610255695985E-2</v>
      </c>
      <c r="R95" s="1">
        <f>O95*41.35/0.31*60/1000</f>
        <v>-2.6023150498845496E-3</v>
      </c>
      <c r="S95" s="1">
        <f>(O95*41.35/0.31*60)/1000</f>
        <v>-2.6023150498845496E-3</v>
      </c>
    </row>
    <row r="96" spans="1:19" x14ac:dyDescent="0.3">
      <c r="A96" s="1">
        <v>96</v>
      </c>
      <c r="C96" s="1" t="s">
        <v>15</v>
      </c>
      <c r="D96" s="6">
        <v>13</v>
      </c>
      <c r="E96" s="1">
        <v>250</v>
      </c>
      <c r="F96" s="1">
        <v>15</v>
      </c>
      <c r="G96" s="1">
        <v>0.53027077812198797</v>
      </c>
      <c r="H96" s="1">
        <v>1.6800786932815548</v>
      </c>
      <c r="I96" s="1">
        <v>686.08841604434633</v>
      </c>
      <c r="K96" s="1">
        <f t="shared" si="3"/>
        <v>0.63277326779045884</v>
      </c>
      <c r="L96" s="1">
        <f t="shared" si="4"/>
        <v>0.85921780404182779</v>
      </c>
      <c r="M96" s="1">
        <f t="shared" si="5"/>
        <v>350.44867750690599</v>
      </c>
      <c r="N96"/>
      <c r="P96" s="1"/>
    </row>
    <row r="97" spans="1:19" x14ac:dyDescent="0.3">
      <c r="A97" s="1">
        <v>97</v>
      </c>
      <c r="C97" s="1" t="s">
        <v>15</v>
      </c>
      <c r="D97" s="6">
        <v>13</v>
      </c>
      <c r="E97" s="1">
        <v>251</v>
      </c>
      <c r="F97" s="1">
        <v>30</v>
      </c>
      <c r="G97" s="1">
        <v>0.61996190329023237</v>
      </c>
      <c r="H97" s="1">
        <v>1.6653030378428069</v>
      </c>
      <c r="I97" s="1">
        <v>823.19327820191847</v>
      </c>
      <c r="K97" s="1">
        <f t="shared" si="3"/>
        <v>0.73980188167243466</v>
      </c>
      <c r="L97" s="1">
        <f t="shared" si="4"/>
        <v>0.8516613090573204</v>
      </c>
      <c r="M97" s="1">
        <f t="shared" si="5"/>
        <v>420.48078488442246</v>
      </c>
      <c r="N97"/>
      <c r="P97" s="1"/>
    </row>
    <row r="98" spans="1:19" x14ac:dyDescent="0.3">
      <c r="A98" s="1">
        <v>98</v>
      </c>
      <c r="C98" s="1" t="s">
        <v>15</v>
      </c>
      <c r="D98" s="6">
        <v>13</v>
      </c>
      <c r="E98" s="1">
        <v>252</v>
      </c>
      <c r="F98" s="1">
        <v>45</v>
      </c>
      <c r="G98" s="1">
        <v>0.7344423751260859</v>
      </c>
      <c r="H98" s="1">
        <v>1.6612733136322391</v>
      </c>
      <c r="I98" s="1">
        <v>951.26344109226318</v>
      </c>
      <c r="K98" s="1">
        <f t="shared" si="3"/>
        <v>0.87641167661214725</v>
      </c>
      <c r="L98" s="1">
        <f t="shared" si="4"/>
        <v>0.84960044678881841</v>
      </c>
      <c r="M98" s="1">
        <f t="shared" si="5"/>
        <v>485.89803747670982</v>
      </c>
      <c r="N98"/>
      <c r="P98" s="1"/>
    </row>
    <row r="99" spans="1:19" x14ac:dyDescent="0.3">
      <c r="A99" s="1">
        <v>99</v>
      </c>
      <c r="C99" s="1" t="s">
        <v>15</v>
      </c>
      <c r="D99" s="6">
        <v>13</v>
      </c>
      <c r="E99" s="1">
        <v>253</v>
      </c>
      <c r="F99" s="1">
        <v>0</v>
      </c>
      <c r="G99" s="1">
        <v>0.44251571260321526</v>
      </c>
      <c r="H99" s="1">
        <v>1.6935111073167803</v>
      </c>
      <c r="I99" s="1">
        <v>475.00345351411181</v>
      </c>
      <c r="K99" s="1">
        <f t="shared" si="3"/>
        <v>0.52805495808057468</v>
      </c>
      <c r="L99" s="1">
        <f t="shared" si="4"/>
        <v>0.86608734493683448</v>
      </c>
      <c r="M99" s="1">
        <f t="shared" si="5"/>
        <v>242.62810477837007</v>
      </c>
      <c r="N99" s="1">
        <f>SLOPE(K99:K102,F99:F102)</f>
        <v>2.7725430198968098E-2</v>
      </c>
      <c r="O99" s="1">
        <f>SLOPE(L99:L102,F99:F102)</f>
        <v>-2.4272377829023472E-4</v>
      </c>
      <c r="P99" s="1">
        <f>SLOPE(M99:M102,F99:F102)</f>
        <v>2.3381187207434015</v>
      </c>
      <c r="Q99" s="1">
        <f>(N99*41.35/0.31*60)/1000</f>
        <v>0.22189287846335434</v>
      </c>
      <c r="R99" s="1">
        <f>O99*41.35/0.31*60/1000</f>
        <v>-1.9425732062518463E-3</v>
      </c>
      <c r="S99" s="1">
        <f>(O99*41.35/0.31*60)/1000</f>
        <v>-1.9425732062518463E-3</v>
      </c>
    </row>
    <row r="100" spans="1:19" x14ac:dyDescent="0.3">
      <c r="A100" s="1">
        <v>100</v>
      </c>
      <c r="C100" s="1" t="s">
        <v>15</v>
      </c>
      <c r="D100" s="6">
        <v>13</v>
      </c>
      <c r="E100" s="1">
        <v>254</v>
      </c>
      <c r="F100" s="1">
        <v>15</v>
      </c>
      <c r="G100" s="1">
        <v>0.4208882723983115</v>
      </c>
      <c r="H100" s="1">
        <v>1.6639597964392843</v>
      </c>
      <c r="I100" s="1">
        <v>576.05886295329026</v>
      </c>
      <c r="K100" s="1">
        <f t="shared" si="3"/>
        <v>0.50224688685163088</v>
      </c>
      <c r="L100" s="1">
        <f t="shared" si="4"/>
        <v>0.8509743549678197</v>
      </c>
      <c r="M100" s="1">
        <f t="shared" si="5"/>
        <v>294.24642942093317</v>
      </c>
      <c r="N100"/>
      <c r="P100" s="1"/>
    </row>
    <row r="101" spans="1:19" x14ac:dyDescent="0.3">
      <c r="A101" s="1">
        <v>101</v>
      </c>
      <c r="C101" s="1" t="s">
        <v>15</v>
      </c>
      <c r="D101" s="6">
        <v>13</v>
      </c>
      <c r="E101" s="1">
        <v>255</v>
      </c>
      <c r="F101" s="1">
        <v>30</v>
      </c>
      <c r="G101" s="1">
        <v>0.47110907596903262</v>
      </c>
      <c r="H101" s="1">
        <v>1.6693327620533747</v>
      </c>
      <c r="I101" s="1">
        <v>694.29816914180503</v>
      </c>
      <c r="K101" s="1">
        <f t="shared" si="3"/>
        <v>0.56217548050156685</v>
      </c>
      <c r="L101" s="1">
        <f t="shared" si="4"/>
        <v>0.85372217132582251</v>
      </c>
      <c r="M101" s="1">
        <f t="shared" si="5"/>
        <v>354.64215614374211</v>
      </c>
      <c r="N101"/>
      <c r="P101" s="1"/>
    </row>
    <row r="102" spans="1:19" x14ac:dyDescent="0.3">
      <c r="A102" s="1">
        <v>102</v>
      </c>
      <c r="C102" s="1" t="s">
        <v>15</v>
      </c>
      <c r="D102" s="6">
        <v>13</v>
      </c>
      <c r="E102" s="1">
        <v>256</v>
      </c>
      <c r="F102" s="1">
        <v>45</v>
      </c>
      <c r="G102" s="1">
        <v>1.5874858229921067</v>
      </c>
      <c r="H102" s="1">
        <v>1.6679895206498518</v>
      </c>
      <c r="I102" s="1">
        <v>664.46211964432962</v>
      </c>
      <c r="K102" s="1">
        <f t="shared" si="3"/>
        <v>1.8943502701456676</v>
      </c>
      <c r="L102" s="1">
        <f t="shared" si="4"/>
        <v>0.85303521723632181</v>
      </c>
      <c r="M102" s="1">
        <f t="shared" si="5"/>
        <v>339.40213190793719</v>
      </c>
      <c r="N102"/>
      <c r="P102" s="1"/>
    </row>
    <row r="103" spans="1:19" x14ac:dyDescent="0.3">
      <c r="A103" s="1">
        <v>103</v>
      </c>
      <c r="C103" s="1" t="s">
        <v>15</v>
      </c>
      <c r="D103" s="6">
        <v>13</v>
      </c>
      <c r="E103" s="1">
        <v>257</v>
      </c>
      <c r="F103" s="1">
        <v>0</v>
      </c>
      <c r="G103" s="1">
        <v>0.4091357093000102</v>
      </c>
      <c r="H103" s="1">
        <v>1.6975408315273481</v>
      </c>
      <c r="I103" s="1">
        <v>416.20593643921666</v>
      </c>
      <c r="K103" s="1">
        <f t="shared" si="3"/>
        <v>0.48822252785722509</v>
      </c>
      <c r="L103" s="1">
        <f t="shared" si="4"/>
        <v>0.86814820720533659</v>
      </c>
      <c r="M103" s="1">
        <f t="shared" si="5"/>
        <v>212.59478601402168</v>
      </c>
      <c r="N103" s="1">
        <f>SLOPE(K103:K106,F103:F106)</f>
        <v>3.8056166211640867E-3</v>
      </c>
      <c r="O103" s="1">
        <f>SLOPE(L103:L106,F103:F106)</f>
        <v>-8.8846062242087167E-4</v>
      </c>
      <c r="P103" s="1">
        <f>SLOPE(M103:M106,F103:F106)</f>
        <v>7.0286927546516598</v>
      </c>
      <c r="Q103" s="1">
        <f>(N103*41.35/0.31*60)/1000</f>
        <v>3.0457209151961612E-2</v>
      </c>
      <c r="R103" s="1">
        <f>O103*41.35/0.31*60/1000</f>
        <v>-7.110550981374782E-3</v>
      </c>
      <c r="S103" s="1">
        <f>(O103*41.35/0.31*60)/1000</f>
        <v>-7.110550981374782E-3</v>
      </c>
    </row>
    <row r="104" spans="1:19" x14ac:dyDescent="0.3">
      <c r="A104" s="1">
        <v>104</v>
      </c>
      <c r="C104" s="1" t="s">
        <v>15</v>
      </c>
      <c r="D104" s="6">
        <v>13</v>
      </c>
      <c r="E104" s="1">
        <v>258</v>
      </c>
      <c r="F104" s="1">
        <v>15</v>
      </c>
      <c r="G104" s="1">
        <v>0.46734397504267289</v>
      </c>
      <c r="H104" s="1">
        <v>1.6679895206498518</v>
      </c>
      <c r="I104" s="1">
        <v>715.90659667171849</v>
      </c>
      <c r="K104" s="1">
        <f t="shared" si="3"/>
        <v>0.55768257741312721</v>
      </c>
      <c r="L104" s="1">
        <f t="shared" si="4"/>
        <v>0.85303521723632181</v>
      </c>
      <c r="M104" s="1">
        <f t="shared" si="5"/>
        <v>365.67957446151837</v>
      </c>
      <c r="N104"/>
      <c r="P104" s="1"/>
    </row>
    <row r="105" spans="1:19" x14ac:dyDescent="0.3">
      <c r="A105" s="1">
        <v>105</v>
      </c>
      <c r="C105" s="1" t="s">
        <v>15</v>
      </c>
      <c r="D105" s="6">
        <v>13</v>
      </c>
      <c r="E105" s="1">
        <v>259</v>
      </c>
      <c r="F105" s="1">
        <v>30</v>
      </c>
      <c r="G105" s="1">
        <v>0.51839173876517841</v>
      </c>
      <c r="H105" s="1">
        <v>1.6169463473159951</v>
      </c>
      <c r="I105" s="1">
        <v>961.06352362891539</v>
      </c>
      <c r="K105" s="1">
        <f t="shared" si="3"/>
        <v>0.61859798440290137</v>
      </c>
      <c r="L105" s="1">
        <f t="shared" si="4"/>
        <v>0.82693096183529624</v>
      </c>
      <c r="M105" s="1">
        <f t="shared" si="5"/>
        <v>490.90384413968997</v>
      </c>
      <c r="N105"/>
      <c r="P105" s="1"/>
    </row>
    <row r="106" spans="1:19" x14ac:dyDescent="0.3">
      <c r="A106" s="1">
        <v>106</v>
      </c>
      <c r="C106" s="1" t="s">
        <v>15</v>
      </c>
      <c r="D106" s="6">
        <v>13</v>
      </c>
      <c r="E106" s="1">
        <v>260</v>
      </c>
      <c r="F106" s="1">
        <v>45</v>
      </c>
      <c r="G106" s="1">
        <v>0.55157716320914008</v>
      </c>
      <c r="H106" s="1">
        <v>1.6276922785441752</v>
      </c>
      <c r="I106" s="1">
        <v>1022.5056334790982</v>
      </c>
      <c r="K106" s="1">
        <f t="shared" si="3"/>
        <v>0.65819822325217137</v>
      </c>
      <c r="L106" s="1">
        <f t="shared" si="4"/>
        <v>0.83242659455130152</v>
      </c>
      <c r="M106" s="1">
        <f t="shared" si="5"/>
        <v>522.28800052054748</v>
      </c>
      <c r="N106"/>
      <c r="P106" s="1"/>
    </row>
    <row r="107" spans="1:19" x14ac:dyDescent="0.3">
      <c r="A107" s="1">
        <v>107</v>
      </c>
      <c r="C107" s="1" t="s">
        <v>15</v>
      </c>
      <c r="D107" s="6">
        <v>13</v>
      </c>
      <c r="E107" s="1">
        <v>101</v>
      </c>
      <c r="F107" s="1">
        <v>0</v>
      </c>
      <c r="G107" s="1">
        <v>0.49040156986301559</v>
      </c>
      <c r="H107" s="1">
        <v>1.7727623501246108</v>
      </c>
      <c r="I107" s="1">
        <v>522.96548630136954</v>
      </c>
      <c r="K107" s="1">
        <f t="shared" si="3"/>
        <v>0.58519725524155575</v>
      </c>
      <c r="L107" s="1">
        <f t="shared" si="4"/>
        <v>0.90661763621737423</v>
      </c>
      <c r="M107" s="1">
        <f t="shared" si="5"/>
        <v>267.12674164174325</v>
      </c>
      <c r="N107" s="1">
        <f>SLOPE(K107:K110,F107:F110)</f>
        <v>-1.7282777943989009E-3</v>
      </c>
      <c r="O107" s="1">
        <f>SLOPE(L107:L110,F107:F110)</f>
        <v>-1.6715882844516349E-3</v>
      </c>
      <c r="P107" s="1">
        <f>SLOPE(M107:M110,F107:F110)</f>
        <v>1.9682981891906186</v>
      </c>
      <c r="Q107" s="1">
        <f>(N107*41.35/0.31*60)/1000</f>
        <v>-1.3831797444850559E-2</v>
      </c>
      <c r="R107" s="1">
        <f>O107*41.35/0.31*60/1000</f>
        <v>-1.3378098495885503E-2</v>
      </c>
      <c r="S107" s="1">
        <f>(O107*41.35/0.31*60)/1000</f>
        <v>-1.3378098495885503E-2</v>
      </c>
    </row>
    <row r="108" spans="1:19" x14ac:dyDescent="0.3">
      <c r="A108" s="1">
        <v>108</v>
      </c>
      <c r="C108" s="1" t="s">
        <v>15</v>
      </c>
      <c r="D108" s="6">
        <v>13</v>
      </c>
      <c r="E108" s="1">
        <v>102</v>
      </c>
      <c r="F108" s="1">
        <v>15</v>
      </c>
      <c r="G108" s="1">
        <v>0.45936624181369351</v>
      </c>
      <c r="H108" s="1">
        <v>1.7821650399492686</v>
      </c>
      <c r="I108" s="1">
        <v>743.08018452380281</v>
      </c>
      <c r="K108" s="1">
        <f t="shared" si="3"/>
        <v>0.548162731075865</v>
      </c>
      <c r="L108" s="1">
        <f t="shared" si="4"/>
        <v>0.9114263148438787</v>
      </c>
      <c r="M108" s="1">
        <f t="shared" si="5"/>
        <v>379.55963379962145</v>
      </c>
      <c r="N108"/>
      <c r="P108" s="1"/>
    </row>
    <row r="109" spans="1:19" x14ac:dyDescent="0.3">
      <c r="A109" s="1">
        <v>109</v>
      </c>
      <c r="C109" s="1" t="s">
        <v>15</v>
      </c>
      <c r="D109" s="6">
        <v>13</v>
      </c>
      <c r="E109" s="1">
        <v>103</v>
      </c>
      <c r="F109" s="1">
        <v>30</v>
      </c>
      <c r="G109" s="1">
        <v>0.40606136332396447</v>
      </c>
      <c r="H109" s="1">
        <v>1.5981409676666793</v>
      </c>
      <c r="I109" s="1">
        <v>645.28088030344725</v>
      </c>
      <c r="K109" s="1">
        <f t="shared" si="3"/>
        <v>0.48455390414676791</v>
      </c>
      <c r="L109" s="1">
        <f t="shared" si="4"/>
        <v>0.81731360458228686</v>
      </c>
      <c r="M109" s="1">
        <f t="shared" si="5"/>
        <v>329.60450261882642</v>
      </c>
      <c r="N109"/>
      <c r="P109" s="1"/>
    </row>
    <row r="110" spans="1:19" x14ac:dyDescent="0.3">
      <c r="A110" s="1">
        <v>110</v>
      </c>
      <c r="C110" s="1" t="s">
        <v>15</v>
      </c>
      <c r="D110" s="6">
        <v>13</v>
      </c>
      <c r="E110" s="1">
        <v>104</v>
      </c>
      <c r="F110" s="1">
        <v>45</v>
      </c>
      <c r="G110" s="1">
        <v>0.43575409724450714</v>
      </c>
      <c r="H110" s="1">
        <v>1.670676003456897</v>
      </c>
      <c r="I110" s="1">
        <v>748.23634626360945</v>
      </c>
      <c r="K110" s="1">
        <f t="shared" si="3"/>
        <v>0.51998630783130972</v>
      </c>
      <c r="L110" s="1">
        <f t="shared" si="4"/>
        <v>0.8544091254153231</v>
      </c>
      <c r="M110" s="1">
        <f t="shared" si="5"/>
        <v>382.19336149487253</v>
      </c>
      <c r="N110"/>
      <c r="P110" s="1"/>
    </row>
    <row r="111" spans="1:19" x14ac:dyDescent="0.3">
      <c r="A111" s="1">
        <v>111</v>
      </c>
      <c r="C111" s="1" t="s">
        <v>15</v>
      </c>
      <c r="D111" s="6">
        <v>13</v>
      </c>
      <c r="E111" s="1">
        <v>105</v>
      </c>
      <c r="F111" s="1">
        <v>0</v>
      </c>
      <c r="G111" s="1">
        <v>0.40956378279034567</v>
      </c>
      <c r="H111" s="1">
        <v>1.8627595241606216</v>
      </c>
      <c r="I111" s="1">
        <v>464.80727769017005</v>
      </c>
      <c r="K111" s="1">
        <f t="shared" si="3"/>
        <v>0.48873334888020009</v>
      </c>
      <c r="L111" s="1">
        <f t="shared" si="4"/>
        <v>0.95264356021391916</v>
      </c>
      <c r="M111" s="1">
        <f t="shared" si="5"/>
        <v>237.41997671562007</v>
      </c>
      <c r="N111" s="1">
        <f>SLOPE(K111:K114,F111:F114)</f>
        <v>3.2949503924384247E-3</v>
      </c>
      <c r="O111" s="1">
        <f>SLOPE(L111:L114,F111:F114)</f>
        <v>-1.2044595035911811E-3</v>
      </c>
      <c r="P111" s="1">
        <f>SLOPE(M111:M114,F111:F114)</f>
        <v>5.4362086783303161</v>
      </c>
      <c r="Q111" s="1">
        <f>(N111*41.35/0.31*60)/1000</f>
        <v>2.6370232011741074E-2</v>
      </c>
      <c r="R111" s="1">
        <f>O111*41.35/0.31*60/1000</f>
        <v>-9.6395613819668415E-3</v>
      </c>
      <c r="S111" s="1">
        <f>(O111*41.35/0.31*60)/1000</f>
        <v>-9.6395613819668415E-3</v>
      </c>
    </row>
    <row r="112" spans="1:19" x14ac:dyDescent="0.3">
      <c r="A112" s="1">
        <v>112</v>
      </c>
      <c r="C112" s="1" t="s">
        <v>15</v>
      </c>
      <c r="D112" s="6">
        <v>13</v>
      </c>
      <c r="E112" s="1">
        <v>106</v>
      </c>
      <c r="F112" s="1">
        <v>15</v>
      </c>
      <c r="G112" s="1">
        <v>0.46427935800958936</v>
      </c>
      <c r="H112" s="1">
        <v>1.7257489010013216</v>
      </c>
      <c r="I112" s="1">
        <v>711.98934325907362</v>
      </c>
      <c r="K112" s="1">
        <f t="shared" si="3"/>
        <v>0.55402556327137409</v>
      </c>
      <c r="L112" s="1">
        <f t="shared" si="4"/>
        <v>0.88257424308485066</v>
      </c>
      <c r="M112" s="1">
        <f t="shared" si="5"/>
        <v>363.67867159562297</v>
      </c>
      <c r="N112"/>
      <c r="P112" s="1"/>
    </row>
    <row r="113" spans="1:19" x14ac:dyDescent="0.3">
      <c r="A113" s="1">
        <v>113</v>
      </c>
      <c r="C113" s="1" t="s">
        <v>15</v>
      </c>
      <c r="D113" s="6">
        <v>13</v>
      </c>
      <c r="E113" s="1">
        <v>107</v>
      </c>
      <c r="F113" s="1">
        <v>30</v>
      </c>
      <c r="G113" s="1">
        <v>0.52325621024626334</v>
      </c>
      <c r="H113" s="1">
        <v>1.715002969773141</v>
      </c>
      <c r="I113" s="1">
        <v>809.94053287530733</v>
      </c>
      <c r="K113" s="1">
        <f t="shared" si="3"/>
        <v>0.62440276875489042</v>
      </c>
      <c r="L113" s="1">
        <f t="shared" si="4"/>
        <v>0.87707861036884516</v>
      </c>
      <c r="M113" s="1">
        <f t="shared" si="5"/>
        <v>413.71138466655532</v>
      </c>
      <c r="N113"/>
      <c r="P113" s="1"/>
    </row>
    <row r="114" spans="1:19" x14ac:dyDescent="0.3">
      <c r="A114" s="1">
        <v>114</v>
      </c>
      <c r="C114" s="1" t="s">
        <v>15</v>
      </c>
      <c r="D114" s="6">
        <v>13</v>
      </c>
      <c r="E114" s="1">
        <v>108</v>
      </c>
      <c r="F114" s="1">
        <v>45</v>
      </c>
      <c r="G114" s="1">
        <v>0.5279650186399536</v>
      </c>
      <c r="H114" s="1">
        <v>1.7485840048612047</v>
      </c>
      <c r="I114" s="1">
        <v>964.29183282757742</v>
      </c>
      <c r="K114" s="1">
        <f t="shared" si="3"/>
        <v>0.63002180000761587</v>
      </c>
      <c r="L114" s="1">
        <f t="shared" si="4"/>
        <v>0.89425246260636193</v>
      </c>
      <c r="M114" s="1">
        <f t="shared" si="5"/>
        <v>492.55283960849175</v>
      </c>
      <c r="N114"/>
      <c r="P114" s="1"/>
    </row>
    <row r="115" spans="1:19" x14ac:dyDescent="0.3">
      <c r="A115" s="1">
        <v>115</v>
      </c>
      <c r="C115" s="1" t="s">
        <v>15</v>
      </c>
      <c r="D115" s="6">
        <v>13</v>
      </c>
      <c r="E115" s="1">
        <v>109</v>
      </c>
      <c r="F115" s="1">
        <v>0</v>
      </c>
      <c r="G115" s="1">
        <v>1.066296619565702</v>
      </c>
      <c r="H115" s="1">
        <v>1.931264835740272</v>
      </c>
      <c r="I115" s="1">
        <v>14774.09322861892</v>
      </c>
      <c r="K115" s="1">
        <f t="shared" si="3"/>
        <v>1.2724140651048468</v>
      </c>
      <c r="L115" s="1">
        <f t="shared" si="4"/>
        <v>0.98767821877845341</v>
      </c>
      <c r="M115" s="1">
        <f t="shared" si="5"/>
        <v>7546.4930062287731</v>
      </c>
      <c r="N115" s="1">
        <f>SLOPE(K115:K118,F115:F118)</f>
        <v>-9.7412021138846639E-4</v>
      </c>
      <c r="O115" s="1">
        <f>SLOPE(L115:L118,F115:F118)</f>
        <v>-1.579994405851542E-3</v>
      </c>
      <c r="P115" s="1">
        <f>SLOPE(M115:M118,F115:F118)</f>
        <v>-137.25891445620746</v>
      </c>
      <c r="Q115" s="1">
        <f>(N115*41.35/0.31*60)/1000</f>
        <v>-7.7961040143702748E-3</v>
      </c>
      <c r="R115" s="1">
        <f>O115*41.35/0.31*60/1000</f>
        <v>-1.2645052002960245E-2</v>
      </c>
      <c r="S115" s="1">
        <f>(O115*41.35/0.31*60)/1000</f>
        <v>-1.2645052002960245E-2</v>
      </c>
    </row>
    <row r="116" spans="1:19" x14ac:dyDescent="0.3">
      <c r="A116" s="1">
        <v>116</v>
      </c>
      <c r="C116" s="1" t="s">
        <v>15</v>
      </c>
      <c r="D116" s="6">
        <v>13</v>
      </c>
      <c r="E116" s="1">
        <v>110</v>
      </c>
      <c r="F116" s="1">
        <v>15</v>
      </c>
      <c r="G116" s="1">
        <v>0.94283633337576556</v>
      </c>
      <c r="H116" s="1">
        <v>1.7526137290717725</v>
      </c>
      <c r="I116" s="1">
        <v>1450.0173579854468</v>
      </c>
      <c r="K116" s="1">
        <f t="shared" si="3"/>
        <v>1.1250886382513621</v>
      </c>
      <c r="L116" s="1">
        <f t="shared" si="4"/>
        <v>0.89631332487486404</v>
      </c>
      <c r="M116" s="1">
        <f t="shared" si="5"/>
        <v>740.65769598303825</v>
      </c>
      <c r="N116"/>
      <c r="P116" s="1"/>
    </row>
    <row r="117" spans="1:19" x14ac:dyDescent="0.3">
      <c r="A117" s="1">
        <v>117</v>
      </c>
      <c r="C117" s="1" t="s">
        <v>15</v>
      </c>
      <c r="D117" s="6">
        <v>13</v>
      </c>
      <c r="E117" s="1">
        <v>111</v>
      </c>
      <c r="F117" s="1">
        <v>30</v>
      </c>
      <c r="G117" s="1">
        <v>0.96646793583087642</v>
      </c>
      <c r="H117" s="1">
        <v>1.6720192448604196</v>
      </c>
      <c r="I117" s="1">
        <v>1366.5578220229866</v>
      </c>
      <c r="K117" s="1">
        <f t="shared" si="3"/>
        <v>1.1532882806333256</v>
      </c>
      <c r="L117" s="1">
        <f t="shared" si="4"/>
        <v>0.8550960795048238</v>
      </c>
      <c r="M117" s="1">
        <f t="shared" si="5"/>
        <v>698.02720795932896</v>
      </c>
      <c r="N117"/>
      <c r="P117" s="1"/>
    </row>
    <row r="118" spans="1:19" x14ac:dyDescent="0.3">
      <c r="A118" s="1">
        <v>118</v>
      </c>
      <c r="C118" s="1" t="s">
        <v>15</v>
      </c>
      <c r="D118" s="6">
        <v>13</v>
      </c>
      <c r="E118" s="1">
        <v>112</v>
      </c>
      <c r="F118" s="1">
        <v>45</v>
      </c>
      <c r="G118" s="1">
        <v>1.0176032600400415</v>
      </c>
      <c r="H118" s="1">
        <v>1.8036569024056297</v>
      </c>
      <c r="I118" s="1">
        <v>1366.0296976399334</v>
      </c>
      <c r="K118" s="1">
        <f t="shared" si="3"/>
        <v>1.2143081737414356</v>
      </c>
      <c r="L118" s="1">
        <f t="shared" si="4"/>
        <v>0.92241758027588971</v>
      </c>
      <c r="M118" s="1">
        <f t="shared" si="5"/>
        <v>697.75744609296896</v>
      </c>
      <c r="N118"/>
      <c r="P118" s="1"/>
    </row>
    <row r="119" spans="1:19" x14ac:dyDescent="0.3">
      <c r="A119" s="1">
        <v>119</v>
      </c>
      <c r="C119" s="1" t="s">
        <v>15</v>
      </c>
      <c r="D119" s="6">
        <v>13</v>
      </c>
      <c r="E119" s="1">
        <v>113</v>
      </c>
      <c r="F119" s="1">
        <v>0</v>
      </c>
      <c r="G119" s="1">
        <v>0.44121203424628441</v>
      </c>
      <c r="H119" s="1">
        <v>1.7553002118788175</v>
      </c>
      <c r="I119" s="1">
        <v>701.64326746926531</v>
      </c>
      <c r="K119" s="1">
        <f t="shared" si="3"/>
        <v>0.5264992758742415</v>
      </c>
      <c r="L119" s="1">
        <f t="shared" si="4"/>
        <v>0.89768723305386522</v>
      </c>
      <c r="M119" s="1">
        <f t="shared" si="5"/>
        <v>358.39397578509028</v>
      </c>
      <c r="N119" s="1">
        <f>SLOPE(K119:K122,F119:F122)</f>
        <v>2.1429715885050052E-3</v>
      </c>
      <c r="O119" s="1">
        <f>SLOPE(L119:L122,F119:F122)</f>
        <v>-1.3281112397012936E-3</v>
      </c>
      <c r="P119" s="1">
        <f>SLOPE(M119:M122,F119:F122)</f>
        <v>2.6730257114971145</v>
      </c>
      <c r="Q119" s="1">
        <f>(N119*41.35/0.31*60)/1000</f>
        <v>1.7150685519615867E-2</v>
      </c>
      <c r="R119" s="1">
        <f>O119*41.35/0.31*60/1000</f>
        <v>-1.0629174147415838E-2</v>
      </c>
      <c r="S119" s="1">
        <f>(O119*41.35/0.31*60)/1000</f>
        <v>-1.0629174147415838E-2</v>
      </c>
    </row>
    <row r="120" spans="1:19" x14ac:dyDescent="0.3">
      <c r="A120" s="1">
        <v>120</v>
      </c>
      <c r="C120" s="1" t="s">
        <v>15</v>
      </c>
      <c r="D120" s="6">
        <v>13</v>
      </c>
      <c r="E120" s="1">
        <v>114</v>
      </c>
      <c r="F120" s="1">
        <v>15</v>
      </c>
      <c r="G120" s="1">
        <v>0.44509388248819026</v>
      </c>
      <c r="H120" s="1">
        <v>1.7794785571422236</v>
      </c>
      <c r="I120" s="1">
        <v>820.77899530796208</v>
      </c>
      <c r="K120" s="1">
        <f t="shared" si="3"/>
        <v>0.53113149378712898</v>
      </c>
      <c r="L120" s="1">
        <f t="shared" si="4"/>
        <v>0.91005240666487752</v>
      </c>
      <c r="M120" s="1">
        <f t="shared" si="5"/>
        <v>419.24758778106275</v>
      </c>
      <c r="N120"/>
      <c r="P120" s="1"/>
    </row>
    <row r="121" spans="1:19" x14ac:dyDescent="0.3">
      <c r="A121" s="1">
        <v>121</v>
      </c>
      <c r="C121" s="1" t="s">
        <v>15</v>
      </c>
      <c r="D121" s="6">
        <v>13</v>
      </c>
      <c r="E121" s="1">
        <v>115</v>
      </c>
      <c r="F121" s="1">
        <v>30</v>
      </c>
      <c r="G121" s="1">
        <v>0.44230167585804742</v>
      </c>
      <c r="H121" s="1">
        <v>1.6478408995970135</v>
      </c>
      <c r="I121" s="1">
        <v>839.69617245731808</v>
      </c>
      <c r="K121" s="1">
        <f t="shared" si="3"/>
        <v>0.52779954756908709</v>
      </c>
      <c r="L121" s="1">
        <f t="shared" si="4"/>
        <v>0.84273090589381161</v>
      </c>
      <c r="M121" s="1">
        <f t="shared" si="5"/>
        <v>428.91033613699352</v>
      </c>
      <c r="N121"/>
      <c r="P121" s="1"/>
    </row>
    <row r="122" spans="1:19" x14ac:dyDescent="0.3">
      <c r="A122" s="1">
        <v>122</v>
      </c>
      <c r="C122" s="1" t="s">
        <v>15</v>
      </c>
      <c r="D122" s="6">
        <v>13</v>
      </c>
      <c r="E122" s="1">
        <v>116</v>
      </c>
      <c r="F122" s="1">
        <v>45</v>
      </c>
      <c r="G122" s="1">
        <v>0.53193442736851893</v>
      </c>
      <c r="H122" s="1">
        <v>1.6693327620533747</v>
      </c>
      <c r="I122" s="1">
        <v>956.99239939038102</v>
      </c>
      <c r="K122" s="1">
        <f t="shared" si="3"/>
        <v>0.63475850403883904</v>
      </c>
      <c r="L122" s="1">
        <f t="shared" si="4"/>
        <v>0.85372217132582251</v>
      </c>
      <c r="M122" s="1">
        <f t="shared" si="5"/>
        <v>488.82434524130241</v>
      </c>
      <c r="N122"/>
      <c r="P122" s="1"/>
    </row>
    <row r="123" spans="1:19" x14ac:dyDescent="0.3">
      <c r="A123" s="1">
        <v>123</v>
      </c>
      <c r="C123" s="1" t="s">
        <v>15</v>
      </c>
      <c r="D123" s="6">
        <v>13</v>
      </c>
      <c r="E123" s="1">
        <v>117</v>
      </c>
      <c r="F123" s="1">
        <v>0</v>
      </c>
      <c r="G123" s="1">
        <v>0.41532331702395031</v>
      </c>
      <c r="H123" s="1">
        <v>1.7351515908259794</v>
      </c>
      <c r="I123" s="1">
        <v>530.90323548725587</v>
      </c>
      <c r="K123" s="1">
        <f t="shared" si="3"/>
        <v>0.49560621355295537</v>
      </c>
      <c r="L123" s="1">
        <f t="shared" si="4"/>
        <v>0.88738292171135535</v>
      </c>
      <c r="M123" s="1">
        <f t="shared" si="5"/>
        <v>271.18128277598038</v>
      </c>
      <c r="N123" s="1">
        <f>SLOPE(K123:K126,F123:F126)</f>
        <v>2.3215267551721921E-3</v>
      </c>
      <c r="O123" s="1">
        <f>SLOPE(L123:L126,F123:F126)</f>
        <v>3.0225979938029546E-3</v>
      </c>
      <c r="P123" s="1">
        <f>SLOPE(M123:M126,F123:F126)</f>
        <v>2.5501184190520627</v>
      </c>
      <c r="Q123" s="1">
        <f>(N123*41.35/0.31*60)/1000</f>
        <v>1.8579702837361965E-2</v>
      </c>
      <c r="R123" s="1">
        <f>O123*41.35/0.31*60/1000</f>
        <v>2.4190534266532681E-2</v>
      </c>
      <c r="S123" s="1">
        <f>(O123*41.35/0.31*60)/1000</f>
        <v>2.4190534266532681E-2</v>
      </c>
    </row>
    <row r="124" spans="1:19" x14ac:dyDescent="0.3">
      <c r="A124" s="1">
        <v>124</v>
      </c>
      <c r="C124" s="1" t="s">
        <v>15</v>
      </c>
      <c r="D124" s="6">
        <v>13</v>
      </c>
      <c r="E124" s="1">
        <v>118</v>
      </c>
      <c r="F124" s="1">
        <v>15</v>
      </c>
      <c r="G124" s="1">
        <v>0.49062533555114551</v>
      </c>
      <c r="H124" s="1">
        <v>1.7821650399492686</v>
      </c>
      <c r="I124" s="1">
        <v>734.58552221969717</v>
      </c>
      <c r="K124" s="1">
        <f t="shared" si="3"/>
        <v>0.58546427532174727</v>
      </c>
      <c r="L124" s="1">
        <f t="shared" si="4"/>
        <v>0.9114263148438787</v>
      </c>
      <c r="M124" s="1">
        <f t="shared" si="5"/>
        <v>375.2206257348808</v>
      </c>
      <c r="N124"/>
      <c r="P124" s="1"/>
    </row>
    <row r="125" spans="1:19" x14ac:dyDescent="0.3">
      <c r="A125" s="1">
        <v>125</v>
      </c>
      <c r="C125" s="1" t="s">
        <v>15</v>
      </c>
      <c r="D125" s="6">
        <v>13</v>
      </c>
      <c r="E125" s="1">
        <v>119</v>
      </c>
      <c r="F125" s="1">
        <v>30</v>
      </c>
      <c r="G125" s="1">
        <v>0.44673807384879693</v>
      </c>
      <c r="H125" s="1">
        <v>1.6773922104745098</v>
      </c>
      <c r="I125" s="1">
        <v>823.70254099986244</v>
      </c>
      <c r="K125" s="1">
        <f t="shared" si="3"/>
        <v>0.53309351089810109</v>
      </c>
      <c r="L125" s="1">
        <f t="shared" si="4"/>
        <v>0.8578438958628265</v>
      </c>
      <c r="M125" s="1">
        <f t="shared" si="5"/>
        <v>420.74091239841243</v>
      </c>
      <c r="N125"/>
      <c r="P125" s="1"/>
    </row>
    <row r="126" spans="1:19" x14ac:dyDescent="0.3">
      <c r="A126" s="1">
        <v>126</v>
      </c>
      <c r="C126" s="1" t="s">
        <v>15</v>
      </c>
      <c r="D126" s="6">
        <v>13</v>
      </c>
      <c r="E126" s="1">
        <v>120</v>
      </c>
      <c r="F126" s="1">
        <v>45</v>
      </c>
      <c r="G126" s="1">
        <v>0.52722561897482878</v>
      </c>
      <c r="H126" s="1">
        <v>2.0655889760925268</v>
      </c>
      <c r="I126" s="1">
        <v>750.82137613855298</v>
      </c>
      <c r="K126" s="1">
        <f t="shared" si="3"/>
        <v>0.62913947278611371</v>
      </c>
      <c r="L126" s="1">
        <f t="shared" si="4"/>
        <v>1.0563736277285205</v>
      </c>
      <c r="M126" s="1">
        <f t="shared" si="5"/>
        <v>383.51377484073964</v>
      </c>
      <c r="N126"/>
      <c r="P126" s="1"/>
    </row>
    <row r="127" spans="1:19" x14ac:dyDescent="0.3">
      <c r="A127" s="1">
        <v>127</v>
      </c>
      <c r="C127" s="1" t="s">
        <v>15</v>
      </c>
      <c r="D127" s="6">
        <v>13</v>
      </c>
      <c r="E127" s="1">
        <v>121</v>
      </c>
      <c r="F127" s="1">
        <v>0</v>
      </c>
      <c r="G127" s="1">
        <v>0.42319403188034571</v>
      </c>
      <c r="H127" s="1">
        <v>1.7835082813527914</v>
      </c>
      <c r="I127" s="1">
        <v>469.51274681737129</v>
      </c>
      <c r="K127" s="1">
        <f t="shared" si="3"/>
        <v>0.50499835463447373</v>
      </c>
      <c r="L127" s="1">
        <f t="shared" si="4"/>
        <v>0.91211326893337963</v>
      </c>
      <c r="M127" s="1">
        <f t="shared" si="5"/>
        <v>239.82349409634585</v>
      </c>
      <c r="N127" s="1">
        <f>SLOPE(K127:K130,F127:F130)</f>
        <v>2.5651574242814112E-2</v>
      </c>
      <c r="O127" s="1">
        <f>SLOPE(L127:L130,F127:F130)</f>
        <v>1.039590522111015E-3</v>
      </c>
      <c r="P127" s="1">
        <f>SLOPE(M127:M130,F127:F130)</f>
        <v>12.004514608676697</v>
      </c>
      <c r="Q127" s="1">
        <f>(N127*41.35/0.31*60)/1000</f>
        <v>0.20529534095619942</v>
      </c>
      <c r="R127" s="1">
        <f>O127*41.35/0.31*60/1000</f>
        <v>8.3200776947013801E-3</v>
      </c>
      <c r="S127" s="1">
        <f>(O127*41.35/0.31*60)/1000</f>
        <v>8.3200776947013801E-3</v>
      </c>
    </row>
    <row r="128" spans="1:19" x14ac:dyDescent="0.3">
      <c r="A128" s="1">
        <v>128</v>
      </c>
      <c r="C128" s="1" t="s">
        <v>15</v>
      </c>
      <c r="D128" s="6">
        <v>13</v>
      </c>
      <c r="E128" s="1">
        <v>122</v>
      </c>
      <c r="F128" s="1">
        <v>15</v>
      </c>
      <c r="G128" s="1">
        <v>0.80739971839939828</v>
      </c>
      <c r="H128" s="1">
        <v>1.7620164188964302</v>
      </c>
      <c r="I128" s="1">
        <v>1112.3860500986766</v>
      </c>
      <c r="K128" s="1">
        <f t="shared" si="3"/>
        <v>0.96347183232328071</v>
      </c>
      <c r="L128" s="1">
        <f t="shared" si="4"/>
        <v>0.90112200350136862</v>
      </c>
      <c r="M128" s="1">
        <f t="shared" si="5"/>
        <v>568.19822491947548</v>
      </c>
      <c r="N128"/>
      <c r="P128" s="1"/>
    </row>
    <row r="129" spans="1:19" x14ac:dyDescent="0.3">
      <c r="A129" s="1">
        <v>129</v>
      </c>
      <c r="C129" s="1" t="s">
        <v>15</v>
      </c>
      <c r="D129" s="6">
        <v>13</v>
      </c>
      <c r="E129" s="1">
        <v>123</v>
      </c>
      <c r="F129" s="1">
        <v>30</v>
      </c>
      <c r="G129" s="1">
        <v>1.30059875292364</v>
      </c>
      <c r="H129" s="1">
        <v>1.8493271101253961</v>
      </c>
      <c r="I129" s="1">
        <v>1439.1064273573734</v>
      </c>
      <c r="K129" s="1">
        <f t="shared" si="3"/>
        <v>1.5520073082027557</v>
      </c>
      <c r="L129" s="1">
        <f t="shared" si="4"/>
        <v>0.94577401931891247</v>
      </c>
      <c r="M129" s="1">
        <f t="shared" si="5"/>
        <v>735.08447667258315</v>
      </c>
      <c r="N129"/>
      <c r="P129" s="1"/>
    </row>
    <row r="130" spans="1:19" x14ac:dyDescent="0.3">
      <c r="A130" s="1">
        <v>130</v>
      </c>
      <c r="C130" s="1" t="s">
        <v>15</v>
      </c>
      <c r="D130" s="6">
        <v>13</v>
      </c>
      <c r="E130" s="1">
        <v>124</v>
      </c>
      <c r="F130" s="1">
        <v>45</v>
      </c>
      <c r="G130" s="1">
        <v>1.3336090563942826</v>
      </c>
      <c r="H130" s="1">
        <v>1.8560433171430089</v>
      </c>
      <c r="I130" s="1">
        <v>1535.6936265557219</v>
      </c>
      <c r="K130" s="1">
        <f t="shared" si="3"/>
        <v>1.5913985748153543</v>
      </c>
      <c r="L130" s="1">
        <f t="shared" si="4"/>
        <v>0.94920878976641576</v>
      </c>
      <c r="M130" s="1">
        <f t="shared" si="5"/>
        <v>784.42047394581152</v>
      </c>
      <c r="N130"/>
      <c r="P130" s="1"/>
    </row>
    <row r="131" spans="1:19" x14ac:dyDescent="0.3">
      <c r="A131" s="1">
        <v>131</v>
      </c>
      <c r="C131" s="1" t="s">
        <v>15</v>
      </c>
      <c r="D131" s="6">
        <v>13</v>
      </c>
      <c r="E131" s="1">
        <v>125</v>
      </c>
      <c r="F131" s="1">
        <v>0</v>
      </c>
      <c r="G131" s="1">
        <v>0.53588437821115997</v>
      </c>
      <c r="H131" s="1">
        <v>1.8788784210028924</v>
      </c>
      <c r="I131" s="1">
        <v>553.72178260916473</v>
      </c>
      <c r="K131" s="1">
        <f t="shared" ref="K131:K194" si="6">(G131*28*1)/(0.082*(D131+273.15))</f>
        <v>0.63947198893265433</v>
      </c>
      <c r="L131" s="1">
        <f t="shared" ref="L131:L194" si="7">(H131*12*1)/(0.082*(D131+273.15))</f>
        <v>0.96088700928792725</v>
      </c>
      <c r="M131" s="1">
        <f t="shared" ref="M131:M194" si="8">(I131*12*1)/(0.0821*(D131+273.15))</f>
        <v>282.83682085896862</v>
      </c>
      <c r="N131" s="1">
        <f>SLOPE(K131:K134,F131:F134)</f>
        <v>7.1096224771916121E-3</v>
      </c>
      <c r="O131" s="1">
        <f>SLOPE(L131:L134,F131:F134)</f>
        <v>2.9310041152028104E-4</v>
      </c>
      <c r="P131" s="1">
        <f>SLOPE(M131:M134,F131:F134)</f>
        <v>5.1258980201534801</v>
      </c>
      <c r="Q131" s="1">
        <f>(N131*41.35/0.31*60)/1000</f>
        <v>5.6899914083588354E-2</v>
      </c>
      <c r="R131" s="1">
        <f>O131*41.35/0.31*60/1000</f>
        <v>2.3457487773607005E-3</v>
      </c>
      <c r="S131" s="1">
        <f>(O131*41.35/0.31*60)/1000</f>
        <v>2.3457487773607005E-3</v>
      </c>
    </row>
    <row r="132" spans="1:19" x14ac:dyDescent="0.3">
      <c r="A132" s="1">
        <v>132</v>
      </c>
      <c r="C132" s="1" t="s">
        <v>15</v>
      </c>
      <c r="D132" s="6">
        <v>13</v>
      </c>
      <c r="E132" s="1">
        <v>126</v>
      </c>
      <c r="F132" s="1">
        <v>15</v>
      </c>
      <c r="G132" s="1">
        <v>0.77784318968032584</v>
      </c>
      <c r="H132" s="1">
        <v>1.9970836645128767</v>
      </c>
      <c r="I132" s="1">
        <v>879.46830644723173</v>
      </c>
      <c r="K132" s="1">
        <f t="shared" si="6"/>
        <v>0.9282019626005944</v>
      </c>
      <c r="L132" s="1">
        <f t="shared" si="7"/>
        <v>1.0213389691639863</v>
      </c>
      <c r="M132" s="1">
        <f t="shared" si="8"/>
        <v>449.22563578707792</v>
      </c>
      <c r="N132"/>
      <c r="P132" s="1"/>
    </row>
    <row r="133" spans="1:19" x14ac:dyDescent="0.3">
      <c r="A133" s="1">
        <v>133</v>
      </c>
      <c r="C133" s="1" t="s">
        <v>15</v>
      </c>
      <c r="D133" s="6">
        <v>13</v>
      </c>
      <c r="E133" s="1">
        <v>127</v>
      </c>
      <c r="F133" s="1">
        <v>30</v>
      </c>
      <c r="G133" s="1">
        <v>0.76683002624714958</v>
      </c>
      <c r="H133" s="1">
        <v>1.8090298680197194</v>
      </c>
      <c r="I133" s="1">
        <v>902.1846039235495</v>
      </c>
      <c r="K133" s="1">
        <f t="shared" si="6"/>
        <v>0.91505993082769099</v>
      </c>
      <c r="L133" s="1">
        <f t="shared" si="7"/>
        <v>0.92516539663389219</v>
      </c>
      <c r="M133" s="1">
        <f t="shared" si="8"/>
        <v>460.82894553879726</v>
      </c>
      <c r="N133"/>
      <c r="P133" s="1"/>
    </row>
    <row r="134" spans="1:19" x14ac:dyDescent="0.3">
      <c r="A134" s="1">
        <v>134</v>
      </c>
      <c r="C134" s="1" t="s">
        <v>15</v>
      </c>
      <c r="D134" s="6">
        <v>13</v>
      </c>
      <c r="E134" s="1">
        <v>128</v>
      </c>
      <c r="F134" s="1">
        <v>45</v>
      </c>
      <c r="G134" s="1">
        <v>0.83745242320954094</v>
      </c>
      <c r="H134" s="1">
        <v>1.9702188364424256</v>
      </c>
      <c r="I134" s="1">
        <v>1047.9092104759504</v>
      </c>
      <c r="K134" s="1">
        <f t="shared" si="6"/>
        <v>0.99933379004986933</v>
      </c>
      <c r="L134" s="1">
        <f t="shared" si="7"/>
        <v>1.0075998873739727</v>
      </c>
      <c r="M134" s="1">
        <f t="shared" si="8"/>
        <v>535.26395194940289</v>
      </c>
      <c r="N134"/>
      <c r="P134" s="1"/>
    </row>
    <row r="135" spans="1:19" x14ac:dyDescent="0.3">
      <c r="A135" s="1">
        <v>135</v>
      </c>
      <c r="C135" s="1" t="s">
        <v>15</v>
      </c>
      <c r="D135" s="6">
        <v>13</v>
      </c>
      <c r="E135" s="1">
        <v>129</v>
      </c>
      <c r="F135" s="1">
        <v>0</v>
      </c>
      <c r="G135" s="1">
        <v>0.40007806340222996</v>
      </c>
      <c r="H135" s="1">
        <v>1.861416282757099</v>
      </c>
      <c r="I135" s="1">
        <v>425.7697528045029</v>
      </c>
      <c r="K135" s="1">
        <f t="shared" si="6"/>
        <v>0.47741401939382128</v>
      </c>
      <c r="L135" s="1">
        <f t="shared" si="7"/>
        <v>0.95195660612441846</v>
      </c>
      <c r="M135" s="1">
        <f t="shared" si="8"/>
        <v>217.4799097367881</v>
      </c>
      <c r="N135" s="1">
        <f>SLOPE(K135:K138,F135:F138)</f>
        <v>2.6344742891566311E-2</v>
      </c>
      <c r="O135" s="1">
        <f>SLOPE(L135:L138,F135:F138)</f>
        <v>-1.0029529706709784E-3</v>
      </c>
      <c r="P135" s="1">
        <f>SLOPE(M135:M138,F135:F138)</f>
        <v>26.72043345602826</v>
      </c>
      <c r="Q135" s="1">
        <f>(N135*41.35/0.31*60)/1000</f>
        <v>0.21084292617411624</v>
      </c>
      <c r="R135" s="1">
        <f>O135*41.35/0.31*60/1000</f>
        <v>-8.0268590975312824E-3</v>
      </c>
      <c r="S135" s="1">
        <f>(O135*41.35/0.31*60)/1000</f>
        <v>-8.0268590975312824E-3</v>
      </c>
    </row>
    <row r="136" spans="1:19" x14ac:dyDescent="0.3">
      <c r="A136" s="1">
        <v>136</v>
      </c>
      <c r="C136" s="1" t="s">
        <v>15</v>
      </c>
      <c r="D136" s="6">
        <v>13</v>
      </c>
      <c r="E136" s="1">
        <v>130</v>
      </c>
      <c r="F136" s="1">
        <v>15</v>
      </c>
      <c r="G136" s="1">
        <v>0.82062135188498697</v>
      </c>
      <c r="H136" s="1">
        <v>1.8009704195985843</v>
      </c>
      <c r="I136" s="1">
        <v>987.88370493895673</v>
      </c>
      <c r="K136" s="1">
        <f t="shared" si="6"/>
        <v>0.97924923619198689</v>
      </c>
      <c r="L136" s="1">
        <f t="shared" si="7"/>
        <v>0.92104367209688809</v>
      </c>
      <c r="M136" s="1">
        <f t="shared" si="8"/>
        <v>504.60338613864991</v>
      </c>
      <c r="N136"/>
      <c r="P136" s="1"/>
    </row>
    <row r="137" spans="1:19" x14ac:dyDescent="0.3">
      <c r="A137" s="1">
        <v>137</v>
      </c>
      <c r="C137" s="1" t="s">
        <v>15</v>
      </c>
      <c r="D137" s="6">
        <v>13</v>
      </c>
      <c r="E137" s="1">
        <v>131</v>
      </c>
      <c r="F137" s="1">
        <v>30</v>
      </c>
      <c r="G137" s="1">
        <v>1.2393745148627049</v>
      </c>
      <c r="H137" s="1">
        <v>1.8170893164408553</v>
      </c>
      <c r="I137" s="1">
        <v>1716.889925693177</v>
      </c>
      <c r="K137" s="1">
        <f t="shared" si="6"/>
        <v>1.4789482923486206</v>
      </c>
      <c r="L137" s="1">
        <f t="shared" si="7"/>
        <v>0.92928712117089651</v>
      </c>
      <c r="M137" s="1">
        <f t="shared" si="8"/>
        <v>876.97414766614202</v>
      </c>
      <c r="N137"/>
      <c r="P137" s="1"/>
    </row>
    <row r="138" spans="1:19" x14ac:dyDescent="0.3">
      <c r="A138" s="1">
        <v>138</v>
      </c>
      <c r="C138" s="1" t="s">
        <v>15</v>
      </c>
      <c r="D138" s="6">
        <v>13</v>
      </c>
      <c r="E138" s="1">
        <v>132</v>
      </c>
      <c r="F138" s="1">
        <v>45</v>
      </c>
      <c r="G138" s="1">
        <v>1.3643525161547394</v>
      </c>
      <c r="H138" s="1">
        <v>1.7579866946858629</v>
      </c>
      <c r="I138" s="1">
        <v>2798.3546456598801</v>
      </c>
      <c r="K138" s="1">
        <f t="shared" si="6"/>
        <v>1.6280848119199256</v>
      </c>
      <c r="L138" s="1">
        <f t="shared" si="7"/>
        <v>0.89906114123286673</v>
      </c>
      <c r="M138" s="1">
        <f t="shared" si="8"/>
        <v>1429.3779953623705</v>
      </c>
      <c r="N138"/>
      <c r="P138" s="1"/>
    </row>
    <row r="139" spans="1:19" x14ac:dyDescent="0.3">
      <c r="A139" s="1">
        <v>139</v>
      </c>
      <c r="C139" s="1" t="s">
        <v>15</v>
      </c>
      <c r="D139" s="6">
        <v>13</v>
      </c>
      <c r="E139" s="1">
        <v>133</v>
      </c>
      <c r="F139" s="1">
        <v>0</v>
      </c>
      <c r="G139" s="1">
        <v>0.39915381382082382</v>
      </c>
      <c r="H139" s="1">
        <v>1.8748486967923246</v>
      </c>
      <c r="I139" s="1">
        <v>438.03573941540981</v>
      </c>
      <c r="K139" s="1">
        <f t="shared" si="6"/>
        <v>0.47631111036694335</v>
      </c>
      <c r="L139" s="1">
        <f t="shared" si="7"/>
        <v>0.95882614701942515</v>
      </c>
      <c r="M139" s="1">
        <f t="shared" si="8"/>
        <v>223.74528120435107</v>
      </c>
      <c r="N139" s="1">
        <f>SLOPE(K139:K142,F139:F142)</f>
        <v>8.7342655216263356E-3</v>
      </c>
      <c r="O139" s="1">
        <f>SLOPE(L139:L142,F139:F142)</f>
        <v>-6.9611347736067881E-4</v>
      </c>
      <c r="P139" s="1">
        <f>SLOPE(M139:M142,F139:F142)</f>
        <v>21.278089216451789</v>
      </c>
      <c r="Q139" s="1">
        <f>(N139*41.35/0.31*60)/1000</f>
        <v>6.9902299223080444E-2</v>
      </c>
      <c r="R139" s="1">
        <f>O139*41.35/0.31*60/1000</f>
        <v>-5.5711533462317556E-3</v>
      </c>
      <c r="S139" s="1">
        <f>(O139*41.35/0.31*60)/1000</f>
        <v>-5.5711533462317556E-3</v>
      </c>
    </row>
    <row r="140" spans="1:19" x14ac:dyDescent="0.3">
      <c r="A140" s="1">
        <v>140</v>
      </c>
      <c r="C140" s="1" t="s">
        <v>15</v>
      </c>
      <c r="D140" s="6">
        <v>13</v>
      </c>
      <c r="E140" s="1">
        <v>134</v>
      </c>
      <c r="F140" s="1">
        <v>15</v>
      </c>
      <c r="G140" s="1">
        <v>0.59096965326296602</v>
      </c>
      <c r="H140" s="1">
        <v>1.7566434532823403</v>
      </c>
      <c r="I140" s="1">
        <v>655.63589052830707</v>
      </c>
      <c r="K140" s="1">
        <f t="shared" si="6"/>
        <v>0.70520536693457936</v>
      </c>
      <c r="L140" s="1">
        <f t="shared" si="7"/>
        <v>0.89837418714336614</v>
      </c>
      <c r="M140" s="1">
        <f t="shared" si="8"/>
        <v>334.89376206995536</v>
      </c>
      <c r="N140"/>
      <c r="P140" s="1"/>
    </row>
    <row r="141" spans="1:19" x14ac:dyDescent="0.3">
      <c r="A141" s="1">
        <v>141</v>
      </c>
      <c r="C141" s="1" t="s">
        <v>15</v>
      </c>
      <c r="D141" s="6">
        <v>13</v>
      </c>
      <c r="E141" s="1">
        <v>135</v>
      </c>
      <c r="F141" s="1">
        <v>30</v>
      </c>
      <c r="G141" s="1">
        <v>0.67268304520223121</v>
      </c>
      <c r="H141" s="1">
        <v>1.8587297999500541</v>
      </c>
      <c r="I141" s="1">
        <v>737.84857644356009</v>
      </c>
      <c r="K141" s="1">
        <f t="shared" si="6"/>
        <v>0.80271413447929296</v>
      </c>
      <c r="L141" s="1">
        <f t="shared" si="7"/>
        <v>0.95058269794541705</v>
      </c>
      <c r="M141" s="1">
        <f t="shared" si="8"/>
        <v>376.88736869489043</v>
      </c>
      <c r="N141"/>
      <c r="P141" s="1"/>
    </row>
    <row r="142" spans="1:19" x14ac:dyDescent="0.3">
      <c r="A142" s="1">
        <v>142</v>
      </c>
      <c r="C142" s="1" t="s">
        <v>15</v>
      </c>
      <c r="D142" s="6">
        <v>13</v>
      </c>
      <c r="E142" s="1">
        <v>136</v>
      </c>
      <c r="F142" s="1">
        <v>45</v>
      </c>
      <c r="G142" s="1">
        <v>0.73788642093469403</v>
      </c>
      <c r="H142" s="1">
        <v>1.7727623501246108</v>
      </c>
      <c r="I142" s="1">
        <v>2493.4829329624858</v>
      </c>
      <c r="K142" s="1">
        <f t="shared" si="6"/>
        <v>0.88052146393335562</v>
      </c>
      <c r="L142" s="1">
        <f t="shared" si="7"/>
        <v>0.90661763621737423</v>
      </c>
      <c r="M142" s="1">
        <f t="shared" si="8"/>
        <v>1273.651873151962</v>
      </c>
      <c r="N142"/>
      <c r="P142" s="1"/>
    </row>
    <row r="143" spans="1:19" x14ac:dyDescent="0.3">
      <c r="A143" s="1">
        <v>143</v>
      </c>
      <c r="C143" s="1" t="s">
        <v>15</v>
      </c>
      <c r="D143" s="6">
        <v>13</v>
      </c>
      <c r="E143" s="1">
        <v>137</v>
      </c>
      <c r="F143" s="1">
        <v>0</v>
      </c>
      <c r="G143" s="1">
        <v>0.46167200129572777</v>
      </c>
      <c r="H143" s="1">
        <v>1.8345514546866482</v>
      </c>
      <c r="I143" s="1">
        <v>492.20124827352839</v>
      </c>
      <c r="K143" s="1">
        <f t="shared" si="6"/>
        <v>0.55091419885870785</v>
      </c>
      <c r="L143" s="1">
        <f t="shared" si="7"/>
        <v>0.93821752433440497</v>
      </c>
      <c r="M143" s="1">
        <f t="shared" si="8"/>
        <v>251.41260585509892</v>
      </c>
      <c r="N143" s="1">
        <f>SLOPE(K143:K146,F143:F146)</f>
        <v>3.1817261387247602E-2</v>
      </c>
      <c r="O143" s="1">
        <f>SLOPE(L143:L146,F143:F146)</f>
        <v>1.6624288965916235E-3</v>
      </c>
      <c r="P143" s="1">
        <f>SLOPE(M143:M146,F143:F146)</f>
        <v>11.205458325481633</v>
      </c>
      <c r="Q143" s="1">
        <f>(N143*41.35/0.31*60)/1000</f>
        <v>0.25464072742503646</v>
      </c>
      <c r="R143" s="1">
        <f>O143*41.35/0.31*60/1000</f>
        <v>1.3304793846592961E-2</v>
      </c>
      <c r="S143" s="1">
        <f>(O143*41.35/0.31*60)/1000</f>
        <v>1.3304793846592961E-2</v>
      </c>
    </row>
    <row r="144" spans="1:19" x14ac:dyDescent="0.3">
      <c r="A144" s="1">
        <v>144</v>
      </c>
      <c r="C144" s="1" t="s">
        <v>15</v>
      </c>
      <c r="D144" s="6">
        <v>13</v>
      </c>
      <c r="E144" s="1">
        <v>138</v>
      </c>
      <c r="F144" s="1">
        <v>15</v>
      </c>
      <c r="G144" s="1">
        <v>0.96774242735892058</v>
      </c>
      <c r="H144" s="1">
        <v>1.9460404911790199</v>
      </c>
      <c r="I144" s="1">
        <v>966.31994958430153</v>
      </c>
      <c r="K144" s="1">
        <f t="shared" si="6"/>
        <v>1.1548091341335465</v>
      </c>
      <c r="L144" s="1">
        <f t="shared" si="7"/>
        <v>0.9952347137629608</v>
      </c>
      <c r="M144" s="1">
        <f t="shared" si="8"/>
        <v>493.58878602385522</v>
      </c>
      <c r="N144"/>
      <c r="P144" s="1"/>
    </row>
    <row r="145" spans="1:19" x14ac:dyDescent="0.3">
      <c r="A145" s="1">
        <v>145</v>
      </c>
      <c r="C145" s="1" t="s">
        <v>15</v>
      </c>
      <c r="D145" s="6">
        <v>13</v>
      </c>
      <c r="E145" s="1">
        <v>139</v>
      </c>
      <c r="F145" s="1">
        <v>30</v>
      </c>
      <c r="G145" s="1">
        <v>1.4992151234963391</v>
      </c>
      <c r="H145" s="1">
        <v>1.7526137290717725</v>
      </c>
      <c r="I145" s="1">
        <v>1399.8147674302372</v>
      </c>
      <c r="K145" s="1">
        <f t="shared" si="6"/>
        <v>1.7890166532944727</v>
      </c>
      <c r="L145" s="1">
        <f t="shared" si="7"/>
        <v>0.89631332487486404</v>
      </c>
      <c r="M145" s="1">
        <f t="shared" si="8"/>
        <v>715.01459947234503</v>
      </c>
      <c r="N145"/>
      <c r="P145" s="1"/>
    </row>
    <row r="146" spans="1:19" x14ac:dyDescent="0.3">
      <c r="A146" s="1">
        <v>146</v>
      </c>
      <c r="C146" s="1" t="s">
        <v>15</v>
      </c>
      <c r="D146" s="6">
        <v>13</v>
      </c>
      <c r="E146" s="1">
        <v>140</v>
      </c>
      <c r="F146" s="1">
        <v>45</v>
      </c>
      <c r="G146" s="1">
        <v>1.6176747330037198</v>
      </c>
      <c r="H146" s="1">
        <v>2.0615592518819592</v>
      </c>
      <c r="I146" s="1">
        <v>1444.5733088939762</v>
      </c>
      <c r="K146" s="1">
        <f t="shared" si="6"/>
        <v>1.9303747618341123</v>
      </c>
      <c r="L146" s="1">
        <f t="shared" si="7"/>
        <v>1.0543127654600184</v>
      </c>
      <c r="M146" s="1">
        <f t="shared" si="8"/>
        <v>737.87691764635065</v>
      </c>
      <c r="N146"/>
      <c r="P146" s="1"/>
    </row>
    <row r="147" spans="1:19" x14ac:dyDescent="0.3">
      <c r="A147" s="1">
        <v>147</v>
      </c>
      <c r="C147" s="1" t="s">
        <v>15</v>
      </c>
      <c r="D147" s="6">
        <v>13</v>
      </c>
      <c r="E147" s="1">
        <v>141</v>
      </c>
      <c r="F147" s="1">
        <v>0</v>
      </c>
      <c r="G147" s="1">
        <v>0.49816526634682717</v>
      </c>
      <c r="H147" s="1">
        <v>1.9366378013543619</v>
      </c>
      <c r="I147" s="1">
        <v>594.7854388215444</v>
      </c>
      <c r="K147" s="1">
        <f t="shared" si="6"/>
        <v>0.59446169106733049</v>
      </c>
      <c r="L147" s="1">
        <f t="shared" si="7"/>
        <v>0.99042603513645611</v>
      </c>
      <c r="M147" s="1">
        <f t="shared" si="8"/>
        <v>303.81182011080926</v>
      </c>
      <c r="N147" s="1">
        <f>SLOPE(K147:K150,F147:F150)</f>
        <v>-1.8792021875506219E-3</v>
      </c>
      <c r="O147" s="1">
        <f>SLOPE(L147:L150,F147:F150)</f>
        <v>-7.0069317129068862E-4</v>
      </c>
      <c r="P147" s="1">
        <f>SLOPE(M147:M150,F147:F150)</f>
        <v>-1.5784517266063052</v>
      </c>
      <c r="Q147" s="1">
        <f>(N147*41.35/0.31*60)/1000</f>
        <v>-1.5039679442945462E-2</v>
      </c>
      <c r="R147" s="1">
        <f>O147*41.35/0.31*60/1000</f>
        <v>-5.607805670878061E-3</v>
      </c>
      <c r="S147" s="1">
        <f>(O147*41.35/0.31*60)/1000</f>
        <v>-5.607805670878061E-3</v>
      </c>
    </row>
    <row r="148" spans="1:19" x14ac:dyDescent="0.3">
      <c r="A148" s="1">
        <v>148</v>
      </c>
      <c r="C148" s="1" t="s">
        <v>15</v>
      </c>
      <c r="D148" s="6">
        <v>13</v>
      </c>
      <c r="E148" s="1">
        <v>142</v>
      </c>
      <c r="F148" s="1">
        <v>15</v>
      </c>
      <c r="G148" s="1">
        <v>0.45087287460771919</v>
      </c>
      <c r="H148" s="1">
        <v>1.8466406273183511</v>
      </c>
      <c r="I148" s="1">
        <v>964.50427383880549</v>
      </c>
      <c r="K148" s="1">
        <f t="shared" si="6"/>
        <v>0.53802757759729203</v>
      </c>
      <c r="L148" s="1">
        <f t="shared" si="7"/>
        <v>0.94440011113991107</v>
      </c>
      <c r="M148" s="1">
        <f t="shared" si="8"/>
        <v>492.6613528404485</v>
      </c>
      <c r="N148"/>
      <c r="P148" s="1"/>
    </row>
    <row r="149" spans="1:19" x14ac:dyDescent="0.3">
      <c r="A149" s="1">
        <v>149</v>
      </c>
      <c r="C149" s="1" t="s">
        <v>15</v>
      </c>
      <c r="D149" s="6">
        <v>13</v>
      </c>
      <c r="E149" s="1">
        <v>143</v>
      </c>
      <c r="F149" s="1">
        <v>30</v>
      </c>
      <c r="G149" s="1">
        <v>0.45833497385970345</v>
      </c>
      <c r="H149" s="1">
        <v>2.064245734689004</v>
      </c>
      <c r="I149" s="1">
        <v>625.49607023907572</v>
      </c>
      <c r="K149" s="1">
        <f t="shared" si="6"/>
        <v>0.54693211679324327</v>
      </c>
      <c r="L149" s="1">
        <f t="shared" si="7"/>
        <v>1.0556866736390196</v>
      </c>
      <c r="M149" s="1">
        <f t="shared" si="8"/>
        <v>319.49857405387576</v>
      </c>
      <c r="N149"/>
      <c r="P149" s="1"/>
    </row>
    <row r="150" spans="1:19" x14ac:dyDescent="0.3">
      <c r="A150" s="1">
        <v>150</v>
      </c>
      <c r="C150" s="1" t="s">
        <v>15</v>
      </c>
      <c r="D150" s="6">
        <v>13</v>
      </c>
      <c r="E150" s="1">
        <v>144</v>
      </c>
      <c r="F150" s="1">
        <v>45</v>
      </c>
      <c r="G150" s="1">
        <v>0.41693832155567045</v>
      </c>
      <c r="H150" s="1">
        <v>1.7955974539844941</v>
      </c>
      <c r="I150" s="1">
        <v>553.2780390015995</v>
      </c>
      <c r="K150" s="1">
        <f t="shared" si="6"/>
        <v>0.49753340195781565</v>
      </c>
      <c r="L150" s="1">
        <f t="shared" si="7"/>
        <v>0.9182958557388855</v>
      </c>
      <c r="M150" s="1">
        <f t="shared" si="8"/>
        <v>282.61016004268492</v>
      </c>
      <c r="N150"/>
      <c r="P150" s="1"/>
    </row>
    <row r="151" spans="1:19" x14ac:dyDescent="0.3">
      <c r="A151" s="1">
        <v>151</v>
      </c>
      <c r="C151" s="1" t="s">
        <v>15</v>
      </c>
      <c r="D151" s="6">
        <v>13</v>
      </c>
      <c r="E151" s="1">
        <v>145</v>
      </c>
      <c r="F151" s="1">
        <v>0</v>
      </c>
      <c r="G151" s="1">
        <v>0.41691886366974612</v>
      </c>
      <c r="H151" s="1">
        <v>1.8117163508267649</v>
      </c>
      <c r="I151" s="1">
        <v>538.71193172239612</v>
      </c>
      <c r="K151" s="1">
        <f t="shared" si="6"/>
        <v>0.49751018282040765</v>
      </c>
      <c r="L151" s="1">
        <f t="shared" si="7"/>
        <v>0.9265393048128937</v>
      </c>
      <c r="M151" s="1">
        <f t="shared" si="8"/>
        <v>275.16990465715958</v>
      </c>
      <c r="N151" s="1">
        <f>SLOPE(K151:K154,F151:F154)</f>
        <v>1.409169449288887E-3</v>
      </c>
      <c r="O151" s="1">
        <f>SLOPE(L151:L154,F151:F154)</f>
        <v>1.035010828181008E-3</v>
      </c>
      <c r="P151" s="1">
        <f>SLOPE(M151:M154,F151:F154)</f>
        <v>0.73812323004797165</v>
      </c>
      <c r="Q151" s="1">
        <f>(N151*41.35/0.31*60)/1000</f>
        <v>1.1277901302212028E-2</v>
      </c>
      <c r="R151" s="1">
        <f>O151*41.35/0.31*60/1000</f>
        <v>8.2834253700550982E-3</v>
      </c>
      <c r="S151" s="1">
        <f>(O151*41.35/0.31*60)/1000</f>
        <v>8.2834253700550982E-3</v>
      </c>
    </row>
    <row r="152" spans="1:19" x14ac:dyDescent="0.3">
      <c r="A152" s="1">
        <v>152</v>
      </c>
      <c r="C152" s="1" t="s">
        <v>15</v>
      </c>
      <c r="D152" s="6">
        <v>13</v>
      </c>
      <c r="E152" s="1">
        <v>146</v>
      </c>
      <c r="F152" s="1">
        <v>15</v>
      </c>
      <c r="G152" s="1">
        <v>0.41516765393655553</v>
      </c>
      <c r="H152" s="1">
        <v>1.876191938195847</v>
      </c>
      <c r="I152" s="1">
        <v>531.12659636354704</v>
      </c>
      <c r="K152" s="1">
        <f t="shared" si="6"/>
        <v>0.49542046045369159</v>
      </c>
      <c r="L152" s="1">
        <f t="shared" si="7"/>
        <v>0.95951310110892574</v>
      </c>
      <c r="M152" s="1">
        <f t="shared" si="8"/>
        <v>271.29537379088822</v>
      </c>
      <c r="N152"/>
      <c r="P152" s="1"/>
    </row>
    <row r="153" spans="1:19" x14ac:dyDescent="0.3">
      <c r="A153" s="1">
        <v>153</v>
      </c>
      <c r="C153" s="1" t="s">
        <v>15</v>
      </c>
      <c r="D153" s="6">
        <v>13</v>
      </c>
      <c r="E153" s="1">
        <v>147</v>
      </c>
      <c r="F153" s="1">
        <v>30</v>
      </c>
      <c r="G153" s="1">
        <v>0.42868115571100956</v>
      </c>
      <c r="H153" s="1">
        <v>1.8090298680197194</v>
      </c>
      <c r="I153" s="1">
        <v>555.18702995763488</v>
      </c>
      <c r="K153" s="1">
        <f t="shared" si="6"/>
        <v>0.51154615138351744</v>
      </c>
      <c r="L153" s="1">
        <f t="shared" si="7"/>
        <v>0.92516539663389219</v>
      </c>
      <c r="M153" s="1">
        <f t="shared" si="8"/>
        <v>283.58525791676419</v>
      </c>
      <c r="N153"/>
      <c r="P153" s="1"/>
    </row>
    <row r="154" spans="1:19" x14ac:dyDescent="0.3">
      <c r="A154" s="1">
        <v>154</v>
      </c>
      <c r="C154" s="1" t="s">
        <v>15</v>
      </c>
      <c r="D154" s="6">
        <v>13</v>
      </c>
      <c r="E154" s="1">
        <v>148</v>
      </c>
      <c r="F154" s="1">
        <v>45</v>
      </c>
      <c r="G154" s="1">
        <v>0.47145931791567075</v>
      </c>
      <c r="H154" s="1">
        <v>1.9352945599508393</v>
      </c>
      <c r="I154" s="1">
        <v>602.94456345371043</v>
      </c>
      <c r="K154" s="1">
        <f t="shared" si="6"/>
        <v>0.56259342497491005</v>
      </c>
      <c r="L154" s="1">
        <f t="shared" si="7"/>
        <v>0.98973908104695529</v>
      </c>
      <c r="M154" s="1">
        <f t="shared" si="8"/>
        <v>307.9794381175995</v>
      </c>
      <c r="N154"/>
      <c r="P154" s="1"/>
    </row>
    <row r="155" spans="1:19" x14ac:dyDescent="0.3">
      <c r="A155" s="1">
        <v>155</v>
      </c>
      <c r="C155" s="1" t="s">
        <v>15</v>
      </c>
      <c r="D155" s="6">
        <v>13</v>
      </c>
      <c r="E155" s="1">
        <v>149</v>
      </c>
      <c r="F155" s="1">
        <v>0</v>
      </c>
      <c r="G155" s="1">
        <v>0.45818903971527092</v>
      </c>
      <c r="H155" s="1">
        <v>1.8170893164408553</v>
      </c>
      <c r="I155" s="1">
        <v>505.59396641594867</v>
      </c>
      <c r="K155" s="1">
        <f t="shared" si="6"/>
        <v>0.54675797326268361</v>
      </c>
      <c r="L155" s="1">
        <f t="shared" si="7"/>
        <v>0.92928712117089651</v>
      </c>
      <c r="M155" s="1">
        <f t="shared" si="8"/>
        <v>258.25350310897494</v>
      </c>
      <c r="N155" s="1">
        <f>SLOPE(K155:K158,F155:F158)</f>
        <v>7.7923425141102141E-4</v>
      </c>
      <c r="O155" s="1">
        <f>SLOPE(L155:L158,F155:F158)</f>
        <v>2.2990063528622422E-3</v>
      </c>
      <c r="P155" s="1">
        <f>SLOPE(M155:M158,F155:F158)</f>
        <v>1.831419395571813</v>
      </c>
      <c r="Q155" s="1">
        <f>(N155*41.35/0.31*60)/1000</f>
        <v>6.2363876701636905E-3</v>
      </c>
      <c r="R155" s="1">
        <f>O155*41.35/0.31*60/1000</f>
        <v>1.8399466972423301E-2</v>
      </c>
      <c r="S155" s="1">
        <f>(O155*41.35/0.31*60)/1000</f>
        <v>1.8399466972423301E-2</v>
      </c>
    </row>
    <row r="156" spans="1:19" x14ac:dyDescent="0.3">
      <c r="A156" s="1">
        <v>156</v>
      </c>
      <c r="C156" s="1" t="s">
        <v>15</v>
      </c>
      <c r="D156" s="6">
        <v>13</v>
      </c>
      <c r="E156" s="1">
        <v>150</v>
      </c>
      <c r="F156" s="1">
        <v>15</v>
      </c>
      <c r="G156" s="1">
        <v>0.45790690036936804</v>
      </c>
      <c r="H156" s="1">
        <v>1.9017135248627757</v>
      </c>
      <c r="I156" s="1">
        <v>533.77118913883487</v>
      </c>
      <c r="K156" s="1">
        <f t="shared" si="6"/>
        <v>0.54642129577026832</v>
      </c>
      <c r="L156" s="1">
        <f t="shared" si="7"/>
        <v>0.97256522880943863</v>
      </c>
      <c r="M156" s="1">
        <f t="shared" si="8"/>
        <v>272.64621140739746</v>
      </c>
      <c r="N156"/>
      <c r="P156" s="1"/>
    </row>
    <row r="157" spans="1:19" x14ac:dyDescent="0.3">
      <c r="A157" s="1">
        <v>157</v>
      </c>
      <c r="C157" s="1" t="s">
        <v>15</v>
      </c>
      <c r="D157" s="6">
        <v>13</v>
      </c>
      <c r="E157" s="1">
        <v>151</v>
      </c>
      <c r="F157" s="1">
        <v>30</v>
      </c>
      <c r="G157" s="1">
        <v>0.46167200129572777</v>
      </c>
      <c r="H157" s="1">
        <v>1.838581178897216</v>
      </c>
      <c r="I157" s="1">
        <v>541.74666149493919</v>
      </c>
      <c r="K157" s="1">
        <f t="shared" si="6"/>
        <v>0.55091419885870785</v>
      </c>
      <c r="L157" s="1">
        <f t="shared" si="7"/>
        <v>0.94027838660290719</v>
      </c>
      <c r="M157" s="1">
        <f t="shared" si="8"/>
        <v>276.72002124637453</v>
      </c>
      <c r="N157"/>
      <c r="P157" s="1"/>
    </row>
    <row r="158" spans="1:19" x14ac:dyDescent="0.3">
      <c r="A158" s="1">
        <v>158</v>
      </c>
      <c r="C158" s="1" t="s">
        <v>15</v>
      </c>
      <c r="D158" s="6">
        <v>13</v>
      </c>
      <c r="E158" s="1">
        <v>152</v>
      </c>
      <c r="F158" s="1">
        <v>45</v>
      </c>
      <c r="G158" s="1">
        <v>0.48958433865419326</v>
      </c>
      <c r="H158" s="1">
        <v>2.0629024932854816</v>
      </c>
      <c r="I158" s="1">
        <v>682.20789308691383</v>
      </c>
      <c r="K158" s="1">
        <f t="shared" si="6"/>
        <v>0.5842220514704215</v>
      </c>
      <c r="L158" s="1">
        <f t="shared" si="7"/>
        <v>1.0549997195495191</v>
      </c>
      <c r="M158" s="1">
        <f t="shared" si="8"/>
        <v>348.46653627457323</v>
      </c>
      <c r="N158"/>
      <c r="P158" s="1"/>
    </row>
    <row r="159" spans="1:19" x14ac:dyDescent="0.3">
      <c r="A159" s="1">
        <v>159</v>
      </c>
      <c r="C159" s="1" t="s">
        <v>15</v>
      </c>
      <c r="D159" s="6">
        <v>13</v>
      </c>
      <c r="E159" s="1">
        <v>153</v>
      </c>
      <c r="F159" s="1">
        <v>0</v>
      </c>
      <c r="G159" s="1">
        <v>0.46694508838122384</v>
      </c>
      <c r="H159" s="1">
        <v>1.8788784210028924</v>
      </c>
      <c r="I159" s="1">
        <v>552.82734638899421</v>
      </c>
      <c r="K159" s="1">
        <f t="shared" si="6"/>
        <v>0.55720658509626397</v>
      </c>
      <c r="L159" s="1">
        <f t="shared" si="7"/>
        <v>0.96088700928792725</v>
      </c>
      <c r="M159" s="1">
        <f t="shared" si="8"/>
        <v>282.37994972815977</v>
      </c>
      <c r="N159" s="1">
        <f>SLOPE(K159:K162,F159:F162)</f>
        <v>-6.6027487075758851E-4</v>
      </c>
      <c r="O159" s="1">
        <f>SLOPE(L159:L162,F159:F162)</f>
        <v>-6.2741806841060924E-4</v>
      </c>
      <c r="P159" s="1">
        <f>SLOPE(M159:M162,F159:F162)</f>
        <v>-0.29311756478953299</v>
      </c>
      <c r="Q159" s="1">
        <f>(N159*41.35/0.31*60)/1000</f>
        <v>-5.2843288849986365E-3</v>
      </c>
      <c r="R159" s="1">
        <f>O159*41.35/0.31*60/1000</f>
        <v>-5.0213684765378118E-3</v>
      </c>
      <c r="S159" s="1">
        <f>(O159*41.35/0.31*60)/1000</f>
        <v>-5.0213684765378118E-3</v>
      </c>
    </row>
    <row r="160" spans="1:19" x14ac:dyDescent="0.3">
      <c r="A160" s="1">
        <v>160</v>
      </c>
      <c r="C160" s="1" t="s">
        <v>15</v>
      </c>
      <c r="D160" s="6">
        <v>13</v>
      </c>
      <c r="E160" s="1">
        <v>154</v>
      </c>
      <c r="F160" s="1">
        <v>15</v>
      </c>
      <c r="G160" s="1">
        <v>0.43518981855270128</v>
      </c>
      <c r="H160" s="1">
        <v>1.7942542125809715</v>
      </c>
      <c r="I160" s="1">
        <v>776.02641013425762</v>
      </c>
      <c r="K160" s="1">
        <f t="shared" si="6"/>
        <v>0.51931295284647894</v>
      </c>
      <c r="L160" s="1">
        <f t="shared" si="7"/>
        <v>0.91760890164938469</v>
      </c>
      <c r="M160" s="1">
        <f t="shared" si="8"/>
        <v>396.38831203412138</v>
      </c>
      <c r="N160"/>
      <c r="P160" s="1"/>
    </row>
    <row r="161" spans="1:19" x14ac:dyDescent="0.3">
      <c r="A161" s="1">
        <v>161</v>
      </c>
      <c r="C161" s="1" t="s">
        <v>15</v>
      </c>
      <c r="D161" s="6">
        <v>13</v>
      </c>
      <c r="E161" s="1">
        <v>155</v>
      </c>
      <c r="F161" s="1">
        <v>30</v>
      </c>
      <c r="G161" s="1">
        <v>0.41301755754191599</v>
      </c>
      <c r="H161" s="1">
        <v>1.7955974539844941</v>
      </c>
      <c r="I161" s="1">
        <v>533.26291905589665</v>
      </c>
      <c r="K161" s="1">
        <f t="shared" si="6"/>
        <v>0.4928547457701124</v>
      </c>
      <c r="L161" s="1">
        <f t="shared" si="7"/>
        <v>0.9182958557388855</v>
      </c>
      <c r="M161" s="1">
        <f t="shared" si="8"/>
        <v>272.38659096458485</v>
      </c>
      <c r="N161"/>
      <c r="P161" s="1"/>
    </row>
    <row r="162" spans="1:19" x14ac:dyDescent="0.3">
      <c r="A162" s="1">
        <v>162</v>
      </c>
      <c r="C162" s="1" t="s">
        <v>15</v>
      </c>
      <c r="D162" s="6">
        <v>13</v>
      </c>
      <c r="E162" s="1">
        <v>156</v>
      </c>
      <c r="F162" s="1">
        <v>45</v>
      </c>
      <c r="G162" s="1">
        <v>0.44666997124806179</v>
      </c>
      <c r="H162" s="1">
        <v>1.8170893164408553</v>
      </c>
      <c r="I162" s="1">
        <v>605.05606827091663</v>
      </c>
      <c r="K162" s="1">
        <f t="shared" si="6"/>
        <v>0.53301224391717339</v>
      </c>
      <c r="L162" s="1">
        <f t="shared" si="7"/>
        <v>0.92928712117089651</v>
      </c>
      <c r="M162" s="1">
        <f t="shared" si="8"/>
        <v>309.05797851186196</v>
      </c>
      <c r="N162"/>
      <c r="P162" s="1"/>
    </row>
    <row r="163" spans="1:19" x14ac:dyDescent="0.3">
      <c r="A163" s="1">
        <v>163</v>
      </c>
      <c r="C163" s="1" t="s">
        <v>15</v>
      </c>
      <c r="D163" s="6">
        <v>13</v>
      </c>
      <c r="E163" s="1">
        <v>157</v>
      </c>
      <c r="F163" s="1">
        <v>0</v>
      </c>
      <c r="G163" s="1">
        <v>0.4178528421941145</v>
      </c>
      <c r="H163" s="1">
        <v>1.8076866266161971</v>
      </c>
      <c r="I163" s="1">
        <v>516.06909515650295</v>
      </c>
      <c r="K163" s="1">
        <f t="shared" si="6"/>
        <v>0.49862470141598975</v>
      </c>
      <c r="L163" s="1">
        <f t="shared" si="7"/>
        <v>0.92447844254439149</v>
      </c>
      <c r="M163" s="1">
        <f t="shared" si="8"/>
        <v>263.60411817256545</v>
      </c>
      <c r="N163" s="1">
        <f>SLOPE(K163:K166,F163:F166)</f>
        <v>1.7819913989359736E-3</v>
      </c>
      <c r="O163" s="1">
        <f>SLOPE(L163:L166,F163:F166)</f>
        <v>6.5031653806064092E-4</v>
      </c>
      <c r="P163" s="1">
        <f>SLOPE(M163:M166,F163:F166)</f>
        <v>0.25788963986049779</v>
      </c>
      <c r="Q163" s="1">
        <f>(N163*41.35/0.31*60)/1000</f>
        <v>1.4261679550839193E-2</v>
      </c>
      <c r="R163" s="1">
        <f>O163*41.35/0.31*60/1000</f>
        <v>5.2046300997691938E-3</v>
      </c>
      <c r="S163" s="1">
        <f>(O163*41.35/0.31*60)/1000</f>
        <v>5.2046300997691938E-3</v>
      </c>
    </row>
    <row r="164" spans="1:19" x14ac:dyDescent="0.3">
      <c r="A164" s="1">
        <v>164</v>
      </c>
      <c r="C164" s="1" t="s">
        <v>15</v>
      </c>
      <c r="D164" s="6">
        <v>13</v>
      </c>
      <c r="E164" s="1">
        <v>158</v>
      </c>
      <c r="F164" s="1">
        <v>15</v>
      </c>
      <c r="G164" s="1">
        <v>0.4190203153495749</v>
      </c>
      <c r="H164" s="1">
        <v>1.9218621459156138</v>
      </c>
      <c r="I164" s="1">
        <v>484.37170502326751</v>
      </c>
      <c r="K164" s="1">
        <f t="shared" si="6"/>
        <v>0.50001784966046703</v>
      </c>
      <c r="L164" s="1">
        <f t="shared" si="7"/>
        <v>0.98286954015194861</v>
      </c>
      <c r="M164" s="1">
        <f t="shared" si="8"/>
        <v>247.41333547919487</v>
      </c>
      <c r="N164"/>
      <c r="P164" s="1"/>
    </row>
    <row r="165" spans="1:19" x14ac:dyDescent="0.3">
      <c r="A165" s="1">
        <v>165</v>
      </c>
      <c r="C165" s="1" t="s">
        <v>15</v>
      </c>
      <c r="D165" s="6">
        <v>13</v>
      </c>
      <c r="E165" s="1">
        <v>159</v>
      </c>
      <c r="F165" s="1">
        <v>30</v>
      </c>
      <c r="G165" s="1">
        <v>0.44332321486907528</v>
      </c>
      <c r="H165" s="1">
        <v>1.838581178897216</v>
      </c>
      <c r="I165" s="1">
        <v>491.96696753217401</v>
      </c>
      <c r="K165" s="1">
        <f t="shared" si="6"/>
        <v>0.52901855228300476</v>
      </c>
      <c r="L165" s="1">
        <f t="shared" si="7"/>
        <v>0.94027838660290719</v>
      </c>
      <c r="M165" s="1">
        <f t="shared" si="8"/>
        <v>251.29293705723993</v>
      </c>
      <c r="N165"/>
      <c r="P165" s="1"/>
    </row>
    <row r="166" spans="1:19" x14ac:dyDescent="0.3">
      <c r="A166" s="1">
        <v>166</v>
      </c>
      <c r="C166" s="1" t="s">
        <v>15</v>
      </c>
      <c r="D166" s="6">
        <v>13</v>
      </c>
      <c r="E166" s="1">
        <v>160</v>
      </c>
      <c r="F166" s="1">
        <v>45</v>
      </c>
      <c r="G166" s="1">
        <v>0.48441826994128107</v>
      </c>
      <c r="H166" s="1">
        <v>1.8990270420557307</v>
      </c>
      <c r="I166" s="1">
        <v>538.78142177279778</v>
      </c>
      <c r="K166" s="1">
        <f t="shared" si="6"/>
        <v>0.57805737048860917</v>
      </c>
      <c r="L166" s="1">
        <f t="shared" si="7"/>
        <v>0.97119132063043734</v>
      </c>
      <c r="M166" s="1">
        <f t="shared" si="8"/>
        <v>275.20539963957532</v>
      </c>
      <c r="N166"/>
      <c r="P166" s="1"/>
    </row>
    <row r="167" spans="1:19" x14ac:dyDescent="0.3">
      <c r="A167" s="1">
        <v>167</v>
      </c>
      <c r="C167" s="1" t="s">
        <v>15</v>
      </c>
      <c r="D167" s="6">
        <v>13</v>
      </c>
      <c r="E167" s="1">
        <v>161</v>
      </c>
      <c r="F167" s="1">
        <v>0</v>
      </c>
      <c r="G167" s="1">
        <v>0.45444339667483552</v>
      </c>
      <c r="H167" s="1">
        <v>1.8063433852126747</v>
      </c>
      <c r="I167" s="1">
        <v>489.32038932687476</v>
      </c>
      <c r="K167" s="1">
        <f t="shared" si="6"/>
        <v>0.54228828931165196</v>
      </c>
      <c r="L167" s="1">
        <f t="shared" si="7"/>
        <v>0.92379148845489101</v>
      </c>
      <c r="M167" s="1">
        <f t="shared" si="8"/>
        <v>249.94108529837604</v>
      </c>
      <c r="N167" s="1">
        <f>SLOPE(K167:K170,F167:F170)</f>
        <v>4.5927453792938313E-4</v>
      </c>
      <c r="O167" s="1">
        <f>SLOPE(L167:L170,F167:F170)</f>
        <v>2.015065329201926E-4</v>
      </c>
      <c r="P167" s="1">
        <f>SLOPE(M167:M170,F167:F170)</f>
        <v>17.956134095005783</v>
      </c>
      <c r="Q167" s="1">
        <f>(N167*41.35/0.31*60)/1000</f>
        <v>3.675677834202579E-3</v>
      </c>
      <c r="R167" s="1">
        <f>O167*41.35/0.31*60/1000</f>
        <v>1.6127022844354771E-3</v>
      </c>
      <c r="S167" s="1">
        <f>(O167*41.35/0.31*60)/1000</f>
        <v>1.6127022844354771E-3</v>
      </c>
    </row>
    <row r="168" spans="1:19" x14ac:dyDescent="0.3">
      <c r="A168" s="1">
        <v>168</v>
      </c>
      <c r="C168" s="1" t="s">
        <v>15</v>
      </c>
      <c r="D168" s="6">
        <v>13</v>
      </c>
      <c r="E168" s="1">
        <v>162</v>
      </c>
      <c r="F168" s="1">
        <v>15</v>
      </c>
      <c r="G168" s="1">
        <v>0.42912868708726937</v>
      </c>
      <c r="H168" s="1">
        <v>1.8170893164408553</v>
      </c>
      <c r="I168" s="1">
        <v>489.68471573398091</v>
      </c>
      <c r="K168" s="1">
        <f t="shared" si="6"/>
        <v>0.5120801915439005</v>
      </c>
      <c r="L168" s="1">
        <f t="shared" si="7"/>
        <v>0.92928712117089651</v>
      </c>
      <c r="M168" s="1">
        <f t="shared" si="8"/>
        <v>250.12718042047021</v>
      </c>
      <c r="N168"/>
      <c r="P168" s="1"/>
    </row>
    <row r="169" spans="1:19" x14ac:dyDescent="0.3">
      <c r="A169" s="1">
        <v>169</v>
      </c>
      <c r="C169" s="1" t="s">
        <v>15</v>
      </c>
      <c r="D169" s="6">
        <v>13</v>
      </c>
      <c r="E169" s="1">
        <v>163</v>
      </c>
      <c r="F169" s="1">
        <v>30</v>
      </c>
      <c r="G169" s="1">
        <v>0.47985539569202335</v>
      </c>
      <c r="H169" s="1">
        <v>1.8479838687218735</v>
      </c>
      <c r="I169" s="1">
        <v>537.02332349763469</v>
      </c>
      <c r="K169" s="1">
        <f t="shared" si="6"/>
        <v>0.57261248276644328</v>
      </c>
      <c r="L169" s="1">
        <f t="shared" si="7"/>
        <v>0.94508706522941166</v>
      </c>
      <c r="M169" s="1">
        <f t="shared" si="8"/>
        <v>274.30737658445605</v>
      </c>
      <c r="N169"/>
      <c r="P169" s="1"/>
    </row>
    <row r="170" spans="1:19" x14ac:dyDescent="0.3">
      <c r="A170" s="1">
        <v>170</v>
      </c>
      <c r="C170" s="1" t="s">
        <v>15</v>
      </c>
      <c r="D170" s="6">
        <v>13</v>
      </c>
      <c r="E170" s="1">
        <v>164</v>
      </c>
      <c r="F170" s="1">
        <v>45</v>
      </c>
      <c r="G170" s="1">
        <v>0.45677834298575631</v>
      </c>
      <c r="H170" s="1">
        <v>1.8157460750373322</v>
      </c>
      <c r="I170" s="1">
        <v>2231.2155701663773</v>
      </c>
      <c r="K170" s="1">
        <f t="shared" si="6"/>
        <v>0.54507458580060686</v>
      </c>
      <c r="L170" s="1">
        <f t="shared" si="7"/>
        <v>0.92860016708139559</v>
      </c>
      <c r="M170" s="1">
        <f t="shared" si="8"/>
        <v>1139.68772466067</v>
      </c>
      <c r="N170"/>
      <c r="P170" s="1"/>
    </row>
    <row r="171" spans="1:19" x14ac:dyDescent="0.3">
      <c r="A171" s="1">
        <v>171</v>
      </c>
      <c r="C171" s="1" t="s">
        <v>15</v>
      </c>
      <c r="D171" s="6">
        <v>13</v>
      </c>
      <c r="E171" s="1">
        <v>165</v>
      </c>
      <c r="F171" s="1">
        <v>0</v>
      </c>
      <c r="G171" s="1">
        <v>0.47184847563415755</v>
      </c>
      <c r="H171" s="1">
        <v>1.861416282757099</v>
      </c>
      <c r="I171" s="1">
        <v>503.42885498843265</v>
      </c>
      <c r="K171" s="1">
        <f t="shared" si="6"/>
        <v>0.56305780772306924</v>
      </c>
      <c r="L171" s="1">
        <f t="shared" si="7"/>
        <v>0.95195660612441846</v>
      </c>
      <c r="M171" s="1">
        <f t="shared" si="8"/>
        <v>257.14758087113461</v>
      </c>
      <c r="N171" s="1">
        <f>SLOPE(K171:K174,F171:F174)</f>
        <v>3.2150765597550369E-4</v>
      </c>
      <c r="O171" s="1">
        <f>SLOPE(L171:L174,F171:F174)</f>
        <v>-9.4341694958091833E-4</v>
      </c>
      <c r="P171" s="1">
        <f>SLOPE(M171:M174,F171:F174)</f>
        <v>0.59532860602653803</v>
      </c>
      <c r="Q171" s="1">
        <f>(N171*41.35/0.31*60)/1000</f>
        <v>2.5730983692749186E-3</v>
      </c>
      <c r="R171" s="1">
        <f>O171*41.35/0.31*60/1000</f>
        <v>-7.5503788771298661E-3</v>
      </c>
      <c r="S171" s="1">
        <f>(O171*41.35/0.31*60)/1000</f>
        <v>-7.5503788771298661E-3</v>
      </c>
    </row>
    <row r="172" spans="1:19" x14ac:dyDescent="0.3">
      <c r="A172" s="1">
        <v>172</v>
      </c>
      <c r="C172" s="1" t="s">
        <v>15</v>
      </c>
      <c r="D172" s="6">
        <v>13</v>
      </c>
      <c r="E172" s="1">
        <v>166</v>
      </c>
      <c r="F172" s="1">
        <v>15</v>
      </c>
      <c r="G172" s="1">
        <v>0.42554843607719084</v>
      </c>
      <c r="H172" s="1">
        <v>1.9433540083719745</v>
      </c>
      <c r="I172" s="1">
        <v>522.8781273808645</v>
      </c>
      <c r="K172" s="1">
        <f t="shared" si="6"/>
        <v>0.5078078702608364</v>
      </c>
      <c r="L172" s="1">
        <f t="shared" si="7"/>
        <v>0.99386080558395928</v>
      </c>
      <c r="M172" s="1">
        <f t="shared" si="8"/>
        <v>267.08211937813479</v>
      </c>
      <c r="N172"/>
      <c r="P172" s="1"/>
    </row>
    <row r="173" spans="1:19" x14ac:dyDescent="0.3">
      <c r="A173" s="1">
        <v>173</v>
      </c>
      <c r="C173" s="1" t="s">
        <v>15</v>
      </c>
      <c r="D173" s="6">
        <v>13</v>
      </c>
      <c r="E173" s="1">
        <v>167</v>
      </c>
      <c r="F173" s="1">
        <v>30</v>
      </c>
      <c r="G173" s="1">
        <v>0.42384587105881111</v>
      </c>
      <c r="H173" s="1">
        <v>1.8117163508267649</v>
      </c>
      <c r="I173" s="1">
        <v>513.75805462314338</v>
      </c>
      <c r="K173" s="1">
        <f t="shared" si="6"/>
        <v>0.50577619573764032</v>
      </c>
      <c r="L173" s="1">
        <f t="shared" si="7"/>
        <v>0.9265393048128937</v>
      </c>
      <c r="M173" s="1">
        <f t="shared" si="8"/>
        <v>262.42365647165201</v>
      </c>
      <c r="N173"/>
      <c r="P173" s="1"/>
    </row>
    <row r="174" spans="1:19" x14ac:dyDescent="0.3">
      <c r="A174" s="1">
        <v>174</v>
      </c>
      <c r="C174" s="1" t="s">
        <v>15</v>
      </c>
      <c r="D174" s="6">
        <v>13</v>
      </c>
      <c r="E174" s="1">
        <v>168</v>
      </c>
      <c r="F174" s="1">
        <v>45</v>
      </c>
      <c r="G174" s="1">
        <v>0.48588734032856867</v>
      </c>
      <c r="H174" s="1">
        <v>1.8130595922302875</v>
      </c>
      <c r="I174" s="1">
        <v>564.74389731788108</v>
      </c>
      <c r="K174" s="1">
        <f t="shared" si="6"/>
        <v>0.57981041536290978</v>
      </c>
      <c r="L174" s="1">
        <f t="shared" si="7"/>
        <v>0.92722625890239441</v>
      </c>
      <c r="M174" s="1">
        <f t="shared" si="8"/>
        <v>288.4668321412891</v>
      </c>
      <c r="N174"/>
      <c r="P174" s="1"/>
    </row>
    <row r="175" spans="1:19" x14ac:dyDescent="0.3">
      <c r="A175" s="1">
        <v>175</v>
      </c>
      <c r="C175" s="1" t="s">
        <v>15</v>
      </c>
      <c r="D175" s="6">
        <v>13</v>
      </c>
      <c r="E175" s="1">
        <v>169</v>
      </c>
      <c r="F175" s="1">
        <v>0</v>
      </c>
      <c r="G175" s="1">
        <v>0.40643106315652694</v>
      </c>
      <c r="H175" s="1">
        <v>1.8103731094232425</v>
      </c>
      <c r="I175" s="1">
        <v>445.01948948078126</v>
      </c>
      <c r="K175" s="1">
        <f t="shared" si="6"/>
        <v>0.48499506775751905</v>
      </c>
      <c r="L175" s="1">
        <f t="shared" si="7"/>
        <v>0.92585235072339311</v>
      </c>
      <c r="M175" s="1">
        <f t="shared" si="8"/>
        <v>227.31252693713722</v>
      </c>
      <c r="N175" s="1">
        <f>SLOPE(K175:K178,F175:F178)</f>
        <v>1.9055946070709998E-3</v>
      </c>
      <c r="O175" s="1">
        <f>SLOPE(L175:L178,F175:F178)</f>
        <v>9.9379358281096982E-4</v>
      </c>
      <c r="P175" s="1">
        <f>SLOPE(M175:M178,F175:F178)</f>
        <v>0.93822365806106078</v>
      </c>
      <c r="Q175" s="1">
        <f>(N175*41.35/0.31*60)/1000</f>
        <v>1.5250903935945647E-2</v>
      </c>
      <c r="R175" s="1">
        <f>O175*41.35/0.31*60/1000</f>
        <v>7.9535544482387636E-3</v>
      </c>
      <c r="S175" s="1">
        <f>(O175*41.35/0.31*60)/1000</f>
        <v>7.9535544482387636E-3</v>
      </c>
    </row>
    <row r="176" spans="1:19" x14ac:dyDescent="0.3">
      <c r="A176" s="1">
        <v>176</v>
      </c>
      <c r="C176" s="1" t="s">
        <v>15</v>
      </c>
      <c r="D176" s="6">
        <v>13</v>
      </c>
      <c r="E176" s="1">
        <v>170</v>
      </c>
      <c r="F176" s="1">
        <v>15</v>
      </c>
      <c r="G176" s="1">
        <v>0.40556518723289386</v>
      </c>
      <c r="H176" s="1">
        <v>1.7606731774929079</v>
      </c>
      <c r="I176" s="1">
        <v>434.49373227493425</v>
      </c>
      <c r="K176" s="1">
        <f t="shared" si="6"/>
        <v>0.4839618161428651</v>
      </c>
      <c r="L176" s="1">
        <f t="shared" si="7"/>
        <v>0.90043504941186803</v>
      </c>
      <c r="M176" s="1">
        <f t="shared" si="8"/>
        <v>221.93605124350091</v>
      </c>
      <c r="N176"/>
      <c r="P176" s="1"/>
    </row>
    <row r="177" spans="1:19" x14ac:dyDescent="0.3">
      <c r="A177" s="1">
        <v>177</v>
      </c>
      <c r="C177" s="1" t="s">
        <v>15</v>
      </c>
      <c r="D177" s="6">
        <v>13</v>
      </c>
      <c r="E177" s="1">
        <v>171</v>
      </c>
      <c r="F177" s="1">
        <v>30</v>
      </c>
      <c r="G177" s="1">
        <v>0.43734964389030295</v>
      </c>
      <c r="H177" s="1">
        <v>1.838581178897216</v>
      </c>
      <c r="I177" s="1">
        <v>475.74104076337562</v>
      </c>
      <c r="K177" s="1">
        <f t="shared" si="6"/>
        <v>0.52189027709876212</v>
      </c>
      <c r="L177" s="1">
        <f t="shared" si="7"/>
        <v>0.94027838660290719</v>
      </c>
      <c r="M177" s="1">
        <f t="shared" si="8"/>
        <v>243.00485866315472</v>
      </c>
      <c r="N177"/>
      <c r="P177" s="1"/>
    </row>
    <row r="178" spans="1:19" x14ac:dyDescent="0.3">
      <c r="A178" s="1">
        <v>178</v>
      </c>
      <c r="C178" s="1" t="s">
        <v>15</v>
      </c>
      <c r="D178" s="6">
        <v>13</v>
      </c>
      <c r="E178" s="1">
        <v>172</v>
      </c>
      <c r="F178" s="1">
        <v>45</v>
      </c>
      <c r="G178" s="1">
        <v>0.47568167916125248</v>
      </c>
      <c r="H178" s="1">
        <v>1.8815649038099374</v>
      </c>
      <c r="I178" s="1">
        <v>523.11042269220729</v>
      </c>
      <c r="K178" s="1">
        <f t="shared" si="6"/>
        <v>0.56763197779243668</v>
      </c>
      <c r="L178" s="1">
        <f t="shared" si="7"/>
        <v>0.96226091746692854</v>
      </c>
      <c r="M178" s="1">
        <f t="shared" si="8"/>
        <v>267.20077403363899</v>
      </c>
      <c r="N178"/>
      <c r="P178" s="1"/>
    </row>
    <row r="179" spans="1:19" x14ac:dyDescent="0.3">
      <c r="A179" s="1">
        <v>179</v>
      </c>
      <c r="C179" s="1" t="s">
        <v>15</v>
      </c>
      <c r="D179" s="6">
        <v>13</v>
      </c>
      <c r="E179" s="1">
        <v>173</v>
      </c>
      <c r="F179" s="1">
        <v>0</v>
      </c>
      <c r="G179" s="1">
        <v>0.47482553218058149</v>
      </c>
      <c r="H179" s="1">
        <v>1.7969406953880169</v>
      </c>
      <c r="I179" s="1">
        <v>492.00965427742079</v>
      </c>
      <c r="K179" s="1">
        <f t="shared" si="6"/>
        <v>0.56661033574648645</v>
      </c>
      <c r="L179" s="1">
        <f t="shared" si="7"/>
        <v>0.91898280982838632</v>
      </c>
      <c r="M179" s="1">
        <f t="shared" si="8"/>
        <v>251.31474111786679</v>
      </c>
      <c r="N179" s="1">
        <f>SLOPE(K179:K182,F179:F182)</f>
        <v>1.0460221402284456E-3</v>
      </c>
      <c r="O179" s="1">
        <f>SLOPE(L179:L182,F179:F182)</f>
        <v>-5.9536021090058635E-4</v>
      </c>
      <c r="P179" s="1">
        <f>SLOPE(M179:M182,F179:F182)</f>
        <v>58.067833937475712</v>
      </c>
      <c r="Q179" s="1">
        <f>(N179*41.35/0.31*60)/1000</f>
        <v>8.3715513867960445E-3</v>
      </c>
      <c r="R179" s="1">
        <f>O179*41.35/0.31*60/1000</f>
        <v>-4.7648022040140481E-3</v>
      </c>
      <c r="S179" s="1">
        <f>(O179*41.35/0.31*60)/1000</f>
        <v>-4.7648022040140481E-3</v>
      </c>
    </row>
    <row r="180" spans="1:19" x14ac:dyDescent="0.3">
      <c r="A180" s="1">
        <v>180</v>
      </c>
      <c r="C180" s="1" t="s">
        <v>15</v>
      </c>
      <c r="D180" s="6">
        <v>13</v>
      </c>
      <c r="E180" s="1">
        <v>174</v>
      </c>
      <c r="F180" s="1">
        <v>15</v>
      </c>
      <c r="G180" s="1">
        <v>0.49413748396048879</v>
      </c>
      <c r="H180" s="1">
        <v>1.8117163508267649</v>
      </c>
      <c r="I180" s="1">
        <v>507.82161888882621</v>
      </c>
      <c r="K180" s="1">
        <f t="shared" si="6"/>
        <v>0.58965532962388334</v>
      </c>
      <c r="L180" s="1">
        <f t="shared" si="7"/>
        <v>0.9265393048128937</v>
      </c>
      <c r="M180" s="1">
        <f t="shared" si="8"/>
        <v>259.39137083098944</v>
      </c>
      <c r="N180"/>
      <c r="P180" s="1"/>
    </row>
    <row r="181" spans="1:19" x14ac:dyDescent="0.3">
      <c r="A181" s="1">
        <v>181</v>
      </c>
      <c r="C181" s="1" t="s">
        <v>15</v>
      </c>
      <c r="D181" s="6">
        <v>13</v>
      </c>
      <c r="E181" s="1">
        <v>175</v>
      </c>
      <c r="F181" s="1">
        <v>30</v>
      </c>
      <c r="G181" s="1">
        <v>0.4613898619498249</v>
      </c>
      <c r="H181" s="1">
        <v>1.6048571746842921</v>
      </c>
      <c r="I181" s="1">
        <v>561.8362350660725</v>
      </c>
      <c r="K181" s="1">
        <f t="shared" si="6"/>
        <v>0.55057752136629257</v>
      </c>
      <c r="L181" s="1">
        <f t="shared" si="7"/>
        <v>0.82074837502979026</v>
      </c>
      <c r="M181" s="1">
        <f t="shared" si="8"/>
        <v>286.98162066277729</v>
      </c>
      <c r="N181"/>
      <c r="P181" s="1"/>
    </row>
    <row r="182" spans="1:19" x14ac:dyDescent="0.3">
      <c r="A182" s="1">
        <v>182</v>
      </c>
      <c r="C182" s="1" t="s">
        <v>15</v>
      </c>
      <c r="D182" s="6">
        <v>13</v>
      </c>
      <c r="E182" s="1">
        <v>176</v>
      </c>
      <c r="F182" s="1">
        <v>45</v>
      </c>
      <c r="G182" s="1">
        <v>0.5295702942287116</v>
      </c>
      <c r="H182" s="1">
        <v>1.8076866266161971</v>
      </c>
      <c r="I182" s="1">
        <v>6158.0993110818063</v>
      </c>
      <c r="K182" s="1">
        <f t="shared" si="6"/>
        <v>0.63193737884377232</v>
      </c>
      <c r="L182" s="1">
        <f t="shared" si="7"/>
        <v>0.92447844254439149</v>
      </c>
      <c r="M182" s="1">
        <f t="shared" si="8"/>
        <v>3145.5096880477231</v>
      </c>
      <c r="N182"/>
      <c r="P182" s="1"/>
    </row>
    <row r="183" spans="1:19" x14ac:dyDescent="0.3">
      <c r="A183" s="1">
        <v>183</v>
      </c>
      <c r="C183" s="1" t="s">
        <v>15</v>
      </c>
      <c r="D183" s="6">
        <v>13</v>
      </c>
      <c r="E183" s="1">
        <v>177</v>
      </c>
      <c r="F183" s="1">
        <v>0</v>
      </c>
      <c r="G183" s="1">
        <v>0.42024616216280825</v>
      </c>
      <c r="H183" s="1">
        <v>1.7593299360893853</v>
      </c>
      <c r="I183" s="1">
        <v>472.47798653951264</v>
      </c>
      <c r="K183" s="1">
        <f t="shared" si="6"/>
        <v>0.50148065531716834</v>
      </c>
      <c r="L183" s="1">
        <f t="shared" si="7"/>
        <v>0.89974809532236744</v>
      </c>
      <c r="M183" s="1">
        <f t="shared" si="8"/>
        <v>241.33811570314506</v>
      </c>
      <c r="N183" s="1">
        <f>SLOPE(K183:K186,F183:F186)</f>
        <v>1.061965947915237E-3</v>
      </c>
      <c r="O183" s="1">
        <f>SLOPE(L183:L186,F183:F186)</f>
        <v>2.7752945215827121E-3</v>
      </c>
      <c r="P183" s="1">
        <f>SLOPE(M183:M186,F183:F186)</f>
        <v>2.8947814592583456</v>
      </c>
      <c r="Q183" s="1">
        <f>(N183*41.35/0.31*60)/1000</f>
        <v>8.4991532799280727E-3</v>
      </c>
      <c r="R183" s="1">
        <f>O183*41.35/0.31*60/1000</f>
        <v>2.2211308735634545E-2</v>
      </c>
      <c r="S183" s="1">
        <f>(O183*41.35/0.31*60)/1000</f>
        <v>2.2211308735634545E-2</v>
      </c>
    </row>
    <row r="184" spans="1:19" x14ac:dyDescent="0.3">
      <c r="A184" s="1">
        <v>184</v>
      </c>
      <c r="C184" s="1" t="s">
        <v>15</v>
      </c>
      <c r="D184" s="6">
        <v>13</v>
      </c>
      <c r="E184" s="1">
        <v>178</v>
      </c>
      <c r="F184" s="1">
        <v>15</v>
      </c>
      <c r="G184" s="1">
        <v>0.4420681812269554</v>
      </c>
      <c r="H184" s="1">
        <v>1.8090298680197194</v>
      </c>
      <c r="I184" s="1">
        <v>559.22936546100277</v>
      </c>
      <c r="K184" s="1">
        <f t="shared" si="6"/>
        <v>0.52752091792019162</v>
      </c>
      <c r="L184" s="1">
        <f t="shared" si="7"/>
        <v>0.92516539663389219</v>
      </c>
      <c r="M184" s="1">
        <f t="shared" si="8"/>
        <v>285.65005175100805</v>
      </c>
      <c r="N184"/>
      <c r="P184" s="1"/>
    </row>
    <row r="185" spans="1:19" x14ac:dyDescent="0.3">
      <c r="A185" s="1">
        <v>185</v>
      </c>
      <c r="C185" s="1" t="s">
        <v>15</v>
      </c>
      <c r="D185" s="6">
        <v>13</v>
      </c>
      <c r="E185" s="1">
        <v>179</v>
      </c>
      <c r="F185" s="1">
        <v>30</v>
      </c>
      <c r="G185" s="1">
        <v>0.42801958758958203</v>
      </c>
      <c r="H185" s="1">
        <v>1.8251487648619904</v>
      </c>
      <c r="I185" s="1">
        <v>544.58086283632304</v>
      </c>
      <c r="K185" s="1">
        <f t="shared" si="6"/>
        <v>0.51075670071164692</v>
      </c>
      <c r="L185" s="1">
        <f t="shared" si="7"/>
        <v>0.93340884570790039</v>
      </c>
      <c r="M185" s="1">
        <f t="shared" si="8"/>
        <v>278.16770945776108</v>
      </c>
      <c r="N185"/>
      <c r="P185" s="1"/>
    </row>
    <row r="186" spans="1:19" x14ac:dyDescent="0.3">
      <c r="A186" s="1">
        <v>186</v>
      </c>
      <c r="C186" s="1" t="s">
        <v>15</v>
      </c>
      <c r="D186" s="6">
        <v>13</v>
      </c>
      <c r="E186" s="1">
        <v>180</v>
      </c>
      <c r="F186" s="1">
        <v>45</v>
      </c>
      <c r="G186" s="1">
        <v>0.46942596883657717</v>
      </c>
      <c r="H186" s="1">
        <v>2.0252917339868506</v>
      </c>
      <c r="I186" s="1">
        <v>760.72271560579031</v>
      </c>
      <c r="K186" s="1">
        <f t="shared" si="6"/>
        <v>0.56016702511577843</v>
      </c>
      <c r="L186" s="1">
        <f t="shared" si="7"/>
        <v>1.0357650050435003</v>
      </c>
      <c r="M186" s="1">
        <f t="shared" si="8"/>
        <v>388.57130276381133</v>
      </c>
      <c r="N186"/>
      <c r="P186" s="1"/>
    </row>
    <row r="187" spans="1:19" x14ac:dyDescent="0.3">
      <c r="A187" s="1">
        <v>187</v>
      </c>
      <c r="C187" s="1" t="s">
        <v>15</v>
      </c>
      <c r="D187" s="6">
        <v>13</v>
      </c>
      <c r="E187" s="1">
        <v>181</v>
      </c>
      <c r="F187" s="1">
        <v>0</v>
      </c>
      <c r="G187" s="1">
        <v>0.41817389731186605</v>
      </c>
      <c r="H187" s="1">
        <v>1.9930539403023091</v>
      </c>
      <c r="I187" s="1">
        <v>495.68567794367112</v>
      </c>
      <c r="K187" s="1">
        <f t="shared" si="6"/>
        <v>0.4990078171832209</v>
      </c>
      <c r="L187" s="1">
        <f t="shared" si="7"/>
        <v>1.0192781068954844</v>
      </c>
      <c r="M187" s="1">
        <f t="shared" si="8"/>
        <v>253.19242568766171</v>
      </c>
      <c r="N187" s="1">
        <f>SLOPE(K187:K190,F187:F190)</f>
        <v>5.0532582712182819E-3</v>
      </c>
      <c r="O187" s="1">
        <f>SLOPE(L187:L190,F187:F190)</f>
        <v>-1.4792411393914488E-3</v>
      </c>
      <c r="P187" s="1">
        <f>SLOPE(M187:M190,F187:F190)</f>
        <v>12.507880785975715</v>
      </c>
      <c r="Q187" s="1">
        <f>(N187*41.35/0.31*60)/1000</f>
        <v>4.0442367002879218E-2</v>
      </c>
      <c r="R187" s="1">
        <f>O187*41.35/0.31*60/1000</f>
        <v>-1.183870086074253E-2</v>
      </c>
      <c r="S187" s="1">
        <f>(O187*41.35/0.31*60)/1000</f>
        <v>-1.183870086074253E-2</v>
      </c>
    </row>
    <row r="188" spans="1:19" x14ac:dyDescent="0.3">
      <c r="A188" s="1">
        <v>188</v>
      </c>
      <c r="C188" s="1" t="s">
        <v>15</v>
      </c>
      <c r="D188" s="6">
        <v>13</v>
      </c>
      <c r="E188" s="1">
        <v>182</v>
      </c>
      <c r="F188" s="1">
        <v>15</v>
      </c>
      <c r="G188" s="1">
        <v>0.4655149337657849</v>
      </c>
      <c r="H188" s="1">
        <v>1.954099939600155</v>
      </c>
      <c r="I188" s="1">
        <v>532.82016816333714</v>
      </c>
      <c r="K188" s="1">
        <f t="shared" si="6"/>
        <v>0.55549997849677935</v>
      </c>
      <c r="L188" s="1">
        <f t="shared" si="7"/>
        <v>0.99935643829996468</v>
      </c>
      <c r="M188" s="1">
        <f t="shared" si="8"/>
        <v>272.16043721947852</v>
      </c>
      <c r="N188"/>
      <c r="P188" s="1"/>
    </row>
    <row r="189" spans="1:19" x14ac:dyDescent="0.3">
      <c r="A189" s="1">
        <v>189</v>
      </c>
      <c r="C189" s="1" t="s">
        <v>15</v>
      </c>
      <c r="D189" s="6">
        <v>13</v>
      </c>
      <c r="E189" s="1">
        <v>183</v>
      </c>
      <c r="F189" s="1">
        <v>30</v>
      </c>
      <c r="G189" s="1">
        <v>0.49482823891080291</v>
      </c>
      <c r="H189" s="1">
        <v>1.9352945599508393</v>
      </c>
      <c r="I189" s="1">
        <v>600.8132043363895</v>
      </c>
      <c r="K189" s="1">
        <f t="shared" si="6"/>
        <v>0.59047960900186591</v>
      </c>
      <c r="L189" s="1">
        <f t="shared" si="7"/>
        <v>0.98973908104695529</v>
      </c>
      <c r="M189" s="1">
        <f t="shared" si="8"/>
        <v>306.8907562997897</v>
      </c>
      <c r="N189"/>
      <c r="P189" s="1"/>
    </row>
    <row r="190" spans="1:19" x14ac:dyDescent="0.3">
      <c r="A190" s="1">
        <v>190</v>
      </c>
      <c r="C190" s="1" t="s">
        <v>15</v>
      </c>
      <c r="D190" s="6">
        <v>13</v>
      </c>
      <c r="E190" s="1">
        <v>184</v>
      </c>
      <c r="F190" s="1">
        <v>45</v>
      </c>
      <c r="G190" s="1">
        <v>0.62013702426355144</v>
      </c>
      <c r="H190" s="1">
        <v>1.8547000757394863</v>
      </c>
      <c r="I190" s="1">
        <v>1697.3820831154064</v>
      </c>
      <c r="K190" s="1">
        <f t="shared" si="6"/>
        <v>0.74001085390910615</v>
      </c>
      <c r="L190" s="1">
        <f t="shared" si="7"/>
        <v>0.94852183567691506</v>
      </c>
      <c r="M190" s="1">
        <f t="shared" si="8"/>
        <v>867.00969195967707</v>
      </c>
      <c r="N190"/>
      <c r="P190" s="1"/>
    </row>
    <row r="191" spans="1:19" x14ac:dyDescent="0.3">
      <c r="A191" s="1">
        <v>191</v>
      </c>
      <c r="C191" s="1" t="s">
        <v>15</v>
      </c>
      <c r="D191" s="6">
        <v>13</v>
      </c>
      <c r="E191" s="1">
        <v>185</v>
      </c>
      <c r="F191" s="1">
        <v>0</v>
      </c>
      <c r="G191" s="1">
        <v>0.40524413211514221</v>
      </c>
      <c r="H191" s="1">
        <v>1.784851522756314</v>
      </c>
      <c r="I191" s="1">
        <v>470.18580759126206</v>
      </c>
      <c r="K191" s="1">
        <f t="shared" si="6"/>
        <v>0.48357870037563377</v>
      </c>
      <c r="L191" s="1">
        <f t="shared" si="7"/>
        <v>0.91280022302288022</v>
      </c>
      <c r="M191" s="1">
        <f t="shared" si="8"/>
        <v>240.16728835460157</v>
      </c>
      <c r="N191" s="1">
        <f>SLOPE(K191:K194,F191:F194)</f>
        <v>2.0390272500420523E-3</v>
      </c>
      <c r="O191" s="1">
        <f>SLOPE(L191:L194,F191:F194)</f>
        <v>1.0166920524609939E-3</v>
      </c>
      <c r="P191" s="1">
        <f>SLOPE(M191:M194,F191:F194)</f>
        <v>2.4244188546569734</v>
      </c>
      <c r="Q191" s="1">
        <f>(N191*41.35/0.31*60)/1000</f>
        <v>1.631879550759462E-2</v>
      </c>
      <c r="R191" s="1">
        <f>O191*41.35/0.31*60/1000</f>
        <v>8.1368160714700832E-3</v>
      </c>
      <c r="S191" s="1">
        <f>(O191*41.35/0.31*60)/1000</f>
        <v>8.1368160714700832E-3</v>
      </c>
    </row>
    <row r="192" spans="1:19" x14ac:dyDescent="0.3">
      <c r="A192" s="1">
        <v>192</v>
      </c>
      <c r="C192" s="1" t="s">
        <v>15</v>
      </c>
      <c r="D192" s="6">
        <v>13</v>
      </c>
      <c r="E192" s="1">
        <v>186</v>
      </c>
      <c r="F192" s="1">
        <v>15</v>
      </c>
      <c r="G192" s="1">
        <v>0.45252679491128806</v>
      </c>
      <c r="H192" s="1">
        <v>1.9245486287226592</v>
      </c>
      <c r="I192" s="1">
        <v>696.21113095786347</v>
      </c>
      <c r="K192" s="1">
        <f t="shared" si="6"/>
        <v>0.54000120427696829</v>
      </c>
      <c r="L192" s="1">
        <f t="shared" si="7"/>
        <v>0.98424344833095001</v>
      </c>
      <c r="M192" s="1">
        <f t="shared" si="8"/>
        <v>355.61928230253085</v>
      </c>
      <c r="N192"/>
      <c r="P192" s="1"/>
    </row>
    <row r="193" spans="1:19" x14ac:dyDescent="0.3">
      <c r="A193" s="1">
        <v>193</v>
      </c>
      <c r="C193" s="1" t="s">
        <v>15</v>
      </c>
      <c r="D193" s="6">
        <v>13</v>
      </c>
      <c r="E193" s="1">
        <v>187</v>
      </c>
      <c r="F193" s="1">
        <v>30</v>
      </c>
      <c r="G193" s="1">
        <v>0.47379426422659154</v>
      </c>
      <c r="H193" s="1">
        <v>1.8439541445113061</v>
      </c>
      <c r="I193" s="1">
        <v>663.01374845095677</v>
      </c>
      <c r="K193" s="1">
        <f t="shared" si="6"/>
        <v>0.56537972146386484</v>
      </c>
      <c r="L193" s="1">
        <f t="shared" si="7"/>
        <v>0.94302620296090978</v>
      </c>
      <c r="M193" s="1">
        <f t="shared" si="8"/>
        <v>338.66231506015669</v>
      </c>
      <c r="N193"/>
      <c r="P193" s="1"/>
    </row>
    <row r="194" spans="1:19" x14ac:dyDescent="0.3">
      <c r="A194" s="1">
        <v>194</v>
      </c>
      <c r="C194" s="1" t="s">
        <v>15</v>
      </c>
      <c r="D194" s="6">
        <v>13</v>
      </c>
      <c r="E194" s="1">
        <v>188</v>
      </c>
      <c r="F194" s="1">
        <v>45</v>
      </c>
      <c r="G194" s="1">
        <v>0.4835913097894966</v>
      </c>
      <c r="H194" s="1">
        <v>1.9111162146874336</v>
      </c>
      <c r="I194" s="1">
        <v>718.57104374712094</v>
      </c>
      <c r="K194" s="1">
        <f t="shared" si="6"/>
        <v>0.57707055714877087</v>
      </c>
      <c r="L194" s="1">
        <f t="shared" si="7"/>
        <v>0.97737390743594332</v>
      </c>
      <c r="M194" s="1">
        <f t="shared" si="8"/>
        <v>367.04055350157495</v>
      </c>
      <c r="N194"/>
      <c r="P194" s="1"/>
    </row>
    <row r="195" spans="1:19" x14ac:dyDescent="0.3">
      <c r="A195" s="1">
        <v>195</v>
      </c>
      <c r="C195" s="1" t="s">
        <v>15</v>
      </c>
      <c r="D195" s="6">
        <v>13</v>
      </c>
      <c r="E195" s="1">
        <v>189</v>
      </c>
      <c r="F195" s="1">
        <v>0</v>
      </c>
      <c r="G195" s="1">
        <v>0.41396126500924652</v>
      </c>
      <c r="H195" s="1">
        <v>1.7593299360893853</v>
      </c>
      <c r="I195" s="1">
        <v>521.00884502505858</v>
      </c>
      <c r="K195" s="1">
        <f t="shared" ref="K195:K258" si="9">(G195*28*1)/(0.082*(D195+273.15))</f>
        <v>0.49398087393439832</v>
      </c>
      <c r="L195" s="1">
        <f t="shared" ref="L195:L258" si="10">(H195*12*1)/(0.082*(D195+273.15))</f>
        <v>0.89974809532236744</v>
      </c>
      <c r="M195" s="1">
        <f t="shared" ref="M195:M258" si="11">(I195*12*1)/(0.0821*(D195+273.15))</f>
        <v>266.1273043511502</v>
      </c>
      <c r="N195" s="1">
        <f>SLOPE(K195:K198,F195:F198)</f>
        <v>2.4892463243823327E-3</v>
      </c>
      <c r="O195" s="1">
        <f>SLOPE(L195:L198,F195:F198)</f>
        <v>5.7704143518056241E-4</v>
      </c>
      <c r="P195" s="1">
        <f>SLOPE(M195:M198,F195:F198)</f>
        <v>0.83845909415110265</v>
      </c>
      <c r="Q195" s="1">
        <f>(N195*41.35/0.31*60)/1000</f>
        <v>1.9922000421911508E-2</v>
      </c>
      <c r="R195" s="1">
        <f>O195*41.35/0.31*60/1000</f>
        <v>4.6181929054289524E-3</v>
      </c>
      <c r="S195" s="1">
        <f>(O195*41.35/0.31*60)/1000</f>
        <v>4.6181929054289524E-3</v>
      </c>
    </row>
    <row r="196" spans="1:19" x14ac:dyDescent="0.3">
      <c r="A196" s="1">
        <v>196</v>
      </c>
      <c r="C196" s="1" t="s">
        <v>15</v>
      </c>
      <c r="D196" s="6">
        <v>13</v>
      </c>
      <c r="E196" s="1">
        <v>190</v>
      </c>
      <c r="F196" s="1">
        <v>15</v>
      </c>
      <c r="G196" s="1">
        <v>0.39289810349614862</v>
      </c>
      <c r="H196" s="1">
        <v>1.8963405592486853</v>
      </c>
      <c r="I196" s="1">
        <v>475.15831705500705</v>
      </c>
      <c r="K196" s="1">
        <f t="shared" si="9"/>
        <v>0.46884615769028531</v>
      </c>
      <c r="L196" s="1">
        <f t="shared" si="10"/>
        <v>0.96981741245143582</v>
      </c>
      <c r="M196" s="1">
        <f t="shared" si="11"/>
        <v>242.70720788203951</v>
      </c>
      <c r="N196"/>
      <c r="P196" s="1"/>
    </row>
    <row r="197" spans="1:19" x14ac:dyDescent="0.3">
      <c r="A197" s="1">
        <v>197</v>
      </c>
      <c r="C197" s="1" t="s">
        <v>15</v>
      </c>
      <c r="D197" s="6">
        <v>13</v>
      </c>
      <c r="E197" s="1">
        <v>191</v>
      </c>
      <c r="F197" s="1">
        <v>30</v>
      </c>
      <c r="G197" s="1">
        <v>0.4851479406634438</v>
      </c>
      <c r="H197" s="1">
        <v>1.9164891803015236</v>
      </c>
      <c r="I197" s="1">
        <v>523.13524056735082</v>
      </c>
      <c r="K197" s="1">
        <f t="shared" si="9"/>
        <v>0.5789280881414075</v>
      </c>
      <c r="L197" s="1">
        <f t="shared" si="10"/>
        <v>0.98012172379394591</v>
      </c>
      <c r="M197" s="1">
        <f t="shared" si="11"/>
        <v>267.21345081307322</v>
      </c>
      <c r="N197"/>
      <c r="P197" s="1"/>
    </row>
    <row r="198" spans="1:19" x14ac:dyDescent="0.3">
      <c r="A198" s="1">
        <v>198</v>
      </c>
      <c r="C198" s="1" t="s">
        <v>15</v>
      </c>
      <c r="D198" s="6">
        <v>13</v>
      </c>
      <c r="E198" s="1">
        <v>192</v>
      </c>
      <c r="F198" s="1">
        <v>45</v>
      </c>
      <c r="G198" s="1">
        <v>0.48751207380325112</v>
      </c>
      <c r="H198" s="1">
        <v>1.8090298680197194</v>
      </c>
      <c r="I198" s="1">
        <v>587.09090481206408</v>
      </c>
      <c r="K198" s="1">
        <f t="shared" si="9"/>
        <v>0.58174921333647422</v>
      </c>
      <c r="L198" s="1">
        <f t="shared" si="10"/>
        <v>0.92516539663389219</v>
      </c>
      <c r="M198" s="1">
        <f t="shared" si="11"/>
        <v>299.88151141502743</v>
      </c>
      <c r="N198"/>
      <c r="P198" s="1"/>
    </row>
    <row r="199" spans="1:19" x14ac:dyDescent="0.3">
      <c r="A199" s="1">
        <v>199</v>
      </c>
      <c r="C199" s="1" t="s">
        <v>15</v>
      </c>
      <c r="D199" s="6">
        <v>13</v>
      </c>
      <c r="E199" s="1">
        <v>193</v>
      </c>
      <c r="F199" s="1">
        <v>0</v>
      </c>
      <c r="G199" s="1">
        <v>0.4623530273030797</v>
      </c>
      <c r="H199" s="1">
        <v>1.8990270420557307</v>
      </c>
      <c r="I199" s="1">
        <v>522.74510357009547</v>
      </c>
      <c r="K199" s="1">
        <f t="shared" si="9"/>
        <v>0.55172686866798637</v>
      </c>
      <c r="L199" s="1">
        <f t="shared" si="10"/>
        <v>0.97119132063043734</v>
      </c>
      <c r="M199" s="1">
        <f t="shared" si="11"/>
        <v>267.0141718403674</v>
      </c>
      <c r="N199" s="1">
        <f>SLOPE(K199:K202,F199:F202)</f>
        <v>2.6762377776410771E-3</v>
      </c>
      <c r="O199" s="1">
        <f>SLOPE(L199:L202,F199:F202)</f>
        <v>-4.3965061728043156E-4</v>
      </c>
      <c r="P199" s="1">
        <f>SLOPE(M199:M202,F199:F202)</f>
        <v>50.011216633486526</v>
      </c>
      <c r="Q199" s="1">
        <f>(N199*41.35/0.31*60)/1000</f>
        <v>2.1418535246217778E-2</v>
      </c>
      <c r="R199" s="1">
        <f>O199*41.35/0.31*60/1000</f>
        <v>-3.5186231660411316E-3</v>
      </c>
      <c r="S199" s="1">
        <f>(O199*41.35/0.31*60)/1000</f>
        <v>-3.5186231660411316E-3</v>
      </c>
    </row>
    <row r="200" spans="1:19" x14ac:dyDescent="0.3">
      <c r="A200" s="1">
        <v>200</v>
      </c>
      <c r="C200" s="1" t="s">
        <v>15</v>
      </c>
      <c r="D200" s="6">
        <v>13</v>
      </c>
      <c r="E200" s="1">
        <v>194</v>
      </c>
      <c r="F200" s="1">
        <v>15</v>
      </c>
      <c r="G200" s="1">
        <v>0.45522171211180912</v>
      </c>
      <c r="H200" s="1">
        <v>1.8103731094232425</v>
      </c>
      <c r="I200" s="1">
        <v>798.93628703669435</v>
      </c>
      <c r="K200" s="1">
        <f t="shared" si="9"/>
        <v>0.54321705480797033</v>
      </c>
      <c r="L200" s="1">
        <f t="shared" si="10"/>
        <v>0.92585235072339311</v>
      </c>
      <c r="M200" s="1">
        <f t="shared" si="11"/>
        <v>408.0905006654275</v>
      </c>
      <c r="N200"/>
      <c r="P200" s="1"/>
    </row>
    <row r="201" spans="1:19" x14ac:dyDescent="0.3">
      <c r="A201" s="1">
        <v>201</v>
      </c>
      <c r="C201" s="1" t="s">
        <v>15</v>
      </c>
      <c r="D201" s="6">
        <v>13</v>
      </c>
      <c r="E201" s="1">
        <v>195</v>
      </c>
      <c r="F201" s="1">
        <v>30</v>
      </c>
      <c r="G201" s="1">
        <v>0.53329647938322278</v>
      </c>
      <c r="H201" s="1">
        <v>1.8869378694240275</v>
      </c>
      <c r="I201" s="1">
        <v>1589.1016938644618</v>
      </c>
      <c r="K201" s="1">
        <f t="shared" si="9"/>
        <v>0.63638384365739609</v>
      </c>
      <c r="L201" s="1">
        <f t="shared" si="10"/>
        <v>0.96500873382493113</v>
      </c>
      <c r="M201" s="1">
        <f t="shared" si="11"/>
        <v>811.70090328822721</v>
      </c>
      <c r="N201"/>
      <c r="P201" s="1"/>
    </row>
    <row r="202" spans="1:19" x14ac:dyDescent="0.3">
      <c r="A202" s="1">
        <v>202</v>
      </c>
      <c r="C202" s="1" t="s">
        <v>15</v>
      </c>
      <c r="D202" s="6">
        <v>13</v>
      </c>
      <c r="E202" s="1">
        <v>196</v>
      </c>
      <c r="F202" s="1">
        <v>45</v>
      </c>
      <c r="G202" s="1">
        <v>0.54846390146124568</v>
      </c>
      <c r="H202" s="1">
        <v>1.8305217304760806</v>
      </c>
      <c r="I202" s="1">
        <v>5154.8118905320271</v>
      </c>
      <c r="K202" s="1">
        <f t="shared" si="9"/>
        <v>0.65448316126689832</v>
      </c>
      <c r="L202" s="1">
        <f t="shared" si="10"/>
        <v>0.93615666206590309</v>
      </c>
      <c r="M202" s="1">
        <f t="shared" si="11"/>
        <v>2633.0382026404272</v>
      </c>
      <c r="N202"/>
      <c r="P202" s="1"/>
    </row>
    <row r="203" spans="1:19" x14ac:dyDescent="0.3">
      <c r="A203" s="1">
        <v>203</v>
      </c>
      <c r="C203" s="1" t="s">
        <v>15</v>
      </c>
      <c r="D203" s="6">
        <v>13</v>
      </c>
      <c r="E203" s="1">
        <v>197</v>
      </c>
      <c r="F203" s="1">
        <v>0</v>
      </c>
      <c r="G203" s="1">
        <v>0.45424881781559212</v>
      </c>
      <c r="H203" s="1">
        <v>1.8184325578443776</v>
      </c>
      <c r="I203" s="1">
        <v>495.81770903943431</v>
      </c>
      <c r="K203" s="1">
        <f t="shared" si="9"/>
        <v>0.54205609793757248</v>
      </c>
      <c r="L203" s="1">
        <f t="shared" si="10"/>
        <v>0.92997407526039699</v>
      </c>
      <c r="M203" s="1">
        <f t="shared" si="11"/>
        <v>253.25986615425168</v>
      </c>
      <c r="N203" s="1">
        <f>SLOPE(K203:K206,F203:F206)</f>
        <v>1.0365022938911817E-3</v>
      </c>
      <c r="O203" s="1">
        <f>SLOPE(L203:L206,F203:F206)</f>
        <v>1.0029529706709827E-3</v>
      </c>
      <c r="P203" s="1">
        <f>SLOPE(M203:M206,F203:F206)</f>
        <v>1.7004496714066069</v>
      </c>
      <c r="Q203" s="1">
        <f>(N203*41.35/0.31*60)/1000</f>
        <v>8.2953619069161995E-3</v>
      </c>
      <c r="R203" s="1">
        <f>O203*41.35/0.31*60/1000</f>
        <v>8.0268590975313189E-3</v>
      </c>
      <c r="S203" s="1">
        <f>(O203*41.35/0.31*60)/1000</f>
        <v>8.0268590975313189E-3</v>
      </c>
    </row>
    <row r="204" spans="1:19" x14ac:dyDescent="0.3">
      <c r="A204" s="1">
        <v>204</v>
      </c>
      <c r="C204" s="1" t="s">
        <v>15</v>
      </c>
      <c r="D204" s="6">
        <v>13</v>
      </c>
      <c r="E204" s="1">
        <v>198</v>
      </c>
      <c r="F204" s="1">
        <v>15</v>
      </c>
      <c r="G204" s="1">
        <v>0.41289108128340785</v>
      </c>
      <c r="H204" s="1">
        <v>1.7539569704752951</v>
      </c>
      <c r="I204" s="1">
        <v>512.61444693653243</v>
      </c>
      <c r="K204" s="1">
        <f t="shared" si="9"/>
        <v>0.49270382137696078</v>
      </c>
      <c r="L204" s="1">
        <f t="shared" si="10"/>
        <v>0.89700027896436463</v>
      </c>
      <c r="M204" s="1">
        <f t="shared" si="11"/>
        <v>261.83951047532372</v>
      </c>
      <c r="N204"/>
      <c r="P204" s="1"/>
    </row>
    <row r="205" spans="1:19" x14ac:dyDescent="0.3">
      <c r="A205" s="1">
        <v>205</v>
      </c>
      <c r="C205" s="1" t="s">
        <v>15</v>
      </c>
      <c r="D205" s="6">
        <v>13</v>
      </c>
      <c r="E205" s="1">
        <v>199</v>
      </c>
      <c r="F205" s="1">
        <v>30</v>
      </c>
      <c r="G205" s="1">
        <v>0.47316188293405048</v>
      </c>
      <c r="H205" s="1">
        <v>1.838581178897216</v>
      </c>
      <c r="I205" s="1">
        <v>631.34018347785911</v>
      </c>
      <c r="K205" s="1">
        <f t="shared" si="9"/>
        <v>0.56462509949810624</v>
      </c>
      <c r="L205" s="1">
        <f t="shared" si="10"/>
        <v>0.94027838660290719</v>
      </c>
      <c r="M205" s="1">
        <f t="shared" si="11"/>
        <v>322.48370207504303</v>
      </c>
      <c r="N205"/>
      <c r="P205" s="1"/>
    </row>
    <row r="206" spans="1:19" x14ac:dyDescent="0.3">
      <c r="A206" s="1">
        <v>206</v>
      </c>
      <c r="C206" s="1" t="s">
        <v>15</v>
      </c>
      <c r="D206" s="6">
        <v>13</v>
      </c>
      <c r="E206" s="1">
        <v>200</v>
      </c>
      <c r="F206" s="1">
        <v>45</v>
      </c>
      <c r="G206" s="1">
        <v>0.47758855198183781</v>
      </c>
      <c r="H206" s="1">
        <v>1.8882811108275501</v>
      </c>
      <c r="I206" s="1">
        <v>622.69462849288107</v>
      </c>
      <c r="K206" s="1">
        <f t="shared" si="9"/>
        <v>0.56990745325841641</v>
      </c>
      <c r="L206" s="1">
        <f t="shared" si="10"/>
        <v>0.96569568791443194</v>
      </c>
      <c r="M206" s="1">
        <f t="shared" si="11"/>
        <v>318.06761919134226</v>
      </c>
      <c r="N206"/>
      <c r="P206" s="1"/>
    </row>
    <row r="207" spans="1:19" x14ac:dyDescent="0.3">
      <c r="A207" s="1">
        <v>207</v>
      </c>
      <c r="C207" s="1" t="s">
        <v>15</v>
      </c>
      <c r="D207" s="6">
        <v>13</v>
      </c>
      <c r="E207" s="1" t="s">
        <v>54</v>
      </c>
      <c r="G207" s="1">
        <v>0.41639350074978898</v>
      </c>
      <c r="H207" s="1">
        <v>1.7606731774929079</v>
      </c>
      <c r="I207" s="1">
        <v>510.38381631863768</v>
      </c>
      <c r="K207" s="1">
        <f t="shared" si="9"/>
        <v>0.49688326611039291</v>
      </c>
      <c r="L207" s="1">
        <f t="shared" si="10"/>
        <v>0.90043504941186803</v>
      </c>
      <c r="M207" s="1">
        <f t="shared" si="11"/>
        <v>260.70012153977711</v>
      </c>
      <c r="N207"/>
      <c r="P207" s="1"/>
    </row>
    <row r="208" spans="1:19" x14ac:dyDescent="0.3">
      <c r="A208" s="1">
        <v>208</v>
      </c>
      <c r="C208" s="1" t="s">
        <v>15</v>
      </c>
      <c r="D208" s="6">
        <v>13</v>
      </c>
      <c r="E208" s="1" t="s">
        <v>55</v>
      </c>
      <c r="G208" s="1">
        <v>0.40652835258614867</v>
      </c>
      <c r="H208" s="1">
        <v>1.7767920743351786</v>
      </c>
      <c r="I208" s="1">
        <v>407.98327804668327</v>
      </c>
      <c r="K208" s="1">
        <f t="shared" si="9"/>
        <v>0.48511116344455896</v>
      </c>
      <c r="L208" s="1">
        <f t="shared" si="10"/>
        <v>0.90867849848587623</v>
      </c>
      <c r="M208" s="1">
        <f t="shared" si="11"/>
        <v>208.39471545187985</v>
      </c>
      <c r="N208"/>
      <c r="P208" s="1"/>
    </row>
    <row r="209" spans="1:19" x14ac:dyDescent="0.3">
      <c r="A209" s="1">
        <v>209</v>
      </c>
      <c r="C209" s="1" t="s">
        <v>15</v>
      </c>
      <c r="D209" s="6">
        <v>13</v>
      </c>
      <c r="E209" s="1" t="s">
        <v>111</v>
      </c>
      <c r="G209" s="1">
        <v>0.42959567634945356</v>
      </c>
      <c r="H209" s="1">
        <v>1.7553002118788175</v>
      </c>
      <c r="I209" s="1">
        <v>408.03589194198747</v>
      </c>
      <c r="K209" s="1">
        <f t="shared" si="9"/>
        <v>0.51263745084169143</v>
      </c>
      <c r="L209" s="1">
        <f t="shared" si="10"/>
        <v>0.89768723305386522</v>
      </c>
      <c r="M209" s="1">
        <f t="shared" si="11"/>
        <v>208.42159022428035</v>
      </c>
      <c r="N209"/>
      <c r="P209" s="1"/>
    </row>
    <row r="210" spans="1:19" x14ac:dyDescent="0.3">
      <c r="A210" s="1">
        <v>210</v>
      </c>
      <c r="B210" s="1" t="s">
        <v>113</v>
      </c>
      <c r="C210" s="1" t="s">
        <v>15</v>
      </c>
      <c r="D210" s="6">
        <v>21.1</v>
      </c>
      <c r="E210" s="1">
        <v>1</v>
      </c>
      <c r="F210" s="1">
        <v>0</v>
      </c>
      <c r="G210" s="1">
        <v>0.39279483014091154</v>
      </c>
      <c r="H210" s="1">
        <v>2.0094271840977189</v>
      </c>
      <c r="I210" s="1">
        <v>461.05168581606711</v>
      </c>
      <c r="K210" s="1">
        <f t="shared" si="9"/>
        <v>0.45582009838761312</v>
      </c>
      <c r="L210" s="1">
        <f t="shared" si="10"/>
        <v>0.99936283685983895</v>
      </c>
      <c r="M210" s="1">
        <f t="shared" si="11"/>
        <v>229.01885115517183</v>
      </c>
      <c r="N210" s="1">
        <f>SLOPE(K210:K213,F210:F213)</f>
        <v>-1.851732558246111E-5</v>
      </c>
      <c r="O210" s="1">
        <f>SLOPE(L210:L213,F210:F213)</f>
        <v>-9.3766008656389255E-5</v>
      </c>
      <c r="P210" s="1">
        <f>SLOPE(M210:M213,F210:F213)</f>
        <v>8.9853613711761676E-2</v>
      </c>
      <c r="Q210" s="1">
        <f>(N210*41.35/0.31*60)/1000</f>
        <v>-1.4819833796801939E-4</v>
      </c>
      <c r="R210" s="1">
        <f>O210*41.35/0.31*60/1000</f>
        <v>-7.5043054024677978E-4</v>
      </c>
      <c r="S210" s="1">
        <f>(O210*41.35/0.31*60)/1000</f>
        <v>-7.5043054024677978E-4</v>
      </c>
    </row>
    <row r="211" spans="1:19" x14ac:dyDescent="0.3">
      <c r="A211" s="1">
        <v>211</v>
      </c>
      <c r="C211" s="1" t="s">
        <v>15</v>
      </c>
      <c r="D211" s="6">
        <v>21.1</v>
      </c>
      <c r="E211" s="1">
        <v>2</v>
      </c>
      <c r="F211" s="1">
        <v>15</v>
      </c>
      <c r="G211" s="1">
        <v>0.39571378891911124</v>
      </c>
      <c r="H211" s="1">
        <v>2.0121205568832736</v>
      </c>
      <c r="I211" s="1">
        <v>493.28108220303881</v>
      </c>
      <c r="K211" s="1">
        <f t="shared" si="9"/>
        <v>0.45920741404294152</v>
      </c>
      <c r="L211" s="1">
        <f t="shared" si="10"/>
        <v>1.0007023512692161</v>
      </c>
      <c r="M211" s="1">
        <f t="shared" si="11"/>
        <v>245.02820446857359</v>
      </c>
      <c r="N211"/>
      <c r="P211" s="1"/>
    </row>
    <row r="212" spans="1:19" x14ac:dyDescent="0.3">
      <c r="A212" s="1">
        <v>212</v>
      </c>
      <c r="C212" s="1" t="s">
        <v>15</v>
      </c>
      <c r="D212" s="6">
        <v>21.1</v>
      </c>
      <c r="E212" s="1">
        <v>3</v>
      </c>
      <c r="F212" s="1">
        <v>30</v>
      </c>
      <c r="G212" s="1">
        <v>0.39288239890425758</v>
      </c>
      <c r="H212" s="1">
        <v>1.9959603201699467</v>
      </c>
      <c r="I212" s="1">
        <v>479.00123067641931</v>
      </c>
      <c r="K212" s="1">
        <f t="shared" si="9"/>
        <v>0.45592171785727303</v>
      </c>
      <c r="L212" s="1">
        <f t="shared" si="10"/>
        <v>0.99266526481295392</v>
      </c>
      <c r="M212" s="1">
        <f t="shared" si="11"/>
        <v>237.93495377260388</v>
      </c>
      <c r="N212"/>
      <c r="P212" s="1"/>
    </row>
    <row r="213" spans="1:19" x14ac:dyDescent="0.3">
      <c r="A213" s="1">
        <v>213</v>
      </c>
      <c r="C213" s="1" t="s">
        <v>15</v>
      </c>
      <c r="D213" s="6">
        <v>21.1</v>
      </c>
      <c r="E213" s="1">
        <v>4</v>
      </c>
      <c r="F213" s="1">
        <v>45</v>
      </c>
      <c r="G213" s="1">
        <v>0.39294077807982153</v>
      </c>
      <c r="H213" s="1">
        <v>2.0053871249193875</v>
      </c>
      <c r="I213" s="1">
        <v>474.85612324588908</v>
      </c>
      <c r="K213" s="1">
        <f t="shared" si="9"/>
        <v>0.45598946417037955</v>
      </c>
      <c r="L213" s="1">
        <f t="shared" si="10"/>
        <v>0.99735356524577357</v>
      </c>
      <c r="M213" s="1">
        <f t="shared" si="11"/>
        <v>235.87594873941649</v>
      </c>
      <c r="N213"/>
      <c r="P213" s="1"/>
    </row>
    <row r="214" spans="1:19" x14ac:dyDescent="0.3">
      <c r="A214" s="1">
        <v>214</v>
      </c>
      <c r="C214" s="1" t="s">
        <v>15</v>
      </c>
      <c r="D214" s="6">
        <v>21.1</v>
      </c>
      <c r="E214" s="1">
        <v>5</v>
      </c>
      <c r="F214" s="1">
        <v>0</v>
      </c>
      <c r="G214" s="1">
        <v>0.39333970244617555</v>
      </c>
      <c r="H214" s="1">
        <v>1.9811467698493974</v>
      </c>
      <c r="I214" s="1">
        <v>437.05440888117835</v>
      </c>
      <c r="K214" s="1">
        <f t="shared" si="9"/>
        <v>0.45645239730994114</v>
      </c>
      <c r="L214" s="1">
        <f t="shared" si="10"/>
        <v>0.98529793556138034</v>
      </c>
      <c r="M214" s="1">
        <f t="shared" si="11"/>
        <v>217.09865009408463</v>
      </c>
      <c r="N214" s="1">
        <f>SLOPE(K214:K217,F214:F217)</f>
        <v>-5.0433366423780678E-5</v>
      </c>
      <c r="O214" s="1">
        <f>SLOPE(L214:L217,F214:F217)</f>
        <v>2.6343783384414379E-4</v>
      </c>
      <c r="P214" s="1">
        <f>SLOPE(M214:M217,F214:F217)</f>
        <v>0.18272767862848033</v>
      </c>
      <c r="Q214" s="1">
        <f>(N214*41.35/0.31*60)/1000</f>
        <v>-4.0362961966903187E-4</v>
      </c>
      <c r="R214" s="1">
        <f>O214*41.35/0.31*60/1000</f>
        <v>2.1083524702171638E-3</v>
      </c>
      <c r="S214" s="1">
        <f>(O214*41.35/0.31*60)/1000</f>
        <v>2.1083524702171638E-3</v>
      </c>
    </row>
    <row r="215" spans="1:19" x14ac:dyDescent="0.3">
      <c r="A215" s="1">
        <v>215</v>
      </c>
      <c r="C215" s="1" t="s">
        <v>15</v>
      </c>
      <c r="D215" s="6">
        <v>21.1</v>
      </c>
      <c r="E215" s="1">
        <v>6</v>
      </c>
      <c r="F215" s="1">
        <v>15</v>
      </c>
      <c r="G215" s="1">
        <v>0.39213319948451969</v>
      </c>
      <c r="H215" s="1">
        <v>1.9973070065627239</v>
      </c>
      <c r="I215" s="1">
        <v>451.39138755995896</v>
      </c>
      <c r="K215" s="1">
        <f t="shared" si="9"/>
        <v>0.45505230683907205</v>
      </c>
      <c r="L215" s="1">
        <f t="shared" si="10"/>
        <v>0.99333502201764234</v>
      </c>
      <c r="M215" s="1">
        <f t="shared" si="11"/>
        <v>224.22027764054681</v>
      </c>
      <c r="N215"/>
      <c r="P215" s="1"/>
    </row>
    <row r="216" spans="1:19" x14ac:dyDescent="0.3">
      <c r="A216" s="1">
        <v>216</v>
      </c>
      <c r="C216" s="1" t="s">
        <v>15</v>
      </c>
      <c r="D216" s="6">
        <v>21.1</v>
      </c>
      <c r="E216" s="1">
        <v>7</v>
      </c>
      <c r="F216" s="1">
        <v>30</v>
      </c>
      <c r="G216" s="1">
        <v>0.39080993817173576</v>
      </c>
      <c r="H216" s="1">
        <v>2.0080804977049418</v>
      </c>
      <c r="I216" s="1">
        <v>450.49962303215739</v>
      </c>
      <c r="K216" s="1">
        <f t="shared" si="9"/>
        <v>0.45351672374198976</v>
      </c>
      <c r="L216" s="1">
        <f t="shared" si="10"/>
        <v>0.99869307965515053</v>
      </c>
      <c r="M216" s="1">
        <f t="shared" si="11"/>
        <v>223.77731019472444</v>
      </c>
      <c r="N216"/>
      <c r="P216" s="1"/>
    </row>
    <row r="217" spans="1:19" x14ac:dyDescent="0.3">
      <c r="A217" s="1">
        <v>217</v>
      </c>
      <c r="C217" s="1" t="s">
        <v>15</v>
      </c>
      <c r="D217" s="6">
        <v>21.1</v>
      </c>
      <c r="E217" s="1">
        <v>8</v>
      </c>
      <c r="F217" s="1">
        <v>45</v>
      </c>
      <c r="G217" s="1">
        <v>0.3916077869044437</v>
      </c>
      <c r="H217" s="1">
        <v>2.00404043852661</v>
      </c>
      <c r="I217" s="1">
        <v>455.74467020599104</v>
      </c>
      <c r="K217" s="1">
        <f t="shared" si="9"/>
        <v>0.45444259002111287</v>
      </c>
      <c r="L217" s="1">
        <f t="shared" si="10"/>
        <v>0.99668380804108481</v>
      </c>
      <c r="M217" s="1">
        <f t="shared" si="11"/>
        <v>226.38268984078277</v>
      </c>
      <c r="N217"/>
      <c r="P217" s="1"/>
    </row>
    <row r="218" spans="1:19" x14ac:dyDescent="0.3">
      <c r="A218" s="1">
        <v>218</v>
      </c>
      <c r="C218" s="1" t="s">
        <v>15</v>
      </c>
      <c r="D218" s="6">
        <v>21.1</v>
      </c>
      <c r="E218" s="1">
        <v>9</v>
      </c>
      <c r="F218" s="1">
        <v>0</v>
      </c>
      <c r="G218" s="1">
        <v>0.41714867621369106</v>
      </c>
      <c r="H218" s="1">
        <v>1.9919202609916153</v>
      </c>
      <c r="I218" s="1">
        <v>439.92335382784057</v>
      </c>
      <c r="K218" s="1">
        <f t="shared" si="9"/>
        <v>0.48408160200523653</v>
      </c>
      <c r="L218" s="1">
        <f t="shared" si="10"/>
        <v>0.99065599319888853</v>
      </c>
      <c r="M218" s="1">
        <f t="shared" si="11"/>
        <v>218.52374514508534</v>
      </c>
      <c r="N218" s="1">
        <f>SLOPE(K218:K221,F218:F221)</f>
        <v>1.8889177567735819E-3</v>
      </c>
      <c r="O218" s="1">
        <f>SLOPE(L218:L221,F218:F221)</f>
        <v>8.0370864562622209E-5</v>
      </c>
      <c r="P218" s="1">
        <f>SLOPE(M218:M221,F218:F221)</f>
        <v>0.19696740665524165</v>
      </c>
      <c r="Q218" s="1">
        <f>(N218*41.35/0.31*60)/1000</f>
        <v>1.5117435337275022E-2</v>
      </c>
      <c r="R218" s="1">
        <f>O218*41.35/0.31*60/1000</f>
        <v>6.4322617735440546E-4</v>
      </c>
      <c r="S218" s="1">
        <f>(O218*41.35/0.31*60)/1000</f>
        <v>6.4322617735440546E-4</v>
      </c>
    </row>
    <row r="219" spans="1:19" x14ac:dyDescent="0.3">
      <c r="A219" s="1">
        <v>219</v>
      </c>
      <c r="C219" s="1" t="s">
        <v>15</v>
      </c>
      <c r="D219" s="6">
        <v>21.1</v>
      </c>
      <c r="E219" s="1">
        <v>10</v>
      </c>
      <c r="F219" s="1">
        <v>15</v>
      </c>
      <c r="G219" s="1">
        <v>0.49952169293448667</v>
      </c>
      <c r="H219" s="1">
        <v>1.9905735745988378</v>
      </c>
      <c r="I219" s="1">
        <v>451.26067288976003</v>
      </c>
      <c r="K219" s="1">
        <f t="shared" si="9"/>
        <v>0.5796716497986043</v>
      </c>
      <c r="L219" s="1">
        <f t="shared" si="10"/>
        <v>0.98998623599419988</v>
      </c>
      <c r="M219" s="1">
        <f t="shared" si="11"/>
        <v>224.15534755891164</v>
      </c>
      <c r="N219"/>
      <c r="P219" s="1"/>
    </row>
    <row r="220" spans="1:19" x14ac:dyDescent="0.3">
      <c r="A220" s="1">
        <v>220</v>
      </c>
      <c r="C220" s="1" t="s">
        <v>15</v>
      </c>
      <c r="D220" s="6">
        <v>21.1</v>
      </c>
      <c r="E220" s="1">
        <v>11</v>
      </c>
      <c r="F220" s="1">
        <v>30</v>
      </c>
      <c r="G220" s="1">
        <v>0.48567609846322607</v>
      </c>
      <c r="H220" s="1">
        <v>2.0148139296688279</v>
      </c>
      <c r="I220" s="1">
        <v>451.04668813336031</v>
      </c>
      <c r="K220" s="1">
        <f t="shared" si="9"/>
        <v>0.56360448254016315</v>
      </c>
      <c r="L220" s="1">
        <f t="shared" si="10"/>
        <v>1.0020418656785932</v>
      </c>
      <c r="M220" s="1">
        <f t="shared" si="11"/>
        <v>224.04905461045695</v>
      </c>
      <c r="N220"/>
      <c r="P220" s="1"/>
    </row>
    <row r="221" spans="1:19" x14ac:dyDescent="0.3">
      <c r="A221" s="1">
        <v>221</v>
      </c>
      <c r="C221" s="1" t="s">
        <v>15</v>
      </c>
      <c r="D221" s="6">
        <v>21.1</v>
      </c>
      <c r="E221" s="1">
        <v>12</v>
      </c>
      <c r="F221" s="1">
        <v>45</v>
      </c>
      <c r="G221" s="1">
        <v>0.50315093168204827</v>
      </c>
      <c r="H221" s="1">
        <v>1.9919202609916153</v>
      </c>
      <c r="I221" s="1">
        <v>459.82103140256476</v>
      </c>
      <c r="K221" s="1">
        <f t="shared" si="9"/>
        <v>0.58388321226339601</v>
      </c>
      <c r="L221" s="1">
        <f t="shared" si="10"/>
        <v>0.99065599319888853</v>
      </c>
      <c r="M221" s="1">
        <f t="shared" si="11"/>
        <v>228.40754646066566</v>
      </c>
      <c r="N221"/>
      <c r="P221" s="1"/>
    </row>
    <row r="222" spans="1:19" x14ac:dyDescent="0.3">
      <c r="A222" s="1">
        <v>222</v>
      </c>
      <c r="C222" s="1" t="s">
        <v>15</v>
      </c>
      <c r="D222" s="6">
        <v>21.1</v>
      </c>
      <c r="E222" s="1">
        <v>13</v>
      </c>
      <c r="F222" s="1">
        <v>0</v>
      </c>
      <c r="G222" s="1">
        <v>0.39198725154560971</v>
      </c>
      <c r="H222" s="1">
        <v>2.0269341072038229</v>
      </c>
      <c r="I222" s="1">
        <v>449.65143006108889</v>
      </c>
      <c r="K222" s="1">
        <f t="shared" si="9"/>
        <v>0.45488294105630567</v>
      </c>
      <c r="L222" s="1">
        <f t="shared" si="10"/>
        <v>1.0080696805207896</v>
      </c>
      <c r="M222" s="1">
        <f t="shared" si="11"/>
        <v>223.35598610944717</v>
      </c>
      <c r="N222" s="1">
        <f>SLOPE(K222:K225,F222:F225)</f>
        <v>1.2314774249149284E-4</v>
      </c>
      <c r="O222" s="1">
        <f>SLOPE(L222:L225,F222:F225)</f>
        <v>-1.339514409377022E-4</v>
      </c>
      <c r="P222" s="1">
        <f>SLOPE(M222:M225,F222:F225)</f>
        <v>0.229567117271788</v>
      </c>
      <c r="Q222" s="1">
        <f>(N222*41.35/0.31*60)/1000</f>
        <v>9.8557919071417329E-4</v>
      </c>
      <c r="R222" s="1">
        <f>O222*41.35/0.31*60/1000</f>
        <v>-1.0720436289239973E-3</v>
      </c>
      <c r="S222" s="1">
        <f>(O222*41.35/0.31*60)/1000</f>
        <v>-1.0720436289239973E-3</v>
      </c>
    </row>
    <row r="223" spans="1:19" x14ac:dyDescent="0.3">
      <c r="A223" s="1">
        <v>223</v>
      </c>
      <c r="C223" s="1" t="s">
        <v>15</v>
      </c>
      <c r="D223" s="6">
        <v>21.1</v>
      </c>
      <c r="E223" s="1">
        <v>14</v>
      </c>
      <c r="F223" s="1">
        <v>15</v>
      </c>
      <c r="G223" s="1">
        <v>0.39437106788113946</v>
      </c>
      <c r="H223" s="1">
        <v>2.0269341072038229</v>
      </c>
      <c r="I223" s="1">
        <v>458.50517038922897</v>
      </c>
      <c r="K223" s="1">
        <f t="shared" si="9"/>
        <v>0.4576492488414905</v>
      </c>
      <c r="L223" s="1">
        <f t="shared" si="10"/>
        <v>1.0080696805207896</v>
      </c>
      <c r="M223" s="1">
        <f t="shared" si="11"/>
        <v>227.75391697220462</v>
      </c>
      <c r="N223"/>
      <c r="P223" s="1"/>
    </row>
    <row r="224" spans="1:19" x14ac:dyDescent="0.3">
      <c r="A224" s="1">
        <v>224</v>
      </c>
      <c r="C224" s="1" t="s">
        <v>15</v>
      </c>
      <c r="D224" s="6">
        <v>21.1</v>
      </c>
      <c r="E224" s="1">
        <v>15</v>
      </c>
      <c r="F224" s="1">
        <v>30</v>
      </c>
      <c r="G224" s="1">
        <v>0.39677434394185718</v>
      </c>
      <c r="H224" s="1">
        <v>1.9905735745988378</v>
      </c>
      <c r="I224" s="1">
        <v>463.43553409776882</v>
      </c>
      <c r="K224" s="1">
        <f t="shared" si="9"/>
        <v>0.46043813873104422</v>
      </c>
      <c r="L224" s="1">
        <f t="shared" si="10"/>
        <v>0.98998623599419988</v>
      </c>
      <c r="M224" s="1">
        <f t="shared" si="11"/>
        <v>230.2029834587708</v>
      </c>
      <c r="N224"/>
      <c r="P224" s="1"/>
    </row>
    <row r="225" spans="1:19" x14ac:dyDescent="0.3">
      <c r="A225" s="1">
        <v>225</v>
      </c>
      <c r="C225" s="1" t="s">
        <v>15</v>
      </c>
      <c r="D225" s="6">
        <v>21.1</v>
      </c>
      <c r="E225" s="1">
        <v>16</v>
      </c>
      <c r="F225" s="1">
        <v>45</v>
      </c>
      <c r="G225" s="1">
        <v>0.39649217792663116</v>
      </c>
      <c r="H225" s="1">
        <v>2.0255874208110458</v>
      </c>
      <c r="I225" s="1">
        <v>471.11574716456749</v>
      </c>
      <c r="K225" s="1">
        <f t="shared" si="9"/>
        <v>0.46011069821769573</v>
      </c>
      <c r="L225" s="1">
        <f t="shared" si="10"/>
        <v>1.0073999233161011</v>
      </c>
      <c r="M225" s="1">
        <f t="shared" si="11"/>
        <v>234.01798647751451</v>
      </c>
      <c r="N225"/>
      <c r="P225" s="1"/>
    </row>
    <row r="226" spans="1:19" x14ac:dyDescent="0.3">
      <c r="A226" s="1">
        <v>226</v>
      </c>
      <c r="C226" s="1" t="s">
        <v>15</v>
      </c>
      <c r="D226" s="6">
        <v>21.1</v>
      </c>
      <c r="E226" s="1">
        <v>17</v>
      </c>
      <c r="F226" s="1">
        <v>0</v>
      </c>
      <c r="G226" s="1">
        <v>0.38953532617192188</v>
      </c>
      <c r="H226" s="1">
        <v>1.9865335154205064</v>
      </c>
      <c r="I226" s="1">
        <v>433.7875103830217</v>
      </c>
      <c r="K226" s="1">
        <f t="shared" si="9"/>
        <v>0.4520375959058297</v>
      </c>
      <c r="L226" s="1">
        <f t="shared" si="10"/>
        <v>0.98797696438013449</v>
      </c>
      <c r="M226" s="1">
        <f t="shared" si="11"/>
        <v>215.47587901677232</v>
      </c>
      <c r="N226" s="1">
        <f>SLOPE(K226:K229,F226:F229)</f>
        <v>6.4283723770012233E-5</v>
      </c>
      <c r="O226" s="1">
        <f>SLOPE(L226:L229,F226:F229)</f>
        <v>2.1655482951594886E-3</v>
      </c>
      <c r="P226" s="1">
        <f>SLOPE(M226:M229,F226:F229)</f>
        <v>0.2678069273251909</v>
      </c>
      <c r="Q226" s="1">
        <f>(N226*41.35/0.31*60)/1000</f>
        <v>5.1447715701096884E-4</v>
      </c>
      <c r="R226" s="1">
        <f>O226*41.35/0.31*60/1000</f>
        <v>1.7331372000937713E-2</v>
      </c>
      <c r="S226" s="1">
        <f>(O226*41.35/0.31*60)/1000</f>
        <v>1.7331372000937713E-2</v>
      </c>
    </row>
    <row r="227" spans="1:19" x14ac:dyDescent="0.3">
      <c r="A227" s="1">
        <v>227</v>
      </c>
      <c r="C227" s="1" t="s">
        <v>15</v>
      </c>
      <c r="D227" s="6">
        <v>21.1</v>
      </c>
      <c r="E227" s="1">
        <v>18</v>
      </c>
      <c r="F227" s="1">
        <v>15</v>
      </c>
      <c r="G227" s="1">
        <v>0.39207482030895568</v>
      </c>
      <c r="H227" s="1">
        <v>2.0323208527749319</v>
      </c>
      <c r="I227" s="1">
        <v>447.52416983570356</v>
      </c>
      <c r="K227" s="1">
        <f t="shared" si="9"/>
        <v>0.45498456052596542</v>
      </c>
      <c r="L227" s="1">
        <f t="shared" si="10"/>
        <v>1.0107487093395437</v>
      </c>
      <c r="M227" s="1">
        <f t="shared" si="11"/>
        <v>222.29930915128026</v>
      </c>
      <c r="N227"/>
      <c r="P227" s="1"/>
    </row>
    <row r="228" spans="1:19" x14ac:dyDescent="0.3">
      <c r="A228" s="1">
        <v>228</v>
      </c>
      <c r="C228" s="1" t="s">
        <v>15</v>
      </c>
      <c r="D228" s="6">
        <v>21.1</v>
      </c>
      <c r="E228" s="1">
        <v>19</v>
      </c>
      <c r="F228" s="1">
        <v>30</v>
      </c>
      <c r="G228" s="1">
        <v>0.39156886745406771</v>
      </c>
      <c r="H228" s="1">
        <v>1.9784533970638432</v>
      </c>
      <c r="I228" s="1">
        <v>438.59103244862791</v>
      </c>
      <c r="K228" s="1">
        <f t="shared" si="9"/>
        <v>0.45439742581237519</v>
      </c>
      <c r="L228" s="1">
        <f t="shared" si="10"/>
        <v>0.98395842115200349</v>
      </c>
      <c r="M228" s="1">
        <f t="shared" si="11"/>
        <v>217.86193927597401</v>
      </c>
      <c r="N228"/>
      <c r="P228" s="1"/>
    </row>
    <row r="229" spans="1:19" x14ac:dyDescent="0.3">
      <c r="A229" s="1">
        <v>229</v>
      </c>
      <c r="C229" s="1" t="s">
        <v>15</v>
      </c>
      <c r="D229" s="6">
        <v>21.1</v>
      </c>
      <c r="E229" s="1">
        <v>20</v>
      </c>
      <c r="F229" s="1">
        <v>45</v>
      </c>
      <c r="G229" s="1">
        <v>0.39247374467530965</v>
      </c>
      <c r="H229" s="1">
        <v>2.2222036341565183</v>
      </c>
      <c r="I229" s="1">
        <v>463.72213811539024</v>
      </c>
      <c r="K229" s="1">
        <f t="shared" si="9"/>
        <v>0.45544749366552706</v>
      </c>
      <c r="L229" s="1">
        <f t="shared" si="10"/>
        <v>1.1051844752006224</v>
      </c>
      <c r="M229" s="1">
        <f t="shared" si="11"/>
        <v>230.34534867480062</v>
      </c>
      <c r="N229"/>
      <c r="P229" s="1"/>
    </row>
    <row r="230" spans="1:19" x14ac:dyDescent="0.3">
      <c r="A230" s="1">
        <v>230</v>
      </c>
      <c r="C230" s="1" t="s">
        <v>15</v>
      </c>
      <c r="D230" s="6">
        <v>21.1</v>
      </c>
      <c r="E230" s="1">
        <v>21</v>
      </c>
      <c r="F230" s="1">
        <v>0</v>
      </c>
      <c r="G230" s="1">
        <v>0.40618312107025423</v>
      </c>
      <c r="H230" s="1">
        <v>2.016160616061605</v>
      </c>
      <c r="I230" s="1">
        <v>461.978307589255</v>
      </c>
      <c r="K230" s="1">
        <f t="shared" si="9"/>
        <v>0.47135658619338611</v>
      </c>
      <c r="L230" s="1">
        <f t="shared" si="10"/>
        <v>1.0027116228832815</v>
      </c>
      <c r="M230" s="1">
        <f t="shared" si="11"/>
        <v>229.47913328943025</v>
      </c>
      <c r="N230" s="1">
        <f>SLOPE(K230:K233,F230:F233)</f>
        <v>4.2379082532219899E-4</v>
      </c>
      <c r="O230" s="1">
        <f>SLOPE(L230:L233,F230:F233)</f>
        <v>1.0269610471890752E-4</v>
      </c>
      <c r="P230" s="1">
        <f>SLOPE(M230:M233,F230:F233)</f>
        <v>0.2804915398164915</v>
      </c>
      <c r="Q230" s="1">
        <f>(N230*41.35/0.31*60)/1000</f>
        <v>3.3916936697560513E-3</v>
      </c>
      <c r="R230" s="1">
        <f>O230*41.35/0.31*60/1000</f>
        <v>8.2190011550841791E-4</v>
      </c>
      <c r="S230" s="1">
        <f>(O230*41.35/0.31*60)/1000</f>
        <v>8.2190011550841791E-4</v>
      </c>
    </row>
    <row r="231" spans="1:19" x14ac:dyDescent="0.3">
      <c r="A231" s="1">
        <v>231</v>
      </c>
      <c r="C231" s="1" t="s">
        <v>15</v>
      </c>
      <c r="D231" s="6">
        <v>21.1</v>
      </c>
      <c r="E231" s="1">
        <v>22</v>
      </c>
      <c r="F231" s="1">
        <v>15</v>
      </c>
      <c r="G231" s="1">
        <v>0.43167536106653159</v>
      </c>
      <c r="H231" s="1">
        <v>1.9986536929555014</v>
      </c>
      <c r="I231" s="1">
        <v>462.91654844423834</v>
      </c>
      <c r="K231" s="1">
        <f t="shared" si="9"/>
        <v>0.50093914291658759</v>
      </c>
      <c r="L231" s="1">
        <f t="shared" si="10"/>
        <v>0.99400477922233099</v>
      </c>
      <c r="M231" s="1">
        <f t="shared" si="11"/>
        <v>229.94518698650069</v>
      </c>
      <c r="N231"/>
      <c r="P231" s="1"/>
    </row>
    <row r="232" spans="1:19" x14ac:dyDescent="0.3">
      <c r="A232" s="1">
        <v>232</v>
      </c>
      <c r="C232" s="1" t="s">
        <v>15</v>
      </c>
      <c r="D232" s="6">
        <v>21.1</v>
      </c>
      <c r="E232" s="1">
        <v>23</v>
      </c>
      <c r="F232" s="1">
        <v>30</v>
      </c>
      <c r="G232" s="1">
        <v>0.42031088155674073</v>
      </c>
      <c r="H232" s="1">
        <v>2.033667539167709</v>
      </c>
      <c r="I232" s="1">
        <v>472.68335495013827</v>
      </c>
      <c r="K232" s="1">
        <f t="shared" si="9"/>
        <v>0.48775119396517558</v>
      </c>
      <c r="L232" s="1">
        <f t="shared" si="10"/>
        <v>1.0114184665442321</v>
      </c>
      <c r="M232" s="1">
        <f t="shared" si="11"/>
        <v>234.79666649356926</v>
      </c>
      <c r="N232"/>
      <c r="P232" s="1"/>
    </row>
    <row r="233" spans="1:19" x14ac:dyDescent="0.3">
      <c r="A233" s="1">
        <v>233</v>
      </c>
      <c r="C233" s="1" t="s">
        <v>15</v>
      </c>
      <c r="D233" s="6">
        <v>21.1</v>
      </c>
      <c r="E233" s="1">
        <v>24</v>
      </c>
      <c r="F233" s="1">
        <v>45</v>
      </c>
      <c r="G233" s="1">
        <v>0.42823098970825596</v>
      </c>
      <c r="H233" s="1">
        <v>2.0148139296688279</v>
      </c>
      <c r="I233" s="1">
        <v>486.95642867904377</v>
      </c>
      <c r="K233" s="1">
        <f t="shared" si="9"/>
        <v>0.49694211044330006</v>
      </c>
      <c r="L233" s="1">
        <f t="shared" si="10"/>
        <v>1.0020418656785932</v>
      </c>
      <c r="M233" s="1">
        <f t="shared" si="11"/>
        <v>241.8865504445653</v>
      </c>
      <c r="N233"/>
      <c r="P233" s="1"/>
    </row>
    <row r="234" spans="1:19" x14ac:dyDescent="0.3">
      <c r="A234" s="1">
        <v>234</v>
      </c>
      <c r="C234" s="1" t="s">
        <v>15</v>
      </c>
      <c r="D234" s="6">
        <v>21.1</v>
      </c>
      <c r="E234" s="1">
        <v>25</v>
      </c>
      <c r="F234" s="1">
        <v>0</v>
      </c>
      <c r="G234" s="1">
        <v>0.39946951588039492</v>
      </c>
      <c r="H234" s="1">
        <v>2.0134672432760508</v>
      </c>
      <c r="I234" s="1">
        <v>453.11391643613575</v>
      </c>
      <c r="K234" s="1">
        <f t="shared" si="9"/>
        <v>0.46356576018613077</v>
      </c>
      <c r="L234" s="1">
        <f t="shared" si="10"/>
        <v>1.0013721084739047</v>
      </c>
      <c r="M234" s="1">
        <f t="shared" si="11"/>
        <v>225.07591182742843</v>
      </c>
      <c r="N234" s="1">
        <f>SLOPE(K234:K237,F234:F237)</f>
        <v>6.0392074450444028E-4</v>
      </c>
      <c r="O234" s="1">
        <f>SLOPE(L234:L237,F234:F237)</f>
        <v>7.1440768500106902E-5</v>
      </c>
      <c r="P234" s="1">
        <f>SLOPE(M234:M237,F234:F237)</f>
        <v>0.86059131805238842</v>
      </c>
      <c r="Q234" s="1">
        <f>(N234*41.35/0.31*60)/1000</f>
        <v>4.8333140874694076E-3</v>
      </c>
      <c r="R234" s="1">
        <f>O234*41.35/0.31*60/1000</f>
        <v>5.7175660209279097E-4</v>
      </c>
      <c r="S234" s="1">
        <f>(O234*41.35/0.31*60)/1000</f>
        <v>5.7175660209279097E-4</v>
      </c>
    </row>
    <row r="235" spans="1:19" x14ac:dyDescent="0.3">
      <c r="A235" s="1">
        <v>235</v>
      </c>
      <c r="C235" s="1" t="s">
        <v>15</v>
      </c>
      <c r="D235" s="6">
        <v>21.1</v>
      </c>
      <c r="E235" s="1">
        <v>26</v>
      </c>
      <c r="F235" s="1">
        <v>15</v>
      </c>
      <c r="G235" s="1">
        <v>0.4187054542287309</v>
      </c>
      <c r="H235" s="1">
        <v>1.9878802018132835</v>
      </c>
      <c r="I235" s="1">
        <v>512.27440791134973</v>
      </c>
      <c r="K235" s="1">
        <f t="shared" si="9"/>
        <v>0.48588817035474502</v>
      </c>
      <c r="L235" s="1">
        <f t="shared" si="10"/>
        <v>0.98864672158482303</v>
      </c>
      <c r="M235" s="1">
        <f t="shared" si="11"/>
        <v>254.46278581195182</v>
      </c>
      <c r="N235"/>
      <c r="P235" s="1"/>
    </row>
    <row r="236" spans="1:19" x14ac:dyDescent="0.3">
      <c r="A236" s="1">
        <v>236</v>
      </c>
      <c r="C236" s="1" t="s">
        <v>15</v>
      </c>
      <c r="D236" s="6">
        <v>21.1</v>
      </c>
      <c r="E236" s="1">
        <v>27</v>
      </c>
      <c r="F236" s="1">
        <v>30</v>
      </c>
      <c r="G236" s="1">
        <v>0.42709259578475806</v>
      </c>
      <c r="H236" s="1">
        <v>1.9851868290277292</v>
      </c>
      <c r="I236" s="1">
        <v>531.25514628104884</v>
      </c>
      <c r="K236" s="1">
        <f t="shared" si="9"/>
        <v>0.49562105733772199</v>
      </c>
      <c r="L236" s="1">
        <f t="shared" si="10"/>
        <v>0.98730720717544607</v>
      </c>
      <c r="M236" s="1">
        <f t="shared" si="11"/>
        <v>263.89111462895033</v>
      </c>
      <c r="N236"/>
      <c r="P236" s="1"/>
    </row>
    <row r="237" spans="1:19" x14ac:dyDescent="0.3">
      <c r="A237" s="1">
        <v>237</v>
      </c>
      <c r="C237" s="1" t="s">
        <v>15</v>
      </c>
      <c r="D237" s="6">
        <v>21.1</v>
      </c>
      <c r="E237" s="1">
        <v>28</v>
      </c>
      <c r="F237" s="1">
        <v>45</v>
      </c>
      <c r="G237" s="1">
        <v>0.42269469789227049</v>
      </c>
      <c r="H237" s="1">
        <v>2.021547361632714</v>
      </c>
      <c r="I237" s="1">
        <v>533.41242246773925</v>
      </c>
      <c r="K237" s="1">
        <f t="shared" si="9"/>
        <v>0.49051750175036046</v>
      </c>
      <c r="L237" s="1">
        <f t="shared" si="10"/>
        <v>1.0053906517020357</v>
      </c>
      <c r="M237" s="1">
        <f t="shared" si="11"/>
        <v>264.96270145771501</v>
      </c>
      <c r="N237"/>
      <c r="P237" s="1"/>
    </row>
    <row r="238" spans="1:19" x14ac:dyDescent="0.3">
      <c r="A238" s="1">
        <v>238</v>
      </c>
      <c r="C238" s="1" t="s">
        <v>15</v>
      </c>
      <c r="D238" s="6">
        <v>21.1</v>
      </c>
      <c r="E238" s="1">
        <v>29</v>
      </c>
      <c r="F238" s="1">
        <v>0</v>
      </c>
      <c r="G238" s="1">
        <v>0.39394295392700346</v>
      </c>
      <c r="H238" s="1">
        <v>2.0296274799893772</v>
      </c>
      <c r="I238" s="1">
        <v>436.23720012823105</v>
      </c>
      <c r="K238" s="1">
        <f t="shared" si="9"/>
        <v>0.45715244254537557</v>
      </c>
      <c r="L238" s="1">
        <f t="shared" si="10"/>
        <v>1.0094091949301665</v>
      </c>
      <c r="M238" s="1">
        <f t="shared" si="11"/>
        <v>216.69271684297274</v>
      </c>
      <c r="N238" s="1">
        <f>SLOPE(K238:K241,F238:F241)</f>
        <v>3.3859607290662812E-3</v>
      </c>
      <c r="O238" s="1">
        <f>SLOPE(L238:L241,F238:F241)</f>
        <v>-4.4650480312564686E-5</v>
      </c>
      <c r="P238" s="1">
        <f>SLOPE(M238:M241,F238:F241)</f>
        <v>2.447248444280385</v>
      </c>
      <c r="Q238" s="1">
        <f>(N238*41.35/0.31*60)/1000</f>
        <v>2.7098608286494984E-2</v>
      </c>
      <c r="R238" s="1">
        <f>O238*41.35/0.31*60/1000</f>
        <v>-3.573478763079774E-4</v>
      </c>
      <c r="S238" s="1">
        <f>(O238*41.35/0.31*60)/1000</f>
        <v>-3.573478763079774E-4</v>
      </c>
    </row>
    <row r="239" spans="1:19" x14ac:dyDescent="0.3">
      <c r="A239" s="1">
        <v>239</v>
      </c>
      <c r="C239" s="1" t="s">
        <v>15</v>
      </c>
      <c r="D239" s="6">
        <v>21.1</v>
      </c>
      <c r="E239" s="1">
        <v>30</v>
      </c>
      <c r="F239" s="1">
        <v>15</v>
      </c>
      <c r="G239" s="1">
        <v>0.44675664808723003</v>
      </c>
      <c r="H239" s="1">
        <v>2.0175073024543821</v>
      </c>
      <c r="I239" s="1">
        <v>660.744971607362</v>
      </c>
      <c r="K239" s="1">
        <f t="shared" si="9"/>
        <v>0.51844027380245106</v>
      </c>
      <c r="L239" s="1">
        <f t="shared" si="10"/>
        <v>1.0033813800879701</v>
      </c>
      <c r="M239" s="1">
        <f t="shared" si="11"/>
        <v>328.21277735104911</v>
      </c>
      <c r="N239"/>
      <c r="P239" s="1"/>
    </row>
    <row r="240" spans="1:19" x14ac:dyDescent="0.3">
      <c r="A240" s="1">
        <v>240</v>
      </c>
      <c r="C240" s="1" t="s">
        <v>15</v>
      </c>
      <c r="D240" s="6">
        <v>21.1</v>
      </c>
      <c r="E240" s="1">
        <v>31</v>
      </c>
      <c r="F240" s="1">
        <v>30</v>
      </c>
      <c r="G240" s="1">
        <v>0.49839302887358272</v>
      </c>
      <c r="H240" s="1">
        <v>2.0202006752399368</v>
      </c>
      <c r="I240" s="1">
        <v>710.54145141225194</v>
      </c>
      <c r="K240" s="1">
        <f t="shared" si="9"/>
        <v>0.57836188774521058</v>
      </c>
      <c r="L240" s="1">
        <f t="shared" si="10"/>
        <v>1.0047208944973471</v>
      </c>
      <c r="M240" s="1">
        <f t="shared" si="11"/>
        <v>352.94825267265384</v>
      </c>
      <c r="N240"/>
      <c r="P240" s="1"/>
    </row>
    <row r="241" spans="1:19" x14ac:dyDescent="0.3">
      <c r="A241" s="1">
        <v>241</v>
      </c>
      <c r="C241" s="1" t="s">
        <v>15</v>
      </c>
      <c r="D241" s="6">
        <v>21.1</v>
      </c>
      <c r="E241" s="1">
        <v>32</v>
      </c>
      <c r="F241" s="1">
        <v>45</v>
      </c>
      <c r="G241" s="1">
        <v>0.52262038673264022</v>
      </c>
      <c r="H241" s="1">
        <v>2.0242407344182682</v>
      </c>
      <c r="I241" s="1">
        <v>665.97355841531873</v>
      </c>
      <c r="K241" s="1">
        <f t="shared" si="9"/>
        <v>0.60647660768443645</v>
      </c>
      <c r="L241" s="1">
        <f t="shared" si="10"/>
        <v>1.0067301661114125</v>
      </c>
      <c r="M241" s="1">
        <f t="shared" si="11"/>
        <v>330.8099806164571</v>
      </c>
      <c r="N241"/>
      <c r="P241" s="1"/>
    </row>
    <row r="242" spans="1:19" x14ac:dyDescent="0.3">
      <c r="A242" s="1">
        <v>242</v>
      </c>
      <c r="C242" s="1" t="s">
        <v>15</v>
      </c>
      <c r="D242" s="6">
        <v>21.1</v>
      </c>
      <c r="E242" s="1">
        <v>33</v>
      </c>
      <c r="F242" s="1">
        <v>0</v>
      </c>
      <c r="G242" s="1">
        <v>0.45006480136918969</v>
      </c>
      <c r="H242" s="1">
        <v>2.0700280717726933</v>
      </c>
      <c r="I242" s="1">
        <v>604.77004505773652</v>
      </c>
      <c r="K242" s="1">
        <f t="shared" si="9"/>
        <v>0.52227923154515654</v>
      </c>
      <c r="L242" s="1">
        <f t="shared" si="10"/>
        <v>1.0295019110708215</v>
      </c>
      <c r="M242" s="1">
        <f t="shared" si="11"/>
        <v>300.4082735041539</v>
      </c>
      <c r="N242" s="1">
        <f>SLOPE(K242:K245,F242:F245)</f>
        <v>2.7482421016897878E-3</v>
      </c>
      <c r="O242" s="1">
        <f>SLOPE(L242:L245,F242:F245)</f>
        <v>-1.9199706534403838E-4</v>
      </c>
      <c r="P242" s="1">
        <f>SLOPE(M242:M245,F242:F245)</f>
        <v>0.83231707312107084</v>
      </c>
      <c r="Q242" s="1">
        <f>(N242*41.35/0.31*60)/1000</f>
        <v>2.1994802110620531E-2</v>
      </c>
      <c r="R242" s="1">
        <f>O242*41.35/0.31*60/1000</f>
        <v>-1.5365958681243846E-3</v>
      </c>
      <c r="S242" s="1">
        <f>(O242*41.35/0.31*60)/1000</f>
        <v>-1.5365958681243846E-3</v>
      </c>
    </row>
    <row r="243" spans="1:19" x14ac:dyDescent="0.3">
      <c r="A243" s="1">
        <v>243</v>
      </c>
      <c r="C243" s="1" t="s">
        <v>15</v>
      </c>
      <c r="D243" s="6">
        <v>21.1</v>
      </c>
      <c r="E243" s="1">
        <v>34</v>
      </c>
      <c r="F243" s="1">
        <v>15</v>
      </c>
      <c r="G243" s="1">
        <v>0.47053643226696357</v>
      </c>
      <c r="H243" s="1">
        <v>2.0242407344182682</v>
      </c>
      <c r="I243" s="1">
        <v>689.70553298254447</v>
      </c>
      <c r="K243" s="1">
        <f t="shared" si="9"/>
        <v>0.54603560534119311</v>
      </c>
      <c r="L243" s="1">
        <f t="shared" si="10"/>
        <v>1.0067301661114125</v>
      </c>
      <c r="M243" s="1">
        <f t="shared" si="11"/>
        <v>342.59839766000323</v>
      </c>
      <c r="N243"/>
      <c r="P243" s="1"/>
    </row>
    <row r="244" spans="1:19" x14ac:dyDescent="0.3">
      <c r="A244" s="1">
        <v>244</v>
      </c>
      <c r="C244" s="1" t="s">
        <v>15</v>
      </c>
      <c r="D244" s="6">
        <v>21.1</v>
      </c>
      <c r="E244" s="1">
        <v>35</v>
      </c>
      <c r="F244" s="1">
        <v>30</v>
      </c>
      <c r="G244" s="1">
        <v>0.51046778835273554</v>
      </c>
      <c r="H244" s="1">
        <v>2.0471344030954808</v>
      </c>
      <c r="I244" s="1">
        <v>664.03317175547704</v>
      </c>
      <c r="K244" s="1">
        <f t="shared" si="9"/>
        <v>0.59237408350608589</v>
      </c>
      <c r="L244" s="1">
        <f t="shared" si="10"/>
        <v>1.018116038591117</v>
      </c>
      <c r="M244" s="1">
        <f t="shared" si="11"/>
        <v>329.84612962685014</v>
      </c>
      <c r="N244"/>
      <c r="P244" s="1"/>
    </row>
    <row r="245" spans="1:19" x14ac:dyDescent="0.3">
      <c r="A245" s="1">
        <v>245</v>
      </c>
      <c r="C245" s="1" t="s">
        <v>15</v>
      </c>
      <c r="D245" s="6">
        <v>21.1</v>
      </c>
      <c r="E245" s="1">
        <v>36</v>
      </c>
      <c r="F245" s="1">
        <v>45</v>
      </c>
      <c r="G245" s="1">
        <v>0.55516677710956697</v>
      </c>
      <c r="H245" s="1">
        <v>2.0430943439171489</v>
      </c>
      <c r="I245" s="1">
        <v>697.10688808625207</v>
      </c>
      <c r="K245" s="1">
        <f t="shared" si="9"/>
        <v>0.64424517724134833</v>
      </c>
      <c r="L245" s="1">
        <f t="shared" si="10"/>
        <v>1.0161067669770514</v>
      </c>
      <c r="M245" s="1">
        <f t="shared" si="11"/>
        <v>346.27488317125847</v>
      </c>
      <c r="N245"/>
      <c r="P245" s="1"/>
    </row>
    <row r="246" spans="1:19" x14ac:dyDescent="0.3">
      <c r="A246" s="1">
        <v>246</v>
      </c>
      <c r="C246" s="1" t="s">
        <v>15</v>
      </c>
      <c r="D246" s="6">
        <v>21.1</v>
      </c>
      <c r="E246" s="1">
        <v>37</v>
      </c>
      <c r="F246" s="1">
        <v>0</v>
      </c>
      <c r="G246" s="1">
        <v>0.42990452607442381</v>
      </c>
      <c r="H246" s="1">
        <v>1.9286260005310862</v>
      </c>
      <c r="I246" s="1">
        <v>542.88003761740595</v>
      </c>
      <c r="K246" s="1">
        <f t="shared" si="9"/>
        <v>0.49888417141902175</v>
      </c>
      <c r="L246" s="1">
        <f t="shared" si="10"/>
        <v>0.95917740457852885</v>
      </c>
      <c r="M246" s="1">
        <f t="shared" si="11"/>
        <v>269.66556322237409</v>
      </c>
      <c r="N246" s="1">
        <f>SLOPE(K246:K249,F246:F249)</f>
        <v>3.5305614707081857E-3</v>
      </c>
      <c r="O246" s="1">
        <f>SLOPE(L246:L249,F246:F249)</f>
        <v>5.3134071571954455E-4</v>
      </c>
      <c r="P246" s="1">
        <f>SLOPE(M246:M249,F246:F249)</f>
        <v>0.34240117024673317</v>
      </c>
      <c r="Q246" s="1">
        <f>(N246*41.35/0.31*60)/1000</f>
        <v>2.8255880673635513E-2</v>
      </c>
      <c r="R246" s="1">
        <f>O246*41.35/0.31*60/1000</f>
        <v>4.2524397280651292E-3</v>
      </c>
      <c r="S246" s="1">
        <f>(O246*41.35/0.31*60)/1000</f>
        <v>4.2524397280651292E-3</v>
      </c>
    </row>
    <row r="247" spans="1:19" x14ac:dyDescent="0.3">
      <c r="A247" s="1">
        <v>247</v>
      </c>
      <c r="C247" s="1" t="s">
        <v>15</v>
      </c>
      <c r="D247" s="6">
        <v>21.1</v>
      </c>
      <c r="E247" s="1">
        <v>38</v>
      </c>
      <c r="F247" s="1">
        <v>15</v>
      </c>
      <c r="G247" s="1">
        <v>0.52844857442644566</v>
      </c>
      <c r="H247" s="1">
        <v>1.9447862372444129</v>
      </c>
      <c r="I247" s="1">
        <v>683.90470639616137</v>
      </c>
      <c r="K247" s="1">
        <f t="shared" si="9"/>
        <v>0.61323994794290893</v>
      </c>
      <c r="L247" s="1">
        <f t="shared" si="10"/>
        <v>0.96721449103479085</v>
      </c>
      <c r="M247" s="1">
        <f t="shared" si="11"/>
        <v>339.71694492610334</v>
      </c>
      <c r="N247"/>
      <c r="P247" s="1"/>
    </row>
    <row r="248" spans="1:19" x14ac:dyDescent="0.3">
      <c r="A248" s="1">
        <v>248</v>
      </c>
      <c r="C248" s="1" t="s">
        <v>15</v>
      </c>
      <c r="D248" s="6">
        <v>21.1</v>
      </c>
      <c r="E248" s="1">
        <v>39</v>
      </c>
      <c r="F248" s="1">
        <v>30</v>
      </c>
      <c r="G248" s="1">
        <v>0.54740234675955568</v>
      </c>
      <c r="H248" s="1">
        <v>1.9636398467432936</v>
      </c>
      <c r="I248" s="1">
        <v>730.62600255251982</v>
      </c>
      <c r="K248" s="1">
        <f t="shared" si="9"/>
        <v>0.63523491759817463</v>
      </c>
      <c r="L248" s="1">
        <f t="shared" si="10"/>
        <v>0.97659109190042981</v>
      </c>
      <c r="M248" s="1">
        <f t="shared" si="11"/>
        <v>362.9248799567942</v>
      </c>
      <c r="N248"/>
      <c r="P248" s="1"/>
    </row>
    <row r="249" spans="1:19" x14ac:dyDescent="0.3">
      <c r="A249" s="1">
        <v>249</v>
      </c>
      <c r="C249" s="1" t="s">
        <v>15</v>
      </c>
      <c r="D249" s="6">
        <v>21.1</v>
      </c>
      <c r="E249" s="1">
        <v>40</v>
      </c>
      <c r="F249" s="1">
        <v>45</v>
      </c>
      <c r="G249" s="1">
        <v>0.5757065170454988</v>
      </c>
      <c r="H249" s="1">
        <v>1.9757600242782887</v>
      </c>
      <c r="I249" s="1">
        <v>561.77169636000656</v>
      </c>
      <c r="K249" s="1">
        <f t="shared" si="9"/>
        <v>0.66808058840267581</v>
      </c>
      <c r="L249" s="1">
        <f t="shared" si="10"/>
        <v>0.98261890674262642</v>
      </c>
      <c r="M249" s="1">
        <f t="shared" si="11"/>
        <v>279.04964339114713</v>
      </c>
      <c r="N249"/>
      <c r="P249" s="1"/>
    </row>
    <row r="250" spans="1:19" x14ac:dyDescent="0.3">
      <c r="A250" s="1">
        <v>250</v>
      </c>
      <c r="C250" s="1" t="s">
        <v>15</v>
      </c>
      <c r="D250" s="6">
        <v>21.1</v>
      </c>
      <c r="E250" s="1">
        <v>41</v>
      </c>
      <c r="F250" s="1">
        <v>0</v>
      </c>
      <c r="G250" s="1">
        <v>0.51386351039804112</v>
      </c>
      <c r="H250" s="1">
        <v>1.9420928644588582</v>
      </c>
      <c r="I250" s="1">
        <v>593.09577262374876</v>
      </c>
      <c r="K250" s="1">
        <f t="shared" si="9"/>
        <v>0.59631466071845129</v>
      </c>
      <c r="L250" s="1">
        <f t="shared" si="10"/>
        <v>0.96587497662541377</v>
      </c>
      <c r="M250" s="1">
        <f t="shared" si="11"/>
        <v>294.60929576877913</v>
      </c>
      <c r="N250" s="1">
        <f>SLOPE(K250:K253,F250:F253)</f>
        <v>4.2569524945730583E-3</v>
      </c>
      <c r="O250" s="1">
        <f>SLOPE(L250:L253,F250:F253)</f>
        <v>7.5905816531364562E-5</v>
      </c>
      <c r="P250" s="1">
        <f>SLOPE(M250:M253,F250:F253)</f>
        <v>0.35220000133202684</v>
      </c>
      <c r="Q250" s="1">
        <f>(N250*41.35/0.31*60)/1000</f>
        <v>3.4069352061405676E-2</v>
      </c>
      <c r="R250" s="1">
        <f>O250*41.35/0.31*60/1000</f>
        <v>6.0749138972359838E-4</v>
      </c>
      <c r="S250" s="1">
        <f>(O250*41.35/0.31*60)/1000</f>
        <v>6.0749138972359838E-4</v>
      </c>
    </row>
    <row r="251" spans="1:19" x14ac:dyDescent="0.3">
      <c r="A251" s="1">
        <v>251</v>
      </c>
      <c r="C251" s="1" t="s">
        <v>15</v>
      </c>
      <c r="D251" s="6">
        <v>21.1</v>
      </c>
      <c r="E251" s="1">
        <v>42</v>
      </c>
      <c r="F251" s="1">
        <v>15</v>
      </c>
      <c r="G251" s="1">
        <v>0.50270335800272437</v>
      </c>
      <c r="H251" s="1">
        <v>1.9299726869238634</v>
      </c>
      <c r="I251" s="1">
        <v>620.8915210489364</v>
      </c>
      <c r="K251" s="1">
        <f t="shared" si="9"/>
        <v>0.58336382386291241</v>
      </c>
      <c r="L251" s="1">
        <f t="shared" si="10"/>
        <v>0.95984716178321738</v>
      </c>
      <c r="M251" s="1">
        <f t="shared" si="11"/>
        <v>308.41631690582847</v>
      </c>
      <c r="N251"/>
      <c r="P251" s="1"/>
    </row>
    <row r="252" spans="1:19" x14ac:dyDescent="0.3">
      <c r="A252" s="1">
        <v>252</v>
      </c>
      <c r="C252" s="1" t="s">
        <v>15</v>
      </c>
      <c r="D252" s="6">
        <v>21.1</v>
      </c>
      <c r="E252" s="1">
        <v>43</v>
      </c>
      <c r="F252" s="1">
        <v>30</v>
      </c>
      <c r="G252" s="1">
        <v>0.55080779866745533</v>
      </c>
      <c r="H252" s="1">
        <v>1.9730666514927344</v>
      </c>
      <c r="I252" s="1">
        <v>662.96712100074365</v>
      </c>
      <c r="K252" s="1">
        <f t="shared" si="9"/>
        <v>0.63918678586272448</v>
      </c>
      <c r="L252" s="1">
        <f t="shared" si="10"/>
        <v>0.98127939233324946</v>
      </c>
      <c r="M252" s="1">
        <f t="shared" si="11"/>
        <v>329.31658873884754</v>
      </c>
      <c r="N252"/>
      <c r="P252" s="1"/>
    </row>
    <row r="253" spans="1:19" x14ac:dyDescent="0.3">
      <c r="A253" s="1">
        <v>253</v>
      </c>
      <c r="C253" s="1" t="s">
        <v>15</v>
      </c>
      <c r="D253" s="6">
        <v>21.1</v>
      </c>
      <c r="E253" s="1">
        <v>44</v>
      </c>
      <c r="F253" s="1">
        <v>45</v>
      </c>
      <c r="G253" s="1">
        <v>0.68124633660260603</v>
      </c>
      <c r="H253" s="1">
        <v>1.9353594324949723</v>
      </c>
      <c r="I253" s="1">
        <v>614.52232771139211</v>
      </c>
      <c r="K253" s="1">
        <f t="shared" si="9"/>
        <v>0.79055463144716687</v>
      </c>
      <c r="L253" s="1">
        <f t="shared" si="10"/>
        <v>0.96252619060197131</v>
      </c>
      <c r="M253" s="1">
        <f t="shared" si="11"/>
        <v>305.25253855770745</v>
      </c>
      <c r="N253"/>
      <c r="P253" s="1"/>
    </row>
    <row r="254" spans="1:19" x14ac:dyDescent="0.3">
      <c r="A254" s="1">
        <v>254</v>
      </c>
      <c r="C254" s="1" t="s">
        <v>15</v>
      </c>
      <c r="D254" s="6">
        <v>21.1</v>
      </c>
      <c r="E254" s="1">
        <v>45</v>
      </c>
      <c r="F254" s="1">
        <v>0</v>
      </c>
      <c r="G254" s="1">
        <v>0.43458458998213728</v>
      </c>
      <c r="H254" s="1">
        <v>1.9488262964227443</v>
      </c>
      <c r="I254" s="1">
        <v>630.12384979224521</v>
      </c>
      <c r="K254" s="1">
        <f t="shared" si="9"/>
        <v>0.50431516751973149</v>
      </c>
      <c r="L254" s="1">
        <f t="shared" si="10"/>
        <v>0.96922376264885624</v>
      </c>
      <c r="M254" s="1">
        <f t="shared" si="11"/>
        <v>313.00230452354424</v>
      </c>
      <c r="N254" s="1">
        <f>SLOPE(K254:K257,F254:F257)</f>
        <v>6.9652242715299729E-3</v>
      </c>
      <c r="O254" s="1">
        <f>SLOPE(L254:L257,F254:F257)</f>
        <v>1.4288153700021825E-4</v>
      </c>
      <c r="P254" s="1">
        <f>SLOPE(M254:M257,F254:F257)</f>
        <v>0.99158655534248197</v>
      </c>
      <c r="Q254" s="1">
        <f>(N254*41.35/0.31*60)/1000</f>
        <v>5.5744262637631818E-2</v>
      </c>
      <c r="R254" s="1">
        <f>O254*41.35/0.31*60/1000</f>
        <v>1.1435132041856175E-3</v>
      </c>
      <c r="S254" s="1">
        <f>(O254*41.35/0.31*60)/1000</f>
        <v>1.1435132041856175E-3</v>
      </c>
    </row>
    <row r="255" spans="1:19" x14ac:dyDescent="0.3">
      <c r="A255" s="1">
        <v>255</v>
      </c>
      <c r="C255" s="1" t="s">
        <v>15</v>
      </c>
      <c r="D255" s="6">
        <v>21.1</v>
      </c>
      <c r="E255" s="1">
        <v>46</v>
      </c>
      <c r="F255" s="1">
        <v>15</v>
      </c>
      <c r="G255" s="1">
        <v>0.42593474213607219</v>
      </c>
      <c r="H255" s="1">
        <v>1.9690265923144026</v>
      </c>
      <c r="I255" s="1">
        <v>579.6524949864023</v>
      </c>
      <c r="K255" s="1">
        <f t="shared" si="9"/>
        <v>0.49427742212777498</v>
      </c>
      <c r="L255" s="1">
        <f t="shared" si="10"/>
        <v>0.97927012071918396</v>
      </c>
      <c r="M255" s="1">
        <f t="shared" si="11"/>
        <v>287.9315975952747</v>
      </c>
      <c r="N255"/>
      <c r="P255" s="1"/>
    </row>
    <row r="256" spans="1:19" x14ac:dyDescent="0.3">
      <c r="A256" s="1">
        <v>256</v>
      </c>
      <c r="C256" s="1" t="s">
        <v>15</v>
      </c>
      <c r="D256" s="6">
        <v>21.1</v>
      </c>
      <c r="E256" s="1">
        <v>47</v>
      </c>
      <c r="F256" s="1">
        <v>30</v>
      </c>
      <c r="G256" s="1">
        <v>0.54266390367627815</v>
      </c>
      <c r="H256" s="1">
        <v>1.951519669208299</v>
      </c>
      <c r="I256" s="1">
        <v>676.13831847271319</v>
      </c>
      <c r="K256" s="1">
        <f t="shared" si="9"/>
        <v>0.6297361751843582</v>
      </c>
      <c r="L256" s="1">
        <f t="shared" si="10"/>
        <v>0.97056327705823353</v>
      </c>
      <c r="M256" s="1">
        <f t="shared" si="11"/>
        <v>335.85913614983724</v>
      </c>
      <c r="N256"/>
      <c r="P256" s="1"/>
    </row>
    <row r="257" spans="1:19" x14ac:dyDescent="0.3">
      <c r="A257" s="1">
        <v>257</v>
      </c>
      <c r="C257" s="1" t="s">
        <v>15</v>
      </c>
      <c r="D257" s="6">
        <v>21.1</v>
      </c>
      <c r="E257" s="1">
        <v>48</v>
      </c>
      <c r="F257" s="1">
        <v>45</v>
      </c>
      <c r="G257" s="1">
        <v>0.69578275131804046</v>
      </c>
      <c r="H257" s="1">
        <v>1.9690265923144026</v>
      </c>
      <c r="I257" s="1">
        <v>697.77304877585846</v>
      </c>
      <c r="K257" s="1">
        <f t="shared" si="9"/>
        <v>0.80742346341070237</v>
      </c>
      <c r="L257" s="1">
        <f t="shared" si="10"/>
        <v>0.97927012071918396</v>
      </c>
      <c r="M257" s="1">
        <f t="shared" si="11"/>
        <v>346.60578610581416</v>
      </c>
      <c r="N257"/>
      <c r="P257" s="1"/>
    </row>
    <row r="258" spans="1:19" x14ac:dyDescent="0.3">
      <c r="A258" s="1">
        <v>258</v>
      </c>
      <c r="C258" s="1" t="s">
        <v>15</v>
      </c>
      <c r="D258" s="6">
        <v>21.1</v>
      </c>
      <c r="E258" s="1">
        <v>49</v>
      </c>
      <c r="F258" s="1">
        <v>0</v>
      </c>
      <c r="G258" s="1">
        <v>0.42678124018175007</v>
      </c>
      <c r="H258" s="1">
        <v>1.9771067106710658</v>
      </c>
      <c r="I258" s="1">
        <v>561.98858588685516</v>
      </c>
      <c r="K258" s="1">
        <f t="shared" si="9"/>
        <v>0.49525974366782022</v>
      </c>
      <c r="L258" s="1">
        <f t="shared" si="10"/>
        <v>0.98328866394731484</v>
      </c>
      <c r="M258" s="1">
        <f t="shared" si="11"/>
        <v>279.1573792303048</v>
      </c>
      <c r="N258" s="1">
        <f>SLOPE(K258:K261,F258:F261)</f>
        <v>1.7869219187075845E-3</v>
      </c>
      <c r="O258" s="1">
        <f>SLOPE(L258:L261,F258:F261)</f>
        <v>-2.6790288187540146E-4</v>
      </c>
      <c r="P258" s="1">
        <f>SLOPE(M258:M261,F258:F261)</f>
        <v>0.61591232548446773</v>
      </c>
      <c r="Q258" s="1">
        <f>(N258*41.35/0.31*60)/1000</f>
        <v>1.4301139613914571E-2</v>
      </c>
      <c r="R258" s="1">
        <f>O258*41.35/0.31*60/1000</f>
        <v>-2.1440872578479711E-3</v>
      </c>
      <c r="S258" s="1">
        <f>(O258*41.35/0.31*60)/1000</f>
        <v>-2.1440872578479711E-3</v>
      </c>
    </row>
    <row r="259" spans="1:19" x14ac:dyDescent="0.3">
      <c r="A259" s="1">
        <v>259</v>
      </c>
      <c r="C259" s="1" t="s">
        <v>15</v>
      </c>
      <c r="D259" s="6">
        <v>21.1</v>
      </c>
      <c r="E259" s="1">
        <v>50</v>
      </c>
      <c r="F259" s="1">
        <v>15</v>
      </c>
      <c r="G259" s="1">
        <v>0.45435567077314332</v>
      </c>
      <c r="H259" s="1">
        <v>1.9717199650999573</v>
      </c>
      <c r="I259" s="1">
        <v>595.36052531704706</v>
      </c>
      <c r="K259" s="1">
        <f t="shared" ref="K259:K322" si="12">(G259*28*1)/(0.082*(D259+273.15))</f>
        <v>0.52725858555848937</v>
      </c>
      <c r="L259" s="1">
        <f t="shared" ref="L259:L322" si="13">(H259*12*1)/(0.082*(D259+273.15))</f>
        <v>0.98060963512856103</v>
      </c>
      <c r="M259" s="1">
        <f t="shared" ref="M259:M322" si="14">(I259*12*1)/(0.0821*(D259+273.15))</f>
        <v>295.73426955355495</v>
      </c>
      <c r="N259"/>
      <c r="P259" s="1"/>
    </row>
    <row r="260" spans="1:19" x14ac:dyDescent="0.3">
      <c r="A260" s="1">
        <v>260</v>
      </c>
      <c r="C260" s="1" t="s">
        <v>15</v>
      </c>
      <c r="D260" s="6">
        <v>21.1</v>
      </c>
      <c r="E260" s="1">
        <v>51</v>
      </c>
      <c r="F260" s="1">
        <v>30</v>
      </c>
      <c r="G260" s="1">
        <v>0.45435567077314332</v>
      </c>
      <c r="H260" s="1">
        <v>1.9717199650999573</v>
      </c>
      <c r="I260" s="1">
        <v>595.36052531704706</v>
      </c>
      <c r="K260" s="1">
        <f t="shared" si="12"/>
        <v>0.52725858555848937</v>
      </c>
      <c r="L260" s="1">
        <f t="shared" si="13"/>
        <v>0.98060963512856103</v>
      </c>
      <c r="M260" s="1">
        <f t="shared" si="14"/>
        <v>295.73426955355495</v>
      </c>
      <c r="N260"/>
      <c r="P260" s="1"/>
    </row>
    <row r="261" spans="1:19" x14ac:dyDescent="0.3">
      <c r="A261" s="1">
        <v>261</v>
      </c>
      <c r="C261" s="1" t="s">
        <v>15</v>
      </c>
      <c r="D261" s="6">
        <v>21.1</v>
      </c>
      <c r="E261" s="1">
        <v>52</v>
      </c>
      <c r="F261" s="1">
        <v>45</v>
      </c>
      <c r="G261" s="1">
        <v>0.50377364288806425</v>
      </c>
      <c r="H261" s="1">
        <v>1.9501729828155214</v>
      </c>
      <c r="I261" s="1">
        <v>623.98510157697751</v>
      </c>
      <c r="K261" s="1">
        <f t="shared" si="12"/>
        <v>0.58460583960319945</v>
      </c>
      <c r="L261" s="1">
        <f t="shared" si="13"/>
        <v>0.96989351985354477</v>
      </c>
      <c r="M261" s="1">
        <f t="shared" si="14"/>
        <v>309.95299550452819</v>
      </c>
      <c r="N261"/>
      <c r="P261" s="1"/>
    </row>
    <row r="262" spans="1:19" x14ac:dyDescent="0.3">
      <c r="A262" s="1">
        <v>262</v>
      </c>
      <c r="C262" s="1" t="s">
        <v>15</v>
      </c>
      <c r="D262" s="6">
        <v>21.1</v>
      </c>
      <c r="E262" s="1">
        <v>53</v>
      </c>
      <c r="F262" s="1">
        <v>0</v>
      </c>
      <c r="G262" s="1">
        <v>0.42609041993757618</v>
      </c>
      <c r="H262" s="1">
        <v>1.9703732787071797</v>
      </c>
      <c r="I262" s="1">
        <v>590.10966860231576</v>
      </c>
      <c r="K262" s="1">
        <f t="shared" si="12"/>
        <v>0.49445807896272592</v>
      </c>
      <c r="L262" s="1">
        <f t="shared" si="13"/>
        <v>0.97993987792387238</v>
      </c>
      <c r="M262" s="1">
        <f t="shared" si="14"/>
        <v>293.12600412609066</v>
      </c>
      <c r="N262" s="1">
        <f>SLOPE(K262:K265,F262:F265)</f>
        <v>5.8254301903525724E-4</v>
      </c>
      <c r="O262" s="1">
        <f>SLOPE(L262:L265,F262:F265)</f>
        <v>-1.875320173127822E-4</v>
      </c>
      <c r="P262" s="1">
        <f>SLOPE(M262:M265,F262:F265)</f>
        <v>1.2737165777128276</v>
      </c>
      <c r="Q262" s="1">
        <f>(N262*41.35/0.31*60)/1000</f>
        <v>4.6622233233112034E-3</v>
      </c>
      <c r="R262" s="1">
        <f>O262*41.35/0.31*60/1000</f>
        <v>-1.500861080493589E-3</v>
      </c>
      <c r="S262" s="1">
        <f>(O262*41.35/0.31*60)/1000</f>
        <v>-1.500861080493589E-3</v>
      </c>
    </row>
    <row r="263" spans="1:19" x14ac:dyDescent="0.3">
      <c r="A263" s="1">
        <v>263</v>
      </c>
      <c r="C263" s="1" t="s">
        <v>15</v>
      </c>
      <c r="D263" s="6">
        <v>21.1</v>
      </c>
      <c r="E263" s="1">
        <v>54</v>
      </c>
      <c r="F263" s="1">
        <v>15</v>
      </c>
      <c r="G263" s="1">
        <v>0.44400309697312829</v>
      </c>
      <c r="H263" s="1">
        <v>1.9771067106710658</v>
      </c>
      <c r="I263" s="1">
        <v>590.6083208627042</v>
      </c>
      <c r="K263" s="1">
        <f t="shared" si="12"/>
        <v>0.51524490603425788</v>
      </c>
      <c r="L263" s="1">
        <f t="shared" si="13"/>
        <v>0.98328866394731484</v>
      </c>
      <c r="M263" s="1">
        <f t="shared" si="14"/>
        <v>293.37370036343975</v>
      </c>
      <c r="N263"/>
      <c r="P263" s="1"/>
    </row>
    <row r="264" spans="1:19" x14ac:dyDescent="0.3">
      <c r="A264" s="1">
        <v>264</v>
      </c>
      <c r="C264" s="1" t="s">
        <v>15</v>
      </c>
      <c r="D264" s="6">
        <v>21.1</v>
      </c>
      <c r="E264" s="1">
        <v>55</v>
      </c>
      <c r="F264" s="1">
        <v>30</v>
      </c>
      <c r="G264" s="1">
        <v>0.43532405953928122</v>
      </c>
      <c r="H264" s="1">
        <v>1.9811467698493974</v>
      </c>
      <c r="I264" s="1">
        <v>631.39129796476652</v>
      </c>
      <c r="K264" s="1">
        <f t="shared" si="12"/>
        <v>0.50517328748574808</v>
      </c>
      <c r="L264" s="1">
        <f t="shared" si="13"/>
        <v>0.98529793556138034</v>
      </c>
      <c r="M264" s="1">
        <f t="shared" si="14"/>
        <v>313.63188583362177</v>
      </c>
      <c r="N264"/>
      <c r="P264" s="1"/>
    </row>
    <row r="265" spans="1:19" x14ac:dyDescent="0.3">
      <c r="A265" s="1">
        <v>265</v>
      </c>
      <c r="C265" s="1" t="s">
        <v>15</v>
      </c>
      <c r="D265" s="6">
        <v>21.1</v>
      </c>
      <c r="E265" s="1">
        <v>56</v>
      </c>
      <c r="F265" s="1">
        <v>45</v>
      </c>
      <c r="G265" s="1">
        <v>0.45408323462051131</v>
      </c>
      <c r="H265" s="1">
        <v>1.9501729828155214</v>
      </c>
      <c r="I265" s="1">
        <v>704.72513271680828</v>
      </c>
      <c r="K265" s="1">
        <f t="shared" si="12"/>
        <v>0.52694243609732538</v>
      </c>
      <c r="L265" s="1">
        <f t="shared" si="13"/>
        <v>0.96989351985354477</v>
      </c>
      <c r="M265" s="1">
        <f t="shared" si="14"/>
        <v>350.05910452167137</v>
      </c>
      <c r="N265"/>
      <c r="P265" s="1"/>
    </row>
    <row r="266" spans="1:19" x14ac:dyDescent="0.3">
      <c r="A266" s="1">
        <v>266</v>
      </c>
      <c r="C266" s="1" t="s">
        <v>15</v>
      </c>
      <c r="D266" s="6">
        <v>21.1</v>
      </c>
      <c r="E266" s="1">
        <v>57</v>
      </c>
      <c r="F266" s="1">
        <v>0</v>
      </c>
      <c r="G266" s="1">
        <v>0.41576703572534324</v>
      </c>
      <c r="H266" s="1">
        <v>1.9636398467432936</v>
      </c>
      <c r="I266" s="1">
        <v>564.25043380970453</v>
      </c>
      <c r="K266" s="1">
        <f t="shared" si="12"/>
        <v>0.48247827259504772</v>
      </c>
      <c r="L266" s="1">
        <f t="shared" si="13"/>
        <v>0.97659109190042981</v>
      </c>
      <c r="M266" s="1">
        <f t="shared" si="14"/>
        <v>280.28091012437756</v>
      </c>
      <c r="N266" s="1">
        <f>SLOPE(K266:K269,F266:F269)</f>
        <v>2.5316044471112254E-3</v>
      </c>
      <c r="O266" s="1">
        <f>SLOPE(L266:L269,F266:F269)</f>
        <v>-2.6790288187537777E-5</v>
      </c>
      <c r="P266" s="1">
        <f>SLOPE(M266:M269,F266:F269)</f>
        <v>0.88736816307636668</v>
      </c>
      <c r="Q266" s="1">
        <f>(N266*41.35/0.31*60)/1000</f>
        <v>2.0261002042848225E-2</v>
      </c>
      <c r="R266" s="1">
        <f>O266*41.35/0.31*60/1000</f>
        <v>-2.1440872578477814E-4</v>
      </c>
      <c r="S266" s="1">
        <f>(O266*41.35/0.31*60)/1000</f>
        <v>-2.1440872578477814E-4</v>
      </c>
    </row>
    <row r="267" spans="1:19" x14ac:dyDescent="0.3">
      <c r="A267" s="1">
        <v>267</v>
      </c>
      <c r="C267" s="1" t="s">
        <v>15</v>
      </c>
      <c r="D267" s="6">
        <v>21.1</v>
      </c>
      <c r="E267" s="1">
        <v>58</v>
      </c>
      <c r="F267" s="1">
        <v>15</v>
      </c>
      <c r="G267" s="1">
        <v>0.43494459489811532</v>
      </c>
      <c r="H267" s="1">
        <v>1.9973070065627239</v>
      </c>
      <c r="I267" s="1">
        <v>719.88706620306652</v>
      </c>
      <c r="K267" s="1">
        <f t="shared" si="12"/>
        <v>0.5047329364505555</v>
      </c>
      <c r="L267" s="1">
        <f t="shared" si="13"/>
        <v>0.99333502201764234</v>
      </c>
      <c r="M267" s="1">
        <f t="shared" si="14"/>
        <v>357.59051302778681</v>
      </c>
      <c r="N267"/>
      <c r="P267" s="1"/>
    </row>
    <row r="268" spans="1:19" x14ac:dyDescent="0.3">
      <c r="A268" s="1">
        <v>268</v>
      </c>
      <c r="C268" s="1" t="s">
        <v>15</v>
      </c>
      <c r="D268" s="6">
        <v>21.1</v>
      </c>
      <c r="E268" s="1">
        <v>59</v>
      </c>
      <c r="F268" s="1">
        <v>30</v>
      </c>
      <c r="G268" s="1">
        <v>0.55922412981126446</v>
      </c>
      <c r="H268" s="1">
        <v>1.9690265923144026</v>
      </c>
      <c r="I268" s="1">
        <v>640.67688083297105</v>
      </c>
      <c r="K268" s="1">
        <f t="shared" si="12"/>
        <v>0.64895354600225474</v>
      </c>
      <c r="L268" s="1">
        <f t="shared" si="13"/>
        <v>0.97927012071918396</v>
      </c>
      <c r="M268" s="1">
        <f t="shared" si="14"/>
        <v>318.24432644755922</v>
      </c>
      <c r="N268"/>
      <c r="P268" s="1"/>
    </row>
    <row r="269" spans="1:19" x14ac:dyDescent="0.3">
      <c r="A269" s="1">
        <v>269</v>
      </c>
      <c r="C269" s="1" t="s">
        <v>15</v>
      </c>
      <c r="D269" s="6">
        <v>21.1</v>
      </c>
      <c r="E269" s="1">
        <v>60</v>
      </c>
      <c r="F269" s="1">
        <v>45</v>
      </c>
      <c r="G269" s="1">
        <v>0.48341877034141828</v>
      </c>
      <c r="H269" s="1">
        <v>1.9703732787071797</v>
      </c>
      <c r="I269" s="1">
        <v>679.97455197884733</v>
      </c>
      <c r="K269" s="1">
        <f t="shared" si="12"/>
        <v>0.56098495843337592</v>
      </c>
      <c r="L269" s="1">
        <f t="shared" si="13"/>
        <v>0.97993987792387238</v>
      </c>
      <c r="M269" s="1">
        <f t="shared" si="14"/>
        <v>337.76471380493842</v>
      </c>
      <c r="N269"/>
      <c r="P269" s="1"/>
    </row>
    <row r="270" spans="1:19" x14ac:dyDescent="0.3">
      <c r="A270" s="1">
        <v>270</v>
      </c>
      <c r="C270" s="1" t="s">
        <v>15</v>
      </c>
      <c r="D270" s="6">
        <v>21.1</v>
      </c>
      <c r="E270" s="1">
        <v>61</v>
      </c>
      <c r="F270" s="1">
        <v>0</v>
      </c>
      <c r="G270" s="1">
        <v>0.51450568132924512</v>
      </c>
      <c r="H270" s="1">
        <v>1.9865335154205064</v>
      </c>
      <c r="I270" s="1">
        <v>643.12657057818046</v>
      </c>
      <c r="K270" s="1">
        <f t="shared" si="12"/>
        <v>0.59705987016262352</v>
      </c>
      <c r="L270" s="1">
        <f t="shared" si="13"/>
        <v>0.98797696438013449</v>
      </c>
      <c r="M270" s="1">
        <f t="shared" si="14"/>
        <v>319.46116427375966</v>
      </c>
      <c r="N270" s="1">
        <f>SLOPE(K270:K273,F270:F273)</f>
        <v>-3.9164896343719371E-4</v>
      </c>
      <c r="O270" s="1">
        <f>SLOPE(L270:L273,F270:F273)</f>
        <v>-3.482737464380222E-4</v>
      </c>
      <c r="P270" s="1">
        <f>SLOPE(M270:M273,F270:F273)</f>
        <v>5.6615824762110002E-2</v>
      </c>
      <c r="Q270" s="1">
        <f>(N270*41.35/0.31*60)/1000</f>
        <v>-3.1344550912505735E-3</v>
      </c>
      <c r="R270" s="1">
        <f>O270*41.35/0.31*60/1000</f>
        <v>-2.7873134352023646E-3</v>
      </c>
      <c r="S270" s="1">
        <f>(O270*41.35/0.31*60)/1000</f>
        <v>-2.7873134352023646E-3</v>
      </c>
    </row>
    <row r="271" spans="1:19" x14ac:dyDescent="0.3">
      <c r="A271" s="1">
        <v>271</v>
      </c>
      <c r="C271" s="1" t="s">
        <v>15</v>
      </c>
      <c r="D271" s="6">
        <v>21.1</v>
      </c>
      <c r="E271" s="1">
        <v>62</v>
      </c>
      <c r="F271" s="1">
        <v>15</v>
      </c>
      <c r="G271" s="1">
        <v>0.49586326459914298</v>
      </c>
      <c r="H271" s="1">
        <v>1.9528663556010761</v>
      </c>
      <c r="I271" s="1">
        <v>689.34727796051789</v>
      </c>
      <c r="K271" s="1">
        <f t="shared" si="12"/>
        <v>0.57542621417725937</v>
      </c>
      <c r="L271" s="1">
        <f t="shared" si="13"/>
        <v>0.97123303426292196</v>
      </c>
      <c r="M271" s="1">
        <f t="shared" si="14"/>
        <v>342.42044113996599</v>
      </c>
      <c r="N271"/>
      <c r="P271" s="1"/>
    </row>
    <row r="272" spans="1:19" x14ac:dyDescent="0.3">
      <c r="A272" s="1">
        <v>272</v>
      </c>
      <c r="C272" s="1" t="s">
        <v>15</v>
      </c>
      <c r="D272" s="6">
        <v>21.1</v>
      </c>
      <c r="E272" s="1">
        <v>63</v>
      </c>
      <c r="F272" s="1">
        <v>30</v>
      </c>
      <c r="G272" s="1">
        <v>0.48697990005082187</v>
      </c>
      <c r="H272" s="1">
        <v>1.9851868290277292</v>
      </c>
      <c r="I272" s="1">
        <v>646.54161236922926</v>
      </c>
      <c r="K272" s="1">
        <f t="shared" si="12"/>
        <v>0.5651174835328765</v>
      </c>
      <c r="L272" s="1">
        <f t="shared" si="13"/>
        <v>0.98730720717544607</v>
      </c>
      <c r="M272" s="1">
        <f t="shared" si="14"/>
        <v>321.15752277692519</v>
      </c>
      <c r="N272"/>
      <c r="P272" s="1"/>
    </row>
    <row r="273" spans="1:19" x14ac:dyDescent="0.3">
      <c r="A273" s="1">
        <v>273</v>
      </c>
      <c r="C273" s="1" t="s">
        <v>15</v>
      </c>
      <c r="D273" s="6">
        <v>21.1</v>
      </c>
      <c r="E273" s="1">
        <v>64</v>
      </c>
      <c r="F273" s="1">
        <v>45</v>
      </c>
      <c r="G273" s="1">
        <v>0.50059197781982656</v>
      </c>
      <c r="H273" s="1">
        <v>1.9407461780660811</v>
      </c>
      <c r="I273" s="1">
        <v>663.09396264367751</v>
      </c>
      <c r="K273" s="1">
        <f t="shared" si="12"/>
        <v>0.58091366553889145</v>
      </c>
      <c r="L273" s="1">
        <f t="shared" si="13"/>
        <v>0.96520521942072535</v>
      </c>
      <c r="M273" s="1">
        <f t="shared" si="14"/>
        <v>329.3795949662121</v>
      </c>
      <c r="N273"/>
      <c r="P273" s="1"/>
    </row>
    <row r="274" spans="1:19" x14ac:dyDescent="0.3">
      <c r="A274" s="1">
        <v>274</v>
      </c>
      <c r="C274" s="1" t="s">
        <v>15</v>
      </c>
      <c r="D274" s="6">
        <v>21.1</v>
      </c>
      <c r="E274" s="1">
        <v>65</v>
      </c>
      <c r="F274" s="1">
        <v>0</v>
      </c>
      <c r="G274" s="1">
        <v>0.41733354360297709</v>
      </c>
      <c r="H274" s="1">
        <v>1.9636398467432936</v>
      </c>
      <c r="I274" s="1">
        <v>531.18252701982726</v>
      </c>
      <c r="K274" s="1">
        <f t="shared" si="12"/>
        <v>0.48429613199674065</v>
      </c>
      <c r="L274" s="1">
        <f t="shared" si="13"/>
        <v>0.97659109190042981</v>
      </c>
      <c r="M274" s="1">
        <f t="shared" si="14"/>
        <v>263.85504236137524</v>
      </c>
      <c r="N274" s="1">
        <f>SLOPE(K274:K277,F274:F277)</f>
        <v>-8.4682891383211316E-5</v>
      </c>
      <c r="O274" s="1">
        <f>SLOPE(L274:L277,F274:F277)</f>
        <v>1.6074172912524146E-4</v>
      </c>
      <c r="P274" s="1">
        <f>SLOPE(M274:M277,F274:F277)</f>
        <v>0.3853480104157142</v>
      </c>
      <c r="Q274" s="1">
        <f>(N274*41.35/0.31*60)/1000</f>
        <v>-6.7773630168305578E-4</v>
      </c>
      <c r="R274" s="1">
        <f>O274*41.35/0.31*60/1000</f>
        <v>1.2864523547087873E-3</v>
      </c>
      <c r="S274" s="1">
        <f>(O274*41.35/0.31*60)/1000</f>
        <v>1.2864523547087873E-3</v>
      </c>
    </row>
    <row r="275" spans="1:19" x14ac:dyDescent="0.3">
      <c r="A275" s="1">
        <v>275</v>
      </c>
      <c r="C275" s="1" t="s">
        <v>15</v>
      </c>
      <c r="D275" s="6">
        <v>21.1</v>
      </c>
      <c r="E275" s="1">
        <v>66</v>
      </c>
      <c r="F275" s="1">
        <v>15</v>
      </c>
      <c r="G275" s="1">
        <v>0.41386971251951343</v>
      </c>
      <c r="H275" s="1">
        <v>1.9542130419938533</v>
      </c>
      <c r="I275" s="1">
        <v>566.75628245025871</v>
      </c>
      <c r="K275" s="1">
        <f t="shared" si="12"/>
        <v>0.48027651741908423</v>
      </c>
      <c r="L275" s="1">
        <f t="shared" si="13"/>
        <v>0.97190279146761038</v>
      </c>
      <c r="M275" s="1">
        <f t="shared" si="14"/>
        <v>281.52564383750274</v>
      </c>
      <c r="N275"/>
      <c r="P275" s="1"/>
    </row>
    <row r="276" spans="1:19" x14ac:dyDescent="0.3">
      <c r="A276" s="1">
        <v>276</v>
      </c>
      <c r="C276" s="1" t="s">
        <v>15</v>
      </c>
      <c r="D276" s="6">
        <v>21.1</v>
      </c>
      <c r="E276" s="1">
        <v>67</v>
      </c>
      <c r="F276" s="1">
        <v>30</v>
      </c>
      <c r="G276" s="1">
        <v>0.42446553288437833</v>
      </c>
      <c r="H276" s="1">
        <v>1.94613292363719</v>
      </c>
      <c r="I276" s="1">
        <v>594.43584005749176</v>
      </c>
      <c r="K276" s="1">
        <f t="shared" si="12"/>
        <v>0.49257247324792636</v>
      </c>
      <c r="L276" s="1">
        <f t="shared" si="13"/>
        <v>0.96788424823947938</v>
      </c>
      <c r="M276" s="1">
        <f t="shared" si="14"/>
        <v>295.27494934643187</v>
      </c>
      <c r="N276"/>
      <c r="P276" s="1"/>
    </row>
    <row r="277" spans="1:19" x14ac:dyDescent="0.3">
      <c r="A277" s="1">
        <v>277</v>
      </c>
      <c r="C277" s="1" t="s">
        <v>15</v>
      </c>
      <c r="D277" s="6">
        <v>21.1</v>
      </c>
      <c r="E277" s="1">
        <v>68</v>
      </c>
      <c r="F277" s="1">
        <v>45</v>
      </c>
      <c r="G277" s="1">
        <v>0.41015290500860579</v>
      </c>
      <c r="H277" s="1">
        <v>1.9824934562421745</v>
      </c>
      <c r="I277" s="1">
        <v>560.74437587792477</v>
      </c>
      <c r="K277" s="1">
        <f t="shared" si="12"/>
        <v>0.47596333548463271</v>
      </c>
      <c r="L277" s="1">
        <f t="shared" si="13"/>
        <v>0.98596769276606888</v>
      </c>
      <c r="M277" s="1">
        <f t="shared" si="14"/>
        <v>278.53934104585124</v>
      </c>
      <c r="N277"/>
      <c r="P277" s="1"/>
    </row>
    <row r="278" spans="1:19" x14ac:dyDescent="0.3">
      <c r="A278" s="1">
        <v>278</v>
      </c>
      <c r="C278" s="1" t="s">
        <v>15</v>
      </c>
      <c r="D278" s="6">
        <v>21.1</v>
      </c>
      <c r="E278" s="1">
        <v>69</v>
      </c>
      <c r="F278" s="1">
        <v>0</v>
      </c>
      <c r="G278" s="1">
        <v>0.42180928039621662</v>
      </c>
      <c r="H278" s="1">
        <v>1.9865335154205064</v>
      </c>
      <c r="I278" s="1">
        <v>554.16410255442963</v>
      </c>
      <c r="K278" s="1">
        <f t="shared" si="12"/>
        <v>0.4894900160015776</v>
      </c>
      <c r="L278" s="1">
        <f t="shared" si="13"/>
        <v>0.98797696438013449</v>
      </c>
      <c r="M278" s="1">
        <f t="shared" si="14"/>
        <v>275.27071263997863</v>
      </c>
      <c r="N278" s="1">
        <f>SLOPE(K278:K281,F278:F281)</f>
        <v>4.7542857064564853E-4</v>
      </c>
      <c r="O278" s="1">
        <f>SLOPE(L278:L281,F278:F281)</f>
        <v>-2.0092716140655221E-4</v>
      </c>
      <c r="P278" s="1">
        <f>SLOPE(M278:M281,F278:F281)</f>
        <v>6.3647512121409967E-3</v>
      </c>
      <c r="Q278" s="1">
        <f>(N278*41.35/0.31*60)/1000</f>
        <v>3.8049622057156583E-3</v>
      </c>
      <c r="R278" s="1">
        <f>O278*41.35/0.31*60/1000</f>
        <v>-1.6080654433859871E-3</v>
      </c>
      <c r="S278" s="1">
        <f>(O278*41.35/0.31*60)/1000</f>
        <v>-1.6080654433859871E-3</v>
      </c>
    </row>
    <row r="279" spans="1:19" x14ac:dyDescent="0.3">
      <c r="A279" s="1">
        <v>279</v>
      </c>
      <c r="C279" s="1" t="s">
        <v>15</v>
      </c>
      <c r="D279" s="6">
        <v>21.1</v>
      </c>
      <c r="E279" s="1">
        <v>70</v>
      </c>
      <c r="F279" s="1">
        <v>15</v>
      </c>
      <c r="G279" s="1">
        <v>0.45777085254363692</v>
      </c>
      <c r="H279" s="1">
        <v>2.0175073024543821</v>
      </c>
      <c r="I279" s="1">
        <v>605.52141234717624</v>
      </c>
      <c r="K279" s="1">
        <f t="shared" si="12"/>
        <v>0.53122174487522356</v>
      </c>
      <c r="L279" s="1">
        <f t="shared" si="13"/>
        <v>1.0033813800879701</v>
      </c>
      <c r="M279" s="1">
        <f t="shared" si="14"/>
        <v>300.78150123266443</v>
      </c>
      <c r="N279"/>
      <c r="P279" s="1"/>
    </row>
    <row r="280" spans="1:19" x14ac:dyDescent="0.3">
      <c r="A280" s="1">
        <v>280</v>
      </c>
      <c r="C280" s="1" t="s">
        <v>15</v>
      </c>
      <c r="D280" s="6">
        <v>21.1</v>
      </c>
      <c r="E280" s="1">
        <v>71</v>
      </c>
      <c r="F280" s="1">
        <v>30</v>
      </c>
      <c r="G280" s="1">
        <v>0.43886572952349684</v>
      </c>
      <c r="H280" s="1">
        <v>1.9892268882060606</v>
      </c>
      <c r="I280" s="1">
        <v>530.52798541201639</v>
      </c>
      <c r="K280" s="1">
        <f t="shared" si="12"/>
        <v>0.50928323048087987</v>
      </c>
      <c r="L280" s="1">
        <f t="shared" si="13"/>
        <v>0.98931647878951146</v>
      </c>
      <c r="M280" s="1">
        <f t="shared" si="14"/>
        <v>263.52991098963162</v>
      </c>
      <c r="N280"/>
      <c r="P280" s="1"/>
    </row>
    <row r="281" spans="1:19" x14ac:dyDescent="0.3">
      <c r="A281" s="1">
        <v>281</v>
      </c>
      <c r="C281" s="1" t="s">
        <v>15</v>
      </c>
      <c r="D281" s="6">
        <v>21.1</v>
      </c>
      <c r="E281" s="1">
        <v>72</v>
      </c>
      <c r="F281" s="1">
        <v>45</v>
      </c>
      <c r="G281" s="1">
        <v>0.44859559211749583</v>
      </c>
      <c r="H281" s="1">
        <v>1.9757600242782887</v>
      </c>
      <c r="I281" s="1">
        <v>579.80257479292698</v>
      </c>
      <c r="K281" s="1">
        <f t="shared" si="12"/>
        <v>0.52057428266530792</v>
      </c>
      <c r="L281" s="1">
        <f t="shared" si="13"/>
        <v>0.98261890674262642</v>
      </c>
      <c r="M281" s="1">
        <f t="shared" si="14"/>
        <v>288.00614694826328</v>
      </c>
      <c r="N281"/>
      <c r="P281" s="1"/>
    </row>
    <row r="282" spans="1:19" x14ac:dyDescent="0.3">
      <c r="A282" s="1">
        <v>282</v>
      </c>
      <c r="C282" s="1" t="s">
        <v>15</v>
      </c>
      <c r="D282" s="6">
        <v>21.1</v>
      </c>
      <c r="E282" s="1">
        <v>73</v>
      </c>
      <c r="F282" s="1">
        <v>0</v>
      </c>
      <c r="G282" s="1">
        <v>0.43732841123364508</v>
      </c>
      <c r="H282" s="1">
        <v>1.9865335154205064</v>
      </c>
      <c r="I282" s="1">
        <v>598.76782105356551</v>
      </c>
      <c r="K282" s="1">
        <f t="shared" si="12"/>
        <v>0.50749924423574033</v>
      </c>
      <c r="L282" s="1">
        <f t="shared" si="13"/>
        <v>0.98797696438013449</v>
      </c>
      <c r="M282" s="1">
        <f t="shared" si="14"/>
        <v>297.42678034817914</v>
      </c>
      <c r="N282" s="1">
        <f>SLOPE(K282:K285,F282:F285)</f>
        <v>-8.6263638689031388E-5</v>
      </c>
      <c r="O282" s="1">
        <f>SLOPE(L282:L285,F282:F285)</f>
        <v>1.7860192125026395E-4</v>
      </c>
      <c r="P282" s="1">
        <f>SLOPE(M282:M285,F282:F285)</f>
        <v>-0.1002231882306865</v>
      </c>
      <c r="Q282" s="1">
        <f>(N282*41.35/0.31*60)/1000</f>
        <v>-6.9038737931447392E-4</v>
      </c>
      <c r="R282" s="1">
        <f>O282*41.35/0.31*60/1000</f>
        <v>1.4293915052319512E-3</v>
      </c>
      <c r="S282" s="1">
        <f>(O282*41.35/0.31*60)/1000</f>
        <v>1.4293915052319512E-3</v>
      </c>
    </row>
    <row r="283" spans="1:19" x14ac:dyDescent="0.3">
      <c r="A283" s="1">
        <v>283</v>
      </c>
      <c r="C283" s="1" t="s">
        <v>15</v>
      </c>
      <c r="D283" s="6">
        <v>21.1</v>
      </c>
      <c r="E283" s="1">
        <v>74</v>
      </c>
      <c r="F283" s="1">
        <v>15</v>
      </c>
      <c r="G283" s="1">
        <v>0.41632163789320115</v>
      </c>
      <c r="H283" s="1">
        <v>1.9299726869238634</v>
      </c>
      <c r="I283" s="1">
        <v>517.2938512469882</v>
      </c>
      <c r="K283" s="1">
        <f t="shared" si="12"/>
        <v>0.48312186256956008</v>
      </c>
      <c r="L283" s="1">
        <f t="shared" si="13"/>
        <v>0.95984716178321738</v>
      </c>
      <c r="M283" s="1">
        <f t="shared" si="14"/>
        <v>256.95610094674345</v>
      </c>
      <c r="N283"/>
      <c r="P283" s="1"/>
    </row>
    <row r="284" spans="1:19" x14ac:dyDescent="0.3">
      <c r="A284" s="1">
        <v>284</v>
      </c>
      <c r="C284" s="1" t="s">
        <v>15</v>
      </c>
      <c r="D284" s="6">
        <v>21.1</v>
      </c>
      <c r="E284" s="1">
        <v>75</v>
      </c>
      <c r="F284" s="1">
        <v>30</v>
      </c>
      <c r="G284" s="1">
        <v>0.41821896109903095</v>
      </c>
      <c r="H284" s="1">
        <v>1.9919202609916153</v>
      </c>
      <c r="I284" s="1">
        <v>528.81998038808388</v>
      </c>
      <c r="K284" s="1">
        <f t="shared" si="12"/>
        <v>0.48532361774552357</v>
      </c>
      <c r="L284" s="1">
        <f t="shared" si="13"/>
        <v>0.99065599319888853</v>
      </c>
      <c r="M284" s="1">
        <f t="shared" si="14"/>
        <v>262.68149125626502</v>
      </c>
      <c r="N284"/>
      <c r="P284" s="1"/>
    </row>
    <row r="285" spans="1:19" x14ac:dyDescent="0.3">
      <c r="A285" s="1">
        <v>285</v>
      </c>
      <c r="C285" s="1" t="s">
        <v>15</v>
      </c>
      <c r="D285" s="6">
        <v>21.1</v>
      </c>
      <c r="E285" s="1">
        <v>76</v>
      </c>
      <c r="F285" s="1">
        <v>45</v>
      </c>
      <c r="G285" s="1">
        <v>0.43297916265412745</v>
      </c>
      <c r="H285" s="1">
        <v>1.9838401426349517</v>
      </c>
      <c r="I285" s="1">
        <v>584.83751023762602</v>
      </c>
      <c r="K285" s="1">
        <f t="shared" si="12"/>
        <v>0.50245214390930093</v>
      </c>
      <c r="L285" s="1">
        <f t="shared" si="13"/>
        <v>0.98663744997075731</v>
      </c>
      <c r="M285" s="1">
        <f t="shared" si="14"/>
        <v>290.50715750013762</v>
      </c>
      <c r="N285"/>
      <c r="P285" s="1"/>
    </row>
    <row r="286" spans="1:19" x14ac:dyDescent="0.3">
      <c r="A286" s="1">
        <v>286</v>
      </c>
      <c r="C286" s="1" t="s">
        <v>15</v>
      </c>
      <c r="D286" s="6">
        <v>21.1</v>
      </c>
      <c r="E286" s="1">
        <v>77</v>
      </c>
      <c r="F286" s="1">
        <v>0</v>
      </c>
      <c r="G286" s="1">
        <v>0.45090156955227367</v>
      </c>
      <c r="H286" s="1">
        <v>1.9595997875649622</v>
      </c>
      <c r="I286" s="1">
        <v>624.62608758936028</v>
      </c>
      <c r="K286" s="1">
        <f t="shared" si="12"/>
        <v>0.52325026203301739</v>
      </c>
      <c r="L286" s="1">
        <f t="shared" si="13"/>
        <v>0.97458182028636442</v>
      </c>
      <c r="M286" s="1">
        <f t="shared" si="14"/>
        <v>310.27139338632446</v>
      </c>
      <c r="N286" s="1">
        <f>SLOPE(K286:K289,F286:F289)</f>
        <v>1.0313247065256567E-3</v>
      </c>
      <c r="O286" s="1">
        <f>SLOPE(L286:L289,F286:F289)</f>
        <v>4.9115528343823085E-5</v>
      </c>
      <c r="P286" s="1">
        <f>SLOPE(M286:M289,F286:F289)</f>
        <v>0.2656682426609594</v>
      </c>
      <c r="Q286" s="1">
        <f>(N286*41.35/0.31*60)/1000</f>
        <v>8.2539245060972728E-3</v>
      </c>
      <c r="R286" s="1">
        <f>O286*41.35/0.31*60/1000</f>
        <v>3.9308266393879056E-4</v>
      </c>
      <c r="S286" s="1">
        <f>(O286*41.35/0.31*60)/1000</f>
        <v>3.9308266393879056E-4</v>
      </c>
    </row>
    <row r="287" spans="1:19" x14ac:dyDescent="0.3">
      <c r="A287" s="1">
        <v>287</v>
      </c>
      <c r="C287" s="1" t="s">
        <v>15</v>
      </c>
      <c r="D287" s="6">
        <v>21.1</v>
      </c>
      <c r="E287" s="1">
        <v>78</v>
      </c>
      <c r="F287" s="1">
        <v>15</v>
      </c>
      <c r="G287" s="1">
        <v>0.45149509117050757</v>
      </c>
      <c r="H287" s="1">
        <v>1.9717199650999573</v>
      </c>
      <c r="I287" s="1">
        <v>607.37852892081719</v>
      </c>
      <c r="K287" s="1">
        <f t="shared" si="12"/>
        <v>0.52393901621626748</v>
      </c>
      <c r="L287" s="1">
        <f t="shared" si="13"/>
        <v>0.98060963512856103</v>
      </c>
      <c r="M287" s="1">
        <f t="shared" si="14"/>
        <v>301.70398935545188</v>
      </c>
      <c r="N287"/>
      <c r="P287" s="1"/>
    </row>
    <row r="288" spans="1:19" x14ac:dyDescent="0.3">
      <c r="A288" s="1">
        <v>288</v>
      </c>
      <c r="C288" s="1" t="s">
        <v>15</v>
      </c>
      <c r="D288" s="6">
        <v>21.1</v>
      </c>
      <c r="E288" s="1">
        <v>79</v>
      </c>
      <c r="F288" s="1">
        <v>30</v>
      </c>
      <c r="G288" s="1">
        <v>0.46538933495473817</v>
      </c>
      <c r="H288" s="1">
        <v>1.94613292363719</v>
      </c>
      <c r="I288" s="1">
        <v>596.46336983079937</v>
      </c>
      <c r="K288" s="1">
        <f t="shared" si="12"/>
        <v>0.54006263873563076</v>
      </c>
      <c r="L288" s="1">
        <f t="shared" si="13"/>
        <v>0.96788424823947938</v>
      </c>
      <c r="M288" s="1">
        <f t="shared" si="14"/>
        <v>296.28208705712893</v>
      </c>
      <c r="N288"/>
      <c r="P288" s="1"/>
    </row>
    <row r="289" spans="1:19" x14ac:dyDescent="0.3">
      <c r="A289" s="1">
        <v>289</v>
      </c>
      <c r="C289" s="1" t="s">
        <v>15</v>
      </c>
      <c r="D289" s="6">
        <v>21.1</v>
      </c>
      <c r="E289" s="1">
        <v>80</v>
      </c>
      <c r="F289" s="1">
        <v>45</v>
      </c>
      <c r="G289" s="1">
        <v>0.49070643742432352</v>
      </c>
      <c r="H289" s="1">
        <v>1.9730666514927344</v>
      </c>
      <c r="I289" s="1">
        <v>655.00611345722143</v>
      </c>
      <c r="K289" s="1">
        <f t="shared" si="12"/>
        <v>0.56944195651951246</v>
      </c>
      <c r="L289" s="1">
        <f t="shared" si="13"/>
        <v>0.98127939233324946</v>
      </c>
      <c r="M289" s="1">
        <f t="shared" si="14"/>
        <v>325.36210628548008</v>
      </c>
      <c r="N289"/>
      <c r="P289" s="1"/>
    </row>
    <row r="290" spans="1:19" x14ac:dyDescent="0.3">
      <c r="A290" s="1">
        <v>290</v>
      </c>
      <c r="C290" s="1" t="s">
        <v>15</v>
      </c>
      <c r="D290" s="6">
        <v>21.1</v>
      </c>
      <c r="E290" s="1">
        <v>81</v>
      </c>
      <c r="F290" s="1">
        <v>0</v>
      </c>
      <c r="G290" s="1">
        <v>0.41222536574112761</v>
      </c>
      <c r="H290" s="1">
        <v>1.9663332195288483</v>
      </c>
      <c r="I290" s="1">
        <v>530.75552576384416</v>
      </c>
      <c r="K290" s="1">
        <f t="shared" si="12"/>
        <v>0.47836832959991599</v>
      </c>
      <c r="L290" s="1">
        <f t="shared" si="13"/>
        <v>0.97793060630980699</v>
      </c>
      <c r="M290" s="1">
        <f t="shared" si="14"/>
        <v>263.64293742803363</v>
      </c>
      <c r="N290" s="1">
        <f>SLOPE(K290:K293,F290:F293)</f>
        <v>3.8216447960227455E-3</v>
      </c>
      <c r="O290" s="1">
        <f>SLOPE(L290:L293,F290:F293)</f>
        <v>1.3395144093769998E-5</v>
      </c>
      <c r="P290" s="1">
        <f>SLOPE(M290:M293,F290:F293)</f>
        <v>1.5308525266833555</v>
      </c>
      <c r="Q290" s="1">
        <f>(N290*41.35/0.31*60)/1000</f>
        <v>3.058548625462075E-2</v>
      </c>
      <c r="R290" s="1">
        <f>O290*41.35/0.31*60/1000</f>
        <v>1.0720436289239797E-4</v>
      </c>
      <c r="S290" s="1">
        <f>(O290*41.35/0.31*60)/1000</f>
        <v>1.0720436289239797E-4</v>
      </c>
    </row>
    <row r="291" spans="1:19" x14ac:dyDescent="0.3">
      <c r="A291" s="1">
        <v>291</v>
      </c>
      <c r="C291" s="1" t="s">
        <v>15</v>
      </c>
      <c r="D291" s="6">
        <v>21.1</v>
      </c>
      <c r="E291" s="1">
        <v>82</v>
      </c>
      <c r="F291" s="1">
        <v>15</v>
      </c>
      <c r="G291" s="1">
        <v>0.46032007654326462</v>
      </c>
      <c r="H291" s="1">
        <v>1.9367061188877495</v>
      </c>
      <c r="I291" s="1">
        <v>602.52078447349891</v>
      </c>
      <c r="K291" s="1">
        <f t="shared" si="12"/>
        <v>0.53418000054754378</v>
      </c>
      <c r="L291" s="1">
        <f t="shared" si="13"/>
        <v>0.96319594780665985</v>
      </c>
      <c r="M291" s="1">
        <f t="shared" si="14"/>
        <v>299.29099513646088</v>
      </c>
      <c r="N291"/>
      <c r="P291" s="1"/>
    </row>
    <row r="292" spans="1:19" x14ac:dyDescent="0.3">
      <c r="A292" s="1">
        <v>292</v>
      </c>
      <c r="C292" s="1" t="s">
        <v>15</v>
      </c>
      <c r="D292" s="6">
        <v>21.1</v>
      </c>
      <c r="E292" s="1">
        <v>83</v>
      </c>
      <c r="F292" s="1">
        <v>30</v>
      </c>
      <c r="G292" s="1">
        <v>0.51208294554333933</v>
      </c>
      <c r="H292" s="1">
        <v>1.9407461780660811</v>
      </c>
      <c r="I292" s="1">
        <v>635.09003900298774</v>
      </c>
      <c r="K292" s="1">
        <f t="shared" si="12"/>
        <v>0.5942483981687009</v>
      </c>
      <c r="L292" s="1">
        <f t="shared" si="13"/>
        <v>0.96520521942072535</v>
      </c>
      <c r="M292" s="1">
        <f t="shared" si="14"/>
        <v>315.46916666211405</v>
      </c>
      <c r="N292"/>
      <c r="P292" s="1"/>
    </row>
    <row r="293" spans="1:19" x14ac:dyDescent="0.3">
      <c r="A293" s="1">
        <v>293</v>
      </c>
      <c r="C293" s="1" t="s">
        <v>15</v>
      </c>
      <c r="D293" s="6">
        <v>21.1</v>
      </c>
      <c r="E293" s="1">
        <v>84</v>
      </c>
      <c r="F293" s="1">
        <v>45</v>
      </c>
      <c r="G293" s="1">
        <v>0.55963278404021255</v>
      </c>
      <c r="H293" s="1">
        <v>1.9663332195288483</v>
      </c>
      <c r="I293" s="1">
        <v>673.99169311100206</v>
      </c>
      <c r="K293" s="1">
        <f t="shared" si="12"/>
        <v>0.64942777019400089</v>
      </c>
      <c r="L293" s="1">
        <f t="shared" si="13"/>
        <v>0.97793060630980699</v>
      </c>
      <c r="M293" s="1">
        <f t="shared" si="14"/>
        <v>334.79283992031702</v>
      </c>
      <c r="N293"/>
      <c r="P293" s="1"/>
    </row>
    <row r="294" spans="1:19" x14ac:dyDescent="0.3">
      <c r="A294" s="1">
        <v>294</v>
      </c>
      <c r="C294" s="1" t="s">
        <v>15</v>
      </c>
      <c r="D294" s="6">
        <v>21.1</v>
      </c>
      <c r="E294" s="1">
        <v>85</v>
      </c>
      <c r="F294" s="1">
        <v>0</v>
      </c>
      <c r="G294" s="1">
        <v>0.39802949621648304</v>
      </c>
      <c r="H294" s="1">
        <v>1.9865335154205064</v>
      </c>
      <c r="I294" s="1">
        <v>424.81467446647821</v>
      </c>
      <c r="K294" s="1">
        <f t="shared" si="12"/>
        <v>0.46189468446283538</v>
      </c>
      <c r="L294" s="1">
        <f t="shared" si="13"/>
        <v>0.98797696438013449</v>
      </c>
      <c r="M294" s="1">
        <f t="shared" si="14"/>
        <v>211.01878963519169</v>
      </c>
      <c r="N294" s="1">
        <f>SLOPE(K294:K297,F294:F297)</f>
        <v>1.2215412989926534E-3</v>
      </c>
      <c r="O294" s="1">
        <f>SLOPE(L294:L297,F294:F297)</f>
        <v>-1.9422958935966573E-3</v>
      </c>
      <c r="P294" s="1">
        <f>SLOPE(M294:M297,F294:F297)</f>
        <v>2.9114616540985363</v>
      </c>
      <c r="Q294" s="1">
        <f>(N294*41.35/0.31*60)/1000</f>
        <v>9.7762708477444303E-3</v>
      </c>
      <c r="R294" s="1">
        <f>O294*41.35/0.31*60/1000</f>
        <v>-1.5544632619397767E-2</v>
      </c>
      <c r="S294" s="1">
        <f>(O294*41.35/0.31*60)/1000</f>
        <v>-1.5544632619397767E-2</v>
      </c>
    </row>
    <row r="295" spans="1:19" x14ac:dyDescent="0.3">
      <c r="A295" s="1">
        <v>295</v>
      </c>
      <c r="C295" s="1" t="s">
        <v>15</v>
      </c>
      <c r="D295" s="6">
        <v>21.1</v>
      </c>
      <c r="E295" s="1">
        <v>86</v>
      </c>
      <c r="F295" s="1">
        <v>15</v>
      </c>
      <c r="G295" s="1">
        <v>0.39496458949937335</v>
      </c>
      <c r="H295" s="1">
        <v>2.3487921550775765</v>
      </c>
      <c r="I295" s="1">
        <v>484.60743764272843</v>
      </c>
      <c r="K295" s="1">
        <f t="shared" si="12"/>
        <v>0.45833800302474059</v>
      </c>
      <c r="L295" s="1">
        <f t="shared" si="13"/>
        <v>1.1681416524413417</v>
      </c>
      <c r="M295" s="1">
        <f t="shared" si="14"/>
        <v>240.71973282940237</v>
      </c>
      <c r="N295"/>
      <c r="P295" s="1"/>
    </row>
    <row r="296" spans="1:19" x14ac:dyDescent="0.3">
      <c r="A296" s="1">
        <v>296</v>
      </c>
      <c r="C296" s="1" t="s">
        <v>15</v>
      </c>
      <c r="D296" s="6">
        <v>21.1</v>
      </c>
      <c r="E296" s="1">
        <v>87</v>
      </c>
      <c r="F296" s="1">
        <v>30</v>
      </c>
      <c r="G296" s="1">
        <v>0.42159522341914857</v>
      </c>
      <c r="H296" s="1">
        <v>1.9286260005310862</v>
      </c>
      <c r="I296" s="1">
        <v>649.61195473367934</v>
      </c>
      <c r="K296" s="1">
        <f t="shared" si="12"/>
        <v>0.48924161285352008</v>
      </c>
      <c r="L296" s="1">
        <f t="shared" si="13"/>
        <v>0.95917740457852885</v>
      </c>
      <c r="M296" s="1">
        <f t="shared" si="14"/>
        <v>322.68265825000083</v>
      </c>
      <c r="N296"/>
      <c r="P296" s="1"/>
    </row>
    <row r="297" spans="1:19" x14ac:dyDescent="0.3">
      <c r="A297" s="1">
        <v>297</v>
      </c>
      <c r="C297" s="1" t="s">
        <v>15</v>
      </c>
      <c r="D297" s="6">
        <v>21.1</v>
      </c>
      <c r="E297" s="1">
        <v>88</v>
      </c>
      <c r="F297" s="1">
        <v>45</v>
      </c>
      <c r="G297" s="1">
        <v>0.44178468830169654</v>
      </c>
      <c r="H297" s="1">
        <v>1.9313193733166409</v>
      </c>
      <c r="I297" s="1">
        <v>662.87513660319621</v>
      </c>
      <c r="K297" s="1">
        <f t="shared" si="12"/>
        <v>0.51267054613620822</v>
      </c>
      <c r="L297" s="1">
        <f t="shared" si="13"/>
        <v>0.96051691898790592</v>
      </c>
      <c r="M297" s="1">
        <f t="shared" si="14"/>
        <v>329.27089719991903</v>
      </c>
      <c r="N297"/>
      <c r="P297" s="1"/>
    </row>
    <row r="298" spans="1:19" x14ac:dyDescent="0.3">
      <c r="A298" s="1">
        <v>298</v>
      </c>
      <c r="C298" s="1" t="s">
        <v>15</v>
      </c>
      <c r="D298" s="6">
        <v>21.1</v>
      </c>
      <c r="E298" s="1">
        <v>89</v>
      </c>
      <c r="F298" s="1">
        <v>0</v>
      </c>
      <c r="G298" s="1">
        <v>0.43158779230318561</v>
      </c>
      <c r="H298" s="1">
        <v>1.9542130419938533</v>
      </c>
      <c r="I298" s="1">
        <v>573.14096789686357</v>
      </c>
      <c r="K298" s="1">
        <f t="shared" si="12"/>
        <v>0.50083752344692778</v>
      </c>
      <c r="L298" s="1">
        <f t="shared" si="13"/>
        <v>0.97190279146761038</v>
      </c>
      <c r="M298" s="1">
        <f t="shared" si="14"/>
        <v>284.69711760270644</v>
      </c>
      <c r="N298" s="1">
        <f>SLOPE(K298:K301,F298:F301)</f>
        <v>2.0163335169907905E-2</v>
      </c>
      <c r="O298" s="1">
        <f>SLOPE(L298:L301,F298:F301)</f>
        <v>-7.7245330940740604E-4</v>
      </c>
      <c r="P298" s="1">
        <f>SLOPE(M298:M301,F298:F301)</f>
        <v>4.2656690880725225</v>
      </c>
      <c r="Q298" s="1">
        <f>(N298*41.35/0.31*60)/1000</f>
        <v>0.16137172437594038</v>
      </c>
      <c r="R298" s="1">
        <f>O298*41.35/0.31*60/1000</f>
        <v>-6.1821182601283046E-3</v>
      </c>
      <c r="S298" s="1">
        <f>(O298*41.35/0.31*60)/1000</f>
        <v>-6.1821182601283046E-3</v>
      </c>
    </row>
    <row r="299" spans="1:19" x14ac:dyDescent="0.3">
      <c r="A299" s="1">
        <v>299</v>
      </c>
      <c r="C299" s="1" t="s">
        <v>15</v>
      </c>
      <c r="D299" s="6">
        <v>21.1</v>
      </c>
      <c r="E299" s="1">
        <v>90</v>
      </c>
      <c r="F299" s="1">
        <v>15</v>
      </c>
      <c r="G299" s="1">
        <v>1.1094186699141262</v>
      </c>
      <c r="H299" s="1">
        <v>1.8963055271044331</v>
      </c>
      <c r="I299" s="1">
        <v>899.62167424021106</v>
      </c>
      <c r="K299" s="1">
        <f t="shared" si="12"/>
        <v>1.2874286738751075</v>
      </c>
      <c r="L299" s="1">
        <f t="shared" si="13"/>
        <v>0.94310323166600474</v>
      </c>
      <c r="M299" s="1">
        <f t="shared" si="14"/>
        <v>446.87033720332073</v>
      </c>
      <c r="N299"/>
      <c r="P299" s="1"/>
    </row>
    <row r="300" spans="1:19" x14ac:dyDescent="0.3">
      <c r="A300" s="1">
        <v>300</v>
      </c>
      <c r="C300" s="1" t="s">
        <v>15</v>
      </c>
      <c r="D300" s="6">
        <v>21.1</v>
      </c>
      <c r="E300" s="1">
        <v>91</v>
      </c>
      <c r="F300" s="1">
        <v>30</v>
      </c>
      <c r="G300" s="1">
        <v>1.219025572035525</v>
      </c>
      <c r="H300" s="1">
        <v>1.8774519176055524</v>
      </c>
      <c r="I300" s="1">
        <v>913.27215883624331</v>
      </c>
      <c r="K300" s="1">
        <f t="shared" si="12"/>
        <v>1.4146223767326893</v>
      </c>
      <c r="L300" s="1">
        <f t="shared" si="13"/>
        <v>0.93372663080036589</v>
      </c>
      <c r="M300" s="1">
        <f t="shared" si="14"/>
        <v>453.65096158030622</v>
      </c>
      <c r="N300"/>
      <c r="P300" s="1"/>
    </row>
    <row r="301" spans="1:19" x14ac:dyDescent="0.3">
      <c r="A301" s="1">
        <v>301</v>
      </c>
      <c r="C301" s="1" t="s">
        <v>15</v>
      </c>
      <c r="D301" s="6">
        <v>21.1</v>
      </c>
      <c r="E301" s="1">
        <v>92</v>
      </c>
      <c r="F301" s="1">
        <v>45</v>
      </c>
      <c r="G301" s="1">
        <v>1.2638218594182962</v>
      </c>
      <c r="H301" s="1">
        <v>1.8828386631766609</v>
      </c>
      <c r="I301" s="1">
        <v>997.96461430016279</v>
      </c>
      <c r="K301" s="1">
        <f t="shared" si="12"/>
        <v>1.4666063809897958</v>
      </c>
      <c r="L301" s="1">
        <f t="shared" si="13"/>
        <v>0.9364056596191197</v>
      </c>
      <c r="M301" s="1">
        <f t="shared" si="14"/>
        <v>495.72036388067073</v>
      </c>
      <c r="N301"/>
      <c r="P301" s="1"/>
    </row>
    <row r="302" spans="1:19" x14ac:dyDescent="0.3">
      <c r="A302" s="1">
        <v>302</v>
      </c>
      <c r="C302" s="1" t="s">
        <v>15</v>
      </c>
      <c r="D302" s="6">
        <v>21.1</v>
      </c>
      <c r="E302" s="1">
        <v>93</v>
      </c>
      <c r="F302" s="1">
        <v>0</v>
      </c>
      <c r="G302" s="1">
        <v>0.41568919682459121</v>
      </c>
      <c r="H302" s="1">
        <v>1.9811467698493974</v>
      </c>
      <c r="I302" s="1">
        <v>517.00240594528543</v>
      </c>
      <c r="K302" s="1">
        <f t="shared" si="12"/>
        <v>0.48238794417757225</v>
      </c>
      <c r="L302" s="1">
        <f t="shared" si="13"/>
        <v>0.98529793556138034</v>
      </c>
      <c r="M302" s="1">
        <f t="shared" si="14"/>
        <v>256.81133091287541</v>
      </c>
      <c r="N302" s="1">
        <f>SLOPE(K302:K305,F302:F305)</f>
        <v>1.2185303517434746E-3</v>
      </c>
      <c r="O302" s="1">
        <f>SLOPE(L302:L305,F302:F305)</f>
        <v>-8.2156883775122674E-4</v>
      </c>
      <c r="P302" s="1">
        <f>SLOPE(M302:M305,F302:F305)</f>
        <v>1.9807362286087788</v>
      </c>
      <c r="Q302" s="1">
        <f>(N302*41.35/0.31*60)/1000</f>
        <v>9.7521735570179381E-3</v>
      </c>
      <c r="R302" s="1">
        <f>O302*41.35/0.31*60/1000</f>
        <v>-6.5752009240670761E-3</v>
      </c>
      <c r="S302" s="1">
        <f>(O302*41.35/0.31*60)/1000</f>
        <v>-6.5752009240670761E-3</v>
      </c>
    </row>
    <row r="303" spans="1:19" x14ac:dyDescent="0.3">
      <c r="A303" s="1">
        <v>303</v>
      </c>
      <c r="C303" s="1" t="s">
        <v>15</v>
      </c>
      <c r="D303" s="6">
        <v>21.1</v>
      </c>
      <c r="E303" s="1">
        <v>94</v>
      </c>
      <c r="F303" s="1">
        <v>15</v>
      </c>
      <c r="G303" s="1">
        <v>0.43052723728043968</v>
      </c>
      <c r="H303" s="1">
        <v>1.9353594324949723</v>
      </c>
      <c r="I303" s="1">
        <v>612.33213079294808</v>
      </c>
      <c r="K303" s="1">
        <f t="shared" si="12"/>
        <v>0.49960679875882502</v>
      </c>
      <c r="L303" s="1">
        <f t="shared" si="13"/>
        <v>0.96252619060197131</v>
      </c>
      <c r="M303" s="1">
        <f t="shared" si="14"/>
        <v>304.16459896764212</v>
      </c>
      <c r="N303"/>
      <c r="P303" s="1"/>
    </row>
    <row r="304" spans="1:19" x14ac:dyDescent="0.3">
      <c r="A304" s="1">
        <v>304</v>
      </c>
      <c r="C304" s="1" t="s">
        <v>15</v>
      </c>
      <c r="D304" s="6">
        <v>21.1</v>
      </c>
      <c r="E304" s="1">
        <v>95</v>
      </c>
      <c r="F304" s="1">
        <v>30</v>
      </c>
      <c r="G304" s="1">
        <v>0.43837923639379689</v>
      </c>
      <c r="H304" s="1">
        <v>1.925932627745532</v>
      </c>
      <c r="I304" s="1">
        <v>660.03523936102272</v>
      </c>
      <c r="K304" s="1">
        <f t="shared" si="12"/>
        <v>0.50871867787165848</v>
      </c>
      <c r="L304" s="1">
        <f t="shared" si="13"/>
        <v>0.957837890169152</v>
      </c>
      <c r="M304" s="1">
        <f t="shared" si="14"/>
        <v>327.86023105594836</v>
      </c>
      <c r="N304"/>
      <c r="P304" s="1"/>
    </row>
    <row r="305" spans="1:19" x14ac:dyDescent="0.3">
      <c r="A305" s="1">
        <v>305</v>
      </c>
      <c r="C305" s="1" t="s">
        <v>15</v>
      </c>
      <c r="D305" s="6">
        <v>21.1</v>
      </c>
      <c r="E305" s="1">
        <v>96</v>
      </c>
      <c r="F305" s="1">
        <v>45</v>
      </c>
      <c r="G305" s="1">
        <v>0.46557420234402408</v>
      </c>
      <c r="H305" s="1">
        <v>1.9016922726755419</v>
      </c>
      <c r="I305" s="1">
        <v>700.47835832056796</v>
      </c>
      <c r="K305" s="1">
        <f t="shared" si="12"/>
        <v>0.54027716872713483</v>
      </c>
      <c r="L305" s="1">
        <f t="shared" si="13"/>
        <v>0.94578226048475877</v>
      </c>
      <c r="M305" s="1">
        <f t="shared" si="14"/>
        <v>347.94959831387894</v>
      </c>
      <c r="N305"/>
      <c r="P305" s="1"/>
    </row>
    <row r="306" spans="1:19" x14ac:dyDescent="0.3">
      <c r="A306" s="1">
        <v>306</v>
      </c>
      <c r="C306" s="1" t="s">
        <v>15</v>
      </c>
      <c r="D306" s="6">
        <v>21.1</v>
      </c>
      <c r="E306" s="1">
        <v>97</v>
      </c>
      <c r="F306" s="1">
        <v>0</v>
      </c>
      <c r="G306" s="1">
        <v>0.39897329288810091</v>
      </c>
      <c r="H306" s="1">
        <v>1.9851868290277292</v>
      </c>
      <c r="I306" s="1">
        <v>447.327613701997</v>
      </c>
      <c r="K306" s="1">
        <f t="shared" si="12"/>
        <v>0.46298991652472482</v>
      </c>
      <c r="L306" s="1">
        <f t="shared" si="13"/>
        <v>0.98730720717544607</v>
      </c>
      <c r="M306" s="1">
        <f t="shared" si="14"/>
        <v>222.20167354704358</v>
      </c>
      <c r="N306" s="1">
        <f>SLOPE(K306:K309,F306:F309)</f>
        <v>1.0116782757247534E-3</v>
      </c>
      <c r="O306" s="1">
        <f>SLOPE(L306:L309,F306:F309)</f>
        <v>-2.3218249762535132E-4</v>
      </c>
      <c r="P306" s="1">
        <f>SLOPE(M306:M309,F306:F309)</f>
        <v>1.6059245267487843</v>
      </c>
      <c r="Q306" s="1">
        <f>(N306*41.35/0.31*60)/1000</f>
        <v>8.096689684106817E-3</v>
      </c>
      <c r="R306" s="1">
        <f>O306*41.35/0.31*60/1000</f>
        <v>-1.858208956801602E-3</v>
      </c>
      <c r="S306" s="1">
        <f>(O306*41.35/0.31*60)/1000</f>
        <v>-1.858208956801602E-3</v>
      </c>
    </row>
    <row r="307" spans="1:19" x14ac:dyDescent="0.3">
      <c r="A307" s="1">
        <v>307</v>
      </c>
      <c r="C307" s="1" t="s">
        <v>15</v>
      </c>
      <c r="D307" s="6">
        <v>21.1</v>
      </c>
      <c r="E307" s="1">
        <v>98</v>
      </c>
      <c r="F307" s="1">
        <v>15</v>
      </c>
      <c r="G307" s="1">
        <v>0.43447756149360334</v>
      </c>
      <c r="H307" s="1">
        <v>1.9272793141383091</v>
      </c>
      <c r="I307" s="1">
        <v>579.52081205938714</v>
      </c>
      <c r="K307" s="1">
        <f t="shared" si="12"/>
        <v>0.5041909659457029</v>
      </c>
      <c r="L307" s="1">
        <f t="shared" si="13"/>
        <v>0.95850764737384042</v>
      </c>
      <c r="M307" s="1">
        <f t="shared" si="14"/>
        <v>287.86618655007192</v>
      </c>
      <c r="N307"/>
      <c r="P307" s="1"/>
    </row>
    <row r="308" spans="1:19" x14ac:dyDescent="0.3">
      <c r="A308" s="1">
        <v>308</v>
      </c>
      <c r="C308" s="1" t="s">
        <v>15</v>
      </c>
      <c r="D308" s="6">
        <v>21.1</v>
      </c>
      <c r="E308" s="1">
        <v>99</v>
      </c>
      <c r="F308" s="1">
        <v>30</v>
      </c>
      <c r="G308" s="1">
        <v>0.43366025303570738</v>
      </c>
      <c r="H308" s="1">
        <v>1.9501729828155214</v>
      </c>
      <c r="I308" s="1">
        <v>575.70588020321122</v>
      </c>
      <c r="K308" s="1">
        <f t="shared" si="12"/>
        <v>0.50324251756221094</v>
      </c>
      <c r="L308" s="1">
        <f t="shared" si="13"/>
        <v>0.96989351985354477</v>
      </c>
      <c r="M308" s="1">
        <f t="shared" si="14"/>
        <v>285.97119009345937</v>
      </c>
      <c r="N308"/>
      <c r="P308" s="1"/>
    </row>
    <row r="309" spans="1:19" x14ac:dyDescent="0.3">
      <c r="A309" s="1">
        <v>309</v>
      </c>
      <c r="C309" s="1" t="s">
        <v>15</v>
      </c>
      <c r="D309" s="6">
        <v>21.1</v>
      </c>
      <c r="E309" s="1">
        <v>100</v>
      </c>
      <c r="F309" s="1">
        <v>45</v>
      </c>
      <c r="G309" s="1">
        <v>0.44283551346184841</v>
      </c>
      <c r="H309" s="1">
        <v>1.9542130419938533</v>
      </c>
      <c r="I309" s="1">
        <v>610.24844212429571</v>
      </c>
      <c r="K309" s="1">
        <f t="shared" si="12"/>
        <v>0.51388997977212647</v>
      </c>
      <c r="L309" s="1">
        <f t="shared" si="13"/>
        <v>0.97190279146761038</v>
      </c>
      <c r="M309" s="1">
        <f t="shared" si="14"/>
        <v>303.12956537002032</v>
      </c>
      <c r="N309"/>
      <c r="P309" s="1"/>
    </row>
    <row r="310" spans="1:19" x14ac:dyDescent="0.3">
      <c r="A310" s="1">
        <v>310</v>
      </c>
      <c r="C310" s="1" t="s">
        <v>15</v>
      </c>
      <c r="D310" s="6">
        <v>21.1</v>
      </c>
      <c r="E310" s="1">
        <v>101</v>
      </c>
      <c r="F310" s="1">
        <v>0</v>
      </c>
      <c r="G310" s="1">
        <v>0.39337862189655148</v>
      </c>
      <c r="H310" s="1">
        <v>1.9649865331360712</v>
      </c>
      <c r="I310" s="1">
        <v>418.40675085628237</v>
      </c>
      <c r="K310" s="1">
        <f t="shared" si="12"/>
        <v>0.45649756151867876</v>
      </c>
      <c r="L310" s="1">
        <f t="shared" si="13"/>
        <v>0.97726084910511857</v>
      </c>
      <c r="M310" s="1">
        <f t="shared" si="14"/>
        <v>207.83577274436394</v>
      </c>
      <c r="N310" s="1">
        <f>SLOPE(K310:K313,F310:F313)</f>
        <v>2.3021853214598934E-2</v>
      </c>
      <c r="O310" s="1">
        <f>SLOPE(L310:L313,F310:F313)</f>
        <v>1.3841648896895393E-4</v>
      </c>
      <c r="P310" s="1">
        <f>SLOPE(M310:M313,F310:F313)</f>
        <v>3.4944151495025984</v>
      </c>
      <c r="Q310" s="1">
        <f>(N310*41.35/0.31*60)/1000</f>
        <v>0.18424908975941923</v>
      </c>
      <c r="R310" s="1">
        <f>O310*41.35/0.31*60/1000</f>
        <v>1.1077784165547571E-3</v>
      </c>
      <c r="S310" s="1">
        <f>(O310*41.35/0.31*60)/1000</f>
        <v>1.1077784165547571E-3</v>
      </c>
    </row>
    <row r="311" spans="1:19" x14ac:dyDescent="0.3">
      <c r="A311" s="1">
        <v>311</v>
      </c>
      <c r="C311" s="1" t="s">
        <v>15</v>
      </c>
      <c r="D311" s="6">
        <v>21.1</v>
      </c>
      <c r="E311" s="1">
        <v>102</v>
      </c>
      <c r="F311" s="1">
        <v>15</v>
      </c>
      <c r="G311" s="1">
        <v>0.84164312146467957</v>
      </c>
      <c r="H311" s="1">
        <v>1.9420928644588582</v>
      </c>
      <c r="I311" s="1">
        <v>615.00355134908739</v>
      </c>
      <c r="K311" s="1">
        <f t="shared" si="12"/>
        <v>0.97668762670746323</v>
      </c>
      <c r="L311" s="1">
        <f t="shared" si="13"/>
        <v>0.96587497662541377</v>
      </c>
      <c r="M311" s="1">
        <f t="shared" si="14"/>
        <v>305.49157745083852</v>
      </c>
      <c r="N311"/>
      <c r="P311" s="1"/>
    </row>
    <row r="312" spans="1:19" x14ac:dyDescent="0.3">
      <c r="A312" s="1">
        <v>312</v>
      </c>
      <c r="C312" s="1" t="s">
        <v>15</v>
      </c>
      <c r="D312" s="6">
        <v>21.1</v>
      </c>
      <c r="E312" s="1">
        <v>103</v>
      </c>
      <c r="F312" s="1">
        <v>30</v>
      </c>
      <c r="G312" s="1">
        <v>1.0066615910589025</v>
      </c>
      <c r="H312" s="1">
        <v>1.9676799059216254</v>
      </c>
      <c r="I312" s="1">
        <v>662.86061275095199</v>
      </c>
      <c r="K312" s="1">
        <f t="shared" si="12"/>
        <v>1.1681838717553625</v>
      </c>
      <c r="L312" s="1">
        <f t="shared" si="13"/>
        <v>0.97860036351449542</v>
      </c>
      <c r="M312" s="1">
        <f t="shared" si="14"/>
        <v>329.26368274640407</v>
      </c>
      <c r="N312"/>
      <c r="P312" s="1"/>
    </row>
    <row r="313" spans="1:19" x14ac:dyDescent="0.3">
      <c r="A313" s="1">
        <v>313</v>
      </c>
      <c r="C313" s="1" t="s">
        <v>15</v>
      </c>
      <c r="D313" s="6">
        <v>21.1</v>
      </c>
      <c r="E313" s="1">
        <v>104</v>
      </c>
      <c r="F313" s="1">
        <v>45</v>
      </c>
      <c r="G313" s="1">
        <v>1.3303060105230913</v>
      </c>
      <c r="H313" s="1">
        <v>1.9703732787071797</v>
      </c>
      <c r="I313" s="1">
        <v>754.19530997460902</v>
      </c>
      <c r="K313" s="1">
        <f t="shared" si="12"/>
        <v>1.5437581405659924</v>
      </c>
      <c r="L313" s="1">
        <f t="shared" si="13"/>
        <v>0.97993987792387238</v>
      </c>
      <c r="M313" s="1">
        <f t="shared" si="14"/>
        <v>374.63249512097201</v>
      </c>
      <c r="N313"/>
      <c r="P313" s="1"/>
    </row>
    <row r="314" spans="1:19" x14ac:dyDescent="0.3">
      <c r="A314" s="1">
        <v>314</v>
      </c>
      <c r="C314" s="1" t="s">
        <v>15</v>
      </c>
      <c r="D314" s="6">
        <v>21.1</v>
      </c>
      <c r="E314" s="1">
        <v>105</v>
      </c>
      <c r="F314" s="1">
        <v>0</v>
      </c>
      <c r="G314" s="1">
        <v>0.39467269362155338</v>
      </c>
      <c r="H314" s="1">
        <v>1.9905735745988378</v>
      </c>
      <c r="I314" s="1">
        <v>421.19048920311116</v>
      </c>
      <c r="K314" s="1">
        <f t="shared" si="12"/>
        <v>0.45799927145920771</v>
      </c>
      <c r="L314" s="1">
        <f t="shared" si="13"/>
        <v>0.98998623599419988</v>
      </c>
      <c r="M314" s="1">
        <f t="shared" si="14"/>
        <v>209.21854300140981</v>
      </c>
      <c r="N314" s="1">
        <f>SLOPE(K314:K317,F314:F317)</f>
        <v>3.7486293252301613E-5</v>
      </c>
      <c r="O314" s="1">
        <f>SLOPE(L314:L317,F314:F317)</f>
        <v>-3.0362326612544936E-4</v>
      </c>
      <c r="P314" s="1">
        <f>SLOPE(M314:M317,F314:F317)</f>
        <v>0.38588027676393516</v>
      </c>
      <c r="Q314" s="1">
        <f>(N314*41.35/0.31*60)/1000</f>
        <v>3.0001126954503325E-4</v>
      </c>
      <c r="R314" s="1">
        <f>O314*41.35/0.31*60/1000</f>
        <v>-2.429965558894322E-3</v>
      </c>
      <c r="S314" s="1">
        <f>(O314*41.35/0.31*60)/1000</f>
        <v>-2.429965558894322E-3</v>
      </c>
    </row>
    <row r="315" spans="1:19" x14ac:dyDescent="0.3">
      <c r="A315" s="1">
        <v>315</v>
      </c>
      <c r="C315" s="1" t="s">
        <v>15</v>
      </c>
      <c r="D315" s="6">
        <v>21.1</v>
      </c>
      <c r="E315" s="1">
        <v>106</v>
      </c>
      <c r="F315" s="1">
        <v>15</v>
      </c>
      <c r="G315" s="1">
        <v>0.39492567004899737</v>
      </c>
      <c r="H315" s="1">
        <v>1.9663332195288483</v>
      </c>
      <c r="I315" s="1">
        <v>443.86222255650125</v>
      </c>
      <c r="K315" s="1">
        <f t="shared" si="12"/>
        <v>0.45829283881600286</v>
      </c>
      <c r="L315" s="1">
        <f t="shared" si="13"/>
        <v>0.97793060630980699</v>
      </c>
      <c r="M315" s="1">
        <f t="shared" si="14"/>
        <v>220.48030493835932</v>
      </c>
      <c r="N315"/>
      <c r="P315" s="1"/>
    </row>
    <row r="316" spans="1:19" x14ac:dyDescent="0.3">
      <c r="A316" s="1">
        <v>316</v>
      </c>
      <c r="C316" s="1" t="s">
        <v>15</v>
      </c>
      <c r="D316" s="6">
        <v>21.1</v>
      </c>
      <c r="E316" s="1">
        <v>107</v>
      </c>
      <c r="F316" s="1">
        <v>30</v>
      </c>
      <c r="G316" s="1">
        <v>0.39320348436985958</v>
      </c>
      <c r="H316" s="1">
        <v>1.951519669208299</v>
      </c>
      <c r="I316" s="1">
        <v>445.90814920931842</v>
      </c>
      <c r="K316" s="1">
        <f t="shared" si="12"/>
        <v>0.45629432257935915</v>
      </c>
      <c r="L316" s="1">
        <f t="shared" si="13"/>
        <v>0.97056327705823353</v>
      </c>
      <c r="M316" s="1">
        <f t="shared" si="14"/>
        <v>221.49658095684214</v>
      </c>
      <c r="N316"/>
      <c r="P316" s="1"/>
    </row>
    <row r="317" spans="1:19" x14ac:dyDescent="0.3">
      <c r="A317" s="1">
        <v>317</v>
      </c>
      <c r="C317" s="1" t="s">
        <v>15</v>
      </c>
      <c r="D317" s="6">
        <v>21.1</v>
      </c>
      <c r="E317" s="1">
        <v>108</v>
      </c>
      <c r="F317" s="1">
        <v>45</v>
      </c>
      <c r="G317" s="1">
        <v>0.39686191270520316</v>
      </c>
      <c r="H317" s="1">
        <v>1.9649865331360712</v>
      </c>
      <c r="I317" s="1">
        <v>459.35045858984864</v>
      </c>
      <c r="K317" s="1">
        <f t="shared" si="12"/>
        <v>0.46053975820070403</v>
      </c>
      <c r="L317" s="1">
        <f t="shared" si="13"/>
        <v>0.97726084910511857</v>
      </c>
      <c r="M317" s="1">
        <f t="shared" si="14"/>
        <v>228.17379816677897</v>
      </c>
      <c r="N317"/>
      <c r="P317" s="1"/>
    </row>
    <row r="318" spans="1:19" x14ac:dyDescent="0.3">
      <c r="A318" s="1">
        <v>318</v>
      </c>
      <c r="C318" s="1" t="s">
        <v>15</v>
      </c>
      <c r="D318" s="6">
        <v>21.1</v>
      </c>
      <c r="E318" s="1">
        <v>109</v>
      </c>
      <c r="F318" s="1">
        <v>0</v>
      </c>
      <c r="G318" s="1">
        <v>0.3926878016523776</v>
      </c>
      <c r="H318" s="1">
        <v>1.9555597283866304</v>
      </c>
      <c r="I318" s="1">
        <v>418.38157617905887</v>
      </c>
      <c r="K318" s="1">
        <f t="shared" si="12"/>
        <v>0.45569589681358436</v>
      </c>
      <c r="L318" s="1">
        <f t="shared" si="13"/>
        <v>0.97257254867229892</v>
      </c>
      <c r="M318" s="1">
        <f t="shared" si="14"/>
        <v>207.82326769160457</v>
      </c>
      <c r="N318" s="1">
        <f>SLOPE(K318:K321,F318:F321)</f>
        <v>6.9801284604134161E-4</v>
      </c>
      <c r="O318" s="1">
        <f>SLOPE(L318:L321,F318:F321)</f>
        <v>2.0985725746906528E-4</v>
      </c>
      <c r="P318" s="1">
        <f>SLOPE(M318:M321,F318:F321)</f>
        <v>1.6678181250601036</v>
      </c>
      <c r="Q318" s="1">
        <f>(N318*41.35/0.31*60)/1000</f>
        <v>5.5863544226728021E-3</v>
      </c>
      <c r="R318" s="1">
        <f>O318*41.35/0.31*60/1000</f>
        <v>1.6795350186475839E-3</v>
      </c>
      <c r="S318" s="1">
        <f>(O318*41.35/0.31*60)/1000</f>
        <v>1.6795350186475839E-3</v>
      </c>
    </row>
    <row r="319" spans="1:19" x14ac:dyDescent="0.3">
      <c r="A319" s="1">
        <v>319</v>
      </c>
      <c r="C319" s="1" t="s">
        <v>15</v>
      </c>
      <c r="D319" s="6">
        <v>21.1</v>
      </c>
      <c r="E319" s="1">
        <v>110</v>
      </c>
      <c r="F319" s="1">
        <v>15</v>
      </c>
      <c r="G319" s="1">
        <v>0.40804152482570805</v>
      </c>
      <c r="H319" s="1">
        <v>1.9609464739577394</v>
      </c>
      <c r="I319" s="1">
        <v>512.23761415233082</v>
      </c>
      <c r="K319" s="1">
        <f t="shared" si="12"/>
        <v>0.47351317716061186</v>
      </c>
      <c r="L319" s="1">
        <f t="shared" si="13"/>
        <v>0.97525157749105285</v>
      </c>
      <c r="M319" s="1">
        <f t="shared" si="14"/>
        <v>254.44450919638044</v>
      </c>
      <c r="N319"/>
      <c r="P319" s="1"/>
    </row>
    <row r="320" spans="1:19" x14ac:dyDescent="0.3">
      <c r="A320" s="1">
        <v>320</v>
      </c>
      <c r="C320" s="1" t="s">
        <v>15</v>
      </c>
      <c r="D320" s="6">
        <v>21.1</v>
      </c>
      <c r="E320" s="1">
        <v>111</v>
      </c>
      <c r="F320" s="1">
        <v>30</v>
      </c>
      <c r="G320" s="1">
        <v>0.41709029703812711</v>
      </c>
      <c r="H320" s="1">
        <v>1.9555597283866304</v>
      </c>
      <c r="I320" s="1">
        <v>558.92308480648649</v>
      </c>
      <c r="K320" s="1">
        <f t="shared" si="12"/>
        <v>0.48401385569213001</v>
      </c>
      <c r="L320" s="1">
        <f t="shared" si="13"/>
        <v>0.97257254867229892</v>
      </c>
      <c r="M320" s="1">
        <f t="shared" si="14"/>
        <v>277.6346485750675</v>
      </c>
      <c r="N320"/>
      <c r="P320" s="1"/>
    </row>
    <row r="321" spans="1:19" x14ac:dyDescent="0.3">
      <c r="A321" s="1">
        <v>321</v>
      </c>
      <c r="C321" s="1" t="s">
        <v>15</v>
      </c>
      <c r="D321" s="6">
        <v>21.1</v>
      </c>
      <c r="E321" s="1">
        <v>112</v>
      </c>
      <c r="F321" s="1">
        <v>45</v>
      </c>
      <c r="G321" s="1">
        <v>0.41974654952628876</v>
      </c>
      <c r="H321" s="1">
        <v>1.9784533970638432</v>
      </c>
      <c r="I321" s="1">
        <v>570.6990242061845</v>
      </c>
      <c r="K321" s="1">
        <f t="shared" si="12"/>
        <v>0.48709631293847871</v>
      </c>
      <c r="L321" s="1">
        <f t="shared" si="13"/>
        <v>0.98395842115200349</v>
      </c>
      <c r="M321" s="1">
        <f t="shared" si="14"/>
        <v>283.4841274850474</v>
      </c>
      <c r="N321"/>
      <c r="P321" s="1"/>
    </row>
    <row r="322" spans="1:19" x14ac:dyDescent="0.3">
      <c r="A322" s="1">
        <v>322</v>
      </c>
      <c r="C322" s="1" t="s">
        <v>15</v>
      </c>
      <c r="D322" s="6">
        <v>21.1</v>
      </c>
      <c r="E322" s="1">
        <v>113</v>
      </c>
      <c r="F322" s="1">
        <v>0</v>
      </c>
      <c r="G322" s="1">
        <v>0.39360240873621349</v>
      </c>
      <c r="H322" s="1">
        <v>1.9730666514927344</v>
      </c>
      <c r="I322" s="1">
        <v>418.69238661708738</v>
      </c>
      <c r="K322" s="1">
        <f t="shared" si="12"/>
        <v>0.45675725571892067</v>
      </c>
      <c r="L322" s="1">
        <f t="shared" si="13"/>
        <v>0.98127939233324946</v>
      </c>
      <c r="M322" s="1">
        <f t="shared" si="14"/>
        <v>207.97765699682603</v>
      </c>
      <c r="N322" s="1">
        <f>SLOPE(K322:K325,F322:F325)</f>
        <v>1.5985871682713227E-3</v>
      </c>
      <c r="O322" s="1">
        <f>SLOPE(L322:L325,F322:F325)</f>
        <v>-3.5273879446928057E-4</v>
      </c>
      <c r="P322" s="1">
        <f>SLOPE(M322:M325,F322:F325)</f>
        <v>1.9327136195890098</v>
      </c>
      <c r="Q322" s="1">
        <f>(N322*41.35/0.31*60)/1000</f>
        <v>1.2793854078971458E-2</v>
      </c>
      <c r="R322" s="1">
        <f>O322*41.35/0.31*60/1000</f>
        <v>-2.823048222833178E-3</v>
      </c>
      <c r="S322" s="1">
        <f>(O322*41.35/0.31*60)/1000</f>
        <v>-2.823048222833178E-3</v>
      </c>
    </row>
    <row r="323" spans="1:19" x14ac:dyDescent="0.3">
      <c r="A323" s="1">
        <v>323</v>
      </c>
      <c r="C323" s="1" t="s">
        <v>15</v>
      </c>
      <c r="D323" s="6">
        <v>21.1</v>
      </c>
      <c r="E323" s="1">
        <v>114</v>
      </c>
      <c r="F323" s="1">
        <v>15</v>
      </c>
      <c r="G323" s="1">
        <v>0.41267293942045152</v>
      </c>
      <c r="H323" s="1">
        <v>1.9851868290277292</v>
      </c>
      <c r="I323" s="1">
        <v>531.28128921508869</v>
      </c>
      <c r="K323" s="1">
        <f t="shared" ref="K323:K386" si="15">(G323*28*1)/(0.082*(D323+273.15))</f>
        <v>0.47888771800039964</v>
      </c>
      <c r="L323" s="1">
        <f t="shared" ref="L323:L386" si="16">(H323*12*1)/(0.082*(D323+273.15))</f>
        <v>0.98730720717544607</v>
      </c>
      <c r="M323" s="1">
        <f t="shared" ref="M323:M386" si="17">(I323*12*1)/(0.0821*(D323+273.15))</f>
        <v>263.90410064527742</v>
      </c>
      <c r="N323"/>
      <c r="P323" s="1"/>
    </row>
    <row r="324" spans="1:19" x14ac:dyDescent="0.3">
      <c r="A324" s="1">
        <v>324</v>
      </c>
      <c r="C324" s="1" t="s">
        <v>15</v>
      </c>
      <c r="D324" s="6">
        <v>21.1</v>
      </c>
      <c r="E324" s="1">
        <v>115</v>
      </c>
      <c r="F324" s="1">
        <v>30</v>
      </c>
      <c r="G324" s="1">
        <v>0.40277766916235458</v>
      </c>
      <c r="H324" s="1">
        <v>1.9555597283866304</v>
      </c>
      <c r="I324" s="1">
        <v>541.5206050473372</v>
      </c>
      <c r="K324" s="1">
        <f t="shared" si="15"/>
        <v>0.46740471792883637</v>
      </c>
      <c r="L324" s="1">
        <f t="shared" si="16"/>
        <v>0.97257254867229892</v>
      </c>
      <c r="M324" s="1">
        <f t="shared" si="17"/>
        <v>268.990290373368</v>
      </c>
      <c r="N324"/>
      <c r="P324" s="1"/>
    </row>
    <row r="325" spans="1:19" x14ac:dyDescent="0.3">
      <c r="A325" s="1">
        <v>325</v>
      </c>
      <c r="C325" s="1" t="s">
        <v>15</v>
      </c>
      <c r="D325" s="6">
        <v>21.1</v>
      </c>
      <c r="E325" s="1">
        <v>116</v>
      </c>
      <c r="F325" s="1">
        <v>45</v>
      </c>
      <c r="G325" s="1">
        <v>0.46577852945849813</v>
      </c>
      <c r="H325" s="1">
        <v>1.9474796100299672</v>
      </c>
      <c r="I325" s="1">
        <v>609.82240912512884</v>
      </c>
      <c r="K325" s="1">
        <f t="shared" si="15"/>
        <v>0.5405142808230079</v>
      </c>
      <c r="L325" s="1">
        <f t="shared" si="16"/>
        <v>0.96855400544416781</v>
      </c>
      <c r="M325" s="1">
        <f t="shared" si="17"/>
        <v>302.91794140024632</v>
      </c>
      <c r="N325"/>
      <c r="P325" s="1"/>
    </row>
    <row r="326" spans="1:19" x14ac:dyDescent="0.3">
      <c r="A326" s="1">
        <v>326</v>
      </c>
      <c r="C326" s="1" t="s">
        <v>15</v>
      </c>
      <c r="D326" s="6">
        <v>21.1</v>
      </c>
      <c r="E326" s="1">
        <v>117</v>
      </c>
      <c r="F326" s="1">
        <v>0</v>
      </c>
      <c r="G326" s="1">
        <v>0.3947991818352754</v>
      </c>
      <c r="H326" s="1">
        <v>1.9542130419938533</v>
      </c>
      <c r="I326" s="1">
        <v>418.33800462232591</v>
      </c>
      <c r="K326" s="1">
        <f t="shared" si="15"/>
        <v>0.45814605513760531</v>
      </c>
      <c r="L326" s="1">
        <f t="shared" si="16"/>
        <v>0.97190279146761038</v>
      </c>
      <c r="M326" s="1">
        <f t="shared" si="17"/>
        <v>207.80162433105949</v>
      </c>
      <c r="N326" s="1">
        <f>SLOPE(K326:K329,F326:F329)</f>
        <v>9.9376313959212794E-4</v>
      </c>
      <c r="O326" s="1">
        <f>SLOPE(L326:L329,F326:F329)</f>
        <v>1.1609124881267159E-4</v>
      </c>
      <c r="P326" s="1">
        <f>SLOPE(M326:M329,F326:F329)</f>
        <v>1.7748325188662657</v>
      </c>
      <c r="Q326" s="1">
        <f>(N326*41.35/0.31*60)/1000</f>
        <v>7.9533108042840941E-3</v>
      </c>
      <c r="R326" s="1">
        <f>O326*41.35/0.31*60/1000</f>
        <v>9.2910447840076848E-4</v>
      </c>
      <c r="S326" s="1">
        <f>(O326*41.35/0.31*60)/1000</f>
        <v>9.2910447840076848E-4</v>
      </c>
    </row>
    <row r="327" spans="1:19" x14ac:dyDescent="0.3">
      <c r="A327" s="1">
        <v>327</v>
      </c>
      <c r="C327" s="1" t="s">
        <v>15</v>
      </c>
      <c r="D327" s="6">
        <v>21.1</v>
      </c>
      <c r="E327" s="1">
        <v>118</v>
      </c>
      <c r="F327" s="1">
        <v>15</v>
      </c>
      <c r="G327" s="1">
        <v>0.42148819493061468</v>
      </c>
      <c r="H327" s="1">
        <v>1.9676799059216254</v>
      </c>
      <c r="I327" s="1">
        <v>563.53586027928384</v>
      </c>
      <c r="K327" s="1">
        <f t="shared" si="15"/>
        <v>0.48911741127949143</v>
      </c>
      <c r="L327" s="1">
        <f t="shared" si="16"/>
        <v>0.97860036351449542</v>
      </c>
      <c r="M327" s="1">
        <f t="shared" si="17"/>
        <v>279.92595901143847</v>
      </c>
      <c r="N327"/>
      <c r="P327" s="1"/>
    </row>
    <row r="328" spans="1:19" x14ac:dyDescent="0.3">
      <c r="A328" s="1">
        <v>328</v>
      </c>
      <c r="C328" s="1" t="s">
        <v>15</v>
      </c>
      <c r="D328" s="6">
        <v>21.1</v>
      </c>
      <c r="E328" s="1">
        <v>119</v>
      </c>
      <c r="F328" s="1">
        <v>30</v>
      </c>
      <c r="G328" s="1">
        <v>0.4267617804565621</v>
      </c>
      <c r="H328" s="1">
        <v>1.9784533970638432</v>
      </c>
      <c r="I328" s="1">
        <v>571.25964490281547</v>
      </c>
      <c r="K328" s="1">
        <f t="shared" si="15"/>
        <v>0.49523716156345143</v>
      </c>
      <c r="L328" s="1">
        <f t="shared" si="16"/>
        <v>0.98395842115200349</v>
      </c>
      <c r="M328" s="1">
        <f t="shared" si="17"/>
        <v>283.76260539072723</v>
      </c>
      <c r="N328"/>
      <c r="P328" s="1"/>
    </row>
    <row r="329" spans="1:19" x14ac:dyDescent="0.3">
      <c r="A329" s="1">
        <v>329</v>
      </c>
      <c r="C329" s="1" t="s">
        <v>15</v>
      </c>
      <c r="D329" s="6">
        <v>21.1</v>
      </c>
      <c r="E329" s="1">
        <v>120</v>
      </c>
      <c r="F329" s="1">
        <v>45</v>
      </c>
      <c r="G329" s="1">
        <v>0.43585920198195116</v>
      </c>
      <c r="H329" s="1">
        <v>1.9622931603505165</v>
      </c>
      <c r="I329" s="1">
        <v>594.41453840753343</v>
      </c>
      <c r="K329" s="1">
        <f t="shared" si="15"/>
        <v>0.50579429535589171</v>
      </c>
      <c r="L329" s="1">
        <f t="shared" si="16"/>
        <v>0.97592133469574127</v>
      </c>
      <c r="M329" s="1">
        <f t="shared" si="17"/>
        <v>295.26436814794317</v>
      </c>
      <c r="N329"/>
      <c r="P329" s="1"/>
    </row>
    <row r="330" spans="1:19" x14ac:dyDescent="0.3">
      <c r="A330" s="1">
        <v>330</v>
      </c>
      <c r="C330" s="1" t="s">
        <v>15</v>
      </c>
      <c r="D330" s="6">
        <v>21.1</v>
      </c>
      <c r="E330" s="1">
        <v>121</v>
      </c>
      <c r="F330" s="1">
        <v>0</v>
      </c>
      <c r="G330" s="1">
        <v>0.39424457966741744</v>
      </c>
      <c r="H330" s="1">
        <v>1.9501729828155214</v>
      </c>
      <c r="I330" s="1">
        <v>421.79758622692395</v>
      </c>
      <c r="K330" s="1">
        <f t="shared" si="15"/>
        <v>0.45750246516309284</v>
      </c>
      <c r="L330" s="1">
        <f t="shared" si="16"/>
        <v>0.96989351985354477</v>
      </c>
      <c r="M330" s="1">
        <f t="shared" si="17"/>
        <v>209.52010715833774</v>
      </c>
      <c r="N330" s="1">
        <f>SLOPE(K330:K333,F330:F333)</f>
        <v>1.1323796235762884E-2</v>
      </c>
      <c r="O330" s="1">
        <f>SLOPE(L330:L333,F330:F333)</f>
        <v>-3.0362326612545158E-4</v>
      </c>
      <c r="P330" s="1">
        <f>SLOPE(M330:M333,F330:F333)</f>
        <v>3.6173430245510056</v>
      </c>
      <c r="Q330" s="1">
        <f>(N330*41.35/0.31*60)/1000</f>
        <v>9.0626898261057146E-2</v>
      </c>
      <c r="R330" s="1">
        <f>O330*41.35/0.31*60/1000</f>
        <v>-2.4299655588943402E-3</v>
      </c>
      <c r="S330" s="1">
        <f>(O330*41.35/0.31*60)/1000</f>
        <v>-2.4299655588943402E-3</v>
      </c>
    </row>
    <row r="331" spans="1:19" x14ac:dyDescent="0.3">
      <c r="A331" s="1">
        <v>331</v>
      </c>
      <c r="C331" s="1" t="s">
        <v>15</v>
      </c>
      <c r="D331" s="6">
        <v>21.1</v>
      </c>
      <c r="E331" s="1">
        <v>122</v>
      </c>
      <c r="F331" s="1">
        <v>15</v>
      </c>
      <c r="G331" s="1">
        <v>0.61167781905551311</v>
      </c>
      <c r="H331" s="1">
        <v>1.9488262964227443</v>
      </c>
      <c r="I331" s="1">
        <v>593.64671075221679</v>
      </c>
      <c r="K331" s="1">
        <f t="shared" si="15"/>
        <v>0.70982360832850633</v>
      </c>
      <c r="L331" s="1">
        <f t="shared" si="16"/>
        <v>0.96922376264885624</v>
      </c>
      <c r="M331" s="1">
        <f t="shared" si="17"/>
        <v>294.88296403878235</v>
      </c>
      <c r="N331"/>
      <c r="P331" s="1"/>
    </row>
    <row r="332" spans="1:19" x14ac:dyDescent="0.3">
      <c r="A332" s="1">
        <v>332</v>
      </c>
      <c r="C332" s="1" t="s">
        <v>15</v>
      </c>
      <c r="D332" s="6">
        <v>21.1</v>
      </c>
      <c r="E332" s="1">
        <v>123</v>
      </c>
      <c r="F332" s="1">
        <v>30</v>
      </c>
      <c r="G332" s="1">
        <v>0.77388435836007052</v>
      </c>
      <c r="H332" s="1">
        <v>1.9218925685672001</v>
      </c>
      <c r="I332" s="1">
        <v>709.24398727842561</v>
      </c>
      <c r="K332" s="1">
        <f t="shared" si="15"/>
        <v>0.89805673929510632</v>
      </c>
      <c r="L332" s="1">
        <f t="shared" si="16"/>
        <v>0.95582861855508627</v>
      </c>
      <c r="M332" s="1">
        <f t="shared" si="17"/>
        <v>352.30376149197855</v>
      </c>
      <c r="N332"/>
      <c r="P332" s="1"/>
    </row>
    <row r="333" spans="1:19" x14ac:dyDescent="0.3">
      <c r="A333" s="1">
        <v>333</v>
      </c>
      <c r="C333" s="1" t="s">
        <v>15</v>
      </c>
      <c r="D333" s="6">
        <v>21.1</v>
      </c>
      <c r="E333" s="1">
        <v>124</v>
      </c>
      <c r="F333" s="1">
        <v>45</v>
      </c>
      <c r="G333" s="1">
        <v>0.82807969300864492</v>
      </c>
      <c r="H333" s="1">
        <v>1.9286260005310862</v>
      </c>
      <c r="I333" s="1">
        <v>747.37975024475588</v>
      </c>
      <c r="K333" s="1">
        <f t="shared" si="15"/>
        <v>0.9609478999623704</v>
      </c>
      <c r="L333" s="1">
        <f t="shared" si="16"/>
        <v>0.95917740457852885</v>
      </c>
      <c r="M333" s="1">
        <f t="shared" si="17"/>
        <v>371.24699256815597</v>
      </c>
      <c r="N333"/>
      <c r="P333" s="1"/>
    </row>
    <row r="334" spans="1:19" x14ac:dyDescent="0.3">
      <c r="A334" s="1">
        <v>334</v>
      </c>
      <c r="C334" s="1" t="s">
        <v>15</v>
      </c>
      <c r="D334" s="6">
        <v>21.1</v>
      </c>
      <c r="E334" s="1">
        <v>125</v>
      </c>
      <c r="F334" s="1">
        <v>0</v>
      </c>
      <c r="G334" s="1">
        <v>0.39497431936196736</v>
      </c>
      <c r="H334" s="1">
        <v>2.0080804977049418</v>
      </c>
      <c r="I334" s="1">
        <v>439.53508284450896</v>
      </c>
      <c r="K334" s="1">
        <f t="shared" si="15"/>
        <v>0.45834929407692498</v>
      </c>
      <c r="L334" s="1">
        <f t="shared" si="16"/>
        <v>0.99869307965515053</v>
      </c>
      <c r="M334" s="1">
        <f t="shared" si="17"/>
        <v>218.33087875445045</v>
      </c>
      <c r="N334" s="1">
        <f>SLOPE(K334:K337,F334:F337)</f>
        <v>6.3340544544204427E-3</v>
      </c>
      <c r="O334" s="1">
        <f>SLOPE(L334:L337,F334:F337)</f>
        <v>-1.6118823392836648E-3</v>
      </c>
      <c r="P334" s="1">
        <f>SLOPE(M334:M337,F334:F337)</f>
        <v>4.3473334954387894</v>
      </c>
      <c r="Q334" s="1">
        <f>(N334*41.35/0.31*60)/1000</f>
        <v>5.0692868069087481E-2</v>
      </c>
      <c r="R334" s="1">
        <f>O334*41.35/0.31*60/1000</f>
        <v>-1.290025833471862E-2</v>
      </c>
      <c r="S334" s="1">
        <f>(O334*41.35/0.31*60)/1000</f>
        <v>-1.290025833471862E-2</v>
      </c>
    </row>
    <row r="335" spans="1:19" x14ac:dyDescent="0.3">
      <c r="A335" s="1">
        <v>335</v>
      </c>
      <c r="C335" s="1" t="s">
        <v>15</v>
      </c>
      <c r="D335" s="6">
        <v>21.1</v>
      </c>
      <c r="E335" s="1">
        <v>126</v>
      </c>
      <c r="F335" s="1">
        <v>15</v>
      </c>
      <c r="G335" s="1">
        <v>0.50160388352960239</v>
      </c>
      <c r="H335" s="1">
        <v>1.8855320359622156</v>
      </c>
      <c r="I335" s="1">
        <v>627.36528612263987</v>
      </c>
      <c r="K335" s="1">
        <f t="shared" si="15"/>
        <v>0.58208793496607181</v>
      </c>
      <c r="L335" s="1">
        <f t="shared" si="16"/>
        <v>0.93774517402849678</v>
      </c>
      <c r="M335" s="1">
        <f t="shared" si="17"/>
        <v>311.63203931925767</v>
      </c>
      <c r="N335"/>
      <c r="P335" s="1"/>
    </row>
    <row r="336" spans="1:19" x14ac:dyDescent="0.3">
      <c r="A336" s="1">
        <v>336</v>
      </c>
      <c r="C336" s="1" t="s">
        <v>15</v>
      </c>
      <c r="D336" s="6">
        <v>21.1</v>
      </c>
      <c r="E336" s="1">
        <v>127</v>
      </c>
      <c r="F336" s="1">
        <v>30</v>
      </c>
      <c r="G336" s="1">
        <v>0.57910223909080449</v>
      </c>
      <c r="H336" s="1">
        <v>1.8761052312127748</v>
      </c>
      <c r="I336" s="1">
        <v>750.67279167695244</v>
      </c>
      <c r="K336" s="1">
        <f t="shared" si="15"/>
        <v>0.67202116561504122</v>
      </c>
      <c r="L336" s="1">
        <f t="shared" si="16"/>
        <v>0.93305687359567713</v>
      </c>
      <c r="M336" s="1">
        <f t="shared" si="17"/>
        <v>372.8827496617954</v>
      </c>
      <c r="N336"/>
      <c r="P336" s="1"/>
    </row>
    <row r="337" spans="1:19" x14ac:dyDescent="0.3">
      <c r="A337" s="1">
        <v>337</v>
      </c>
      <c r="C337" s="1" t="s">
        <v>15</v>
      </c>
      <c r="D337" s="6">
        <v>21.1</v>
      </c>
      <c r="E337" s="1">
        <v>128</v>
      </c>
      <c r="F337" s="1">
        <v>45</v>
      </c>
      <c r="G337" s="1">
        <v>0.64205445007397799</v>
      </c>
      <c r="H337" s="1">
        <v>1.8491715033572307</v>
      </c>
      <c r="I337" s="1">
        <v>836.02656654639691</v>
      </c>
      <c r="K337" s="1">
        <f t="shared" si="15"/>
        <v>0.74507427324829067</v>
      </c>
      <c r="L337" s="1">
        <f t="shared" si="16"/>
        <v>0.91966172950190717</v>
      </c>
      <c r="M337" s="1">
        <f t="shared" si="17"/>
        <v>415.28065007887733</v>
      </c>
      <c r="N337"/>
      <c r="P337" s="1"/>
    </row>
    <row r="338" spans="1:19" x14ac:dyDescent="0.3">
      <c r="A338" s="1">
        <v>338</v>
      </c>
      <c r="C338" s="1" t="s">
        <v>15</v>
      </c>
      <c r="D338" s="6">
        <v>21.1</v>
      </c>
      <c r="E338" s="1">
        <v>129</v>
      </c>
      <c r="F338" s="1">
        <v>0</v>
      </c>
      <c r="G338" s="1">
        <v>0.39370943722474749</v>
      </c>
      <c r="H338" s="1">
        <v>1.9798000834566203</v>
      </c>
      <c r="I338" s="1">
        <v>419.60061151076582</v>
      </c>
      <c r="K338" s="1">
        <f t="shared" si="15"/>
        <v>0.45688145729294938</v>
      </c>
      <c r="L338" s="1">
        <f t="shared" si="16"/>
        <v>0.98462817835669192</v>
      </c>
      <c r="M338" s="1">
        <f t="shared" si="17"/>
        <v>208.42880082329876</v>
      </c>
      <c r="N338" s="1">
        <f>SLOPE(K338:K341,F338:F341)</f>
        <v>1.5086351192020436E-3</v>
      </c>
      <c r="O338" s="1">
        <f>SLOPE(L338:L341,F338:F341)</f>
        <v>-7.4119797318860921E-4</v>
      </c>
      <c r="P338" s="1">
        <f>SLOPE(M338:M341,F338:F341)</f>
        <v>3.651241336800259</v>
      </c>
      <c r="Q338" s="1">
        <f>(N338*41.35/0.31*60)/1000</f>
        <v>1.2073947518517E-2</v>
      </c>
      <c r="R338" s="1">
        <f>O338*41.35/0.31*60/1000</f>
        <v>-5.9319747467127077E-3</v>
      </c>
      <c r="S338" s="1">
        <f>(O338*41.35/0.31*60)/1000</f>
        <v>-5.9319747467127077E-3</v>
      </c>
    </row>
    <row r="339" spans="1:19" x14ac:dyDescent="0.3">
      <c r="A339" s="1">
        <v>339</v>
      </c>
      <c r="C339" s="1" t="s">
        <v>15</v>
      </c>
      <c r="D339" s="6">
        <v>21.1</v>
      </c>
      <c r="E339" s="1">
        <v>130</v>
      </c>
      <c r="F339" s="1">
        <v>15</v>
      </c>
      <c r="G339" s="1">
        <v>0.42070980592309476</v>
      </c>
      <c r="H339" s="1">
        <v>1.9138124502105369</v>
      </c>
      <c r="I339" s="1">
        <v>610.89620593439247</v>
      </c>
      <c r="K339" s="1">
        <f t="shared" si="15"/>
        <v>0.48821412710473722</v>
      </c>
      <c r="L339" s="1">
        <f t="shared" si="16"/>
        <v>0.95181007532695516</v>
      </c>
      <c r="M339" s="1">
        <f t="shared" si="17"/>
        <v>303.45132999679021</v>
      </c>
      <c r="N339"/>
      <c r="P339" s="1"/>
    </row>
    <row r="340" spans="1:19" x14ac:dyDescent="0.3">
      <c r="A340" s="1">
        <v>340</v>
      </c>
      <c r="C340" s="1" t="s">
        <v>15</v>
      </c>
      <c r="D340" s="6">
        <v>21.1</v>
      </c>
      <c r="E340" s="1">
        <v>131</v>
      </c>
      <c r="F340" s="1">
        <v>30</v>
      </c>
      <c r="G340" s="1">
        <v>0.44046142698891272</v>
      </c>
      <c r="H340" s="1">
        <v>1.8922654679261017</v>
      </c>
      <c r="I340" s="1">
        <v>692.33047721150206</v>
      </c>
      <c r="K340" s="1">
        <f t="shared" si="15"/>
        <v>0.51113496303912609</v>
      </c>
      <c r="L340" s="1">
        <f t="shared" si="16"/>
        <v>0.94109396005193935</v>
      </c>
      <c r="M340" s="1">
        <f t="shared" si="17"/>
        <v>343.90228989195157</v>
      </c>
      <c r="N340"/>
      <c r="P340" s="1"/>
    </row>
    <row r="341" spans="1:19" x14ac:dyDescent="0.3">
      <c r="A341" s="1">
        <v>341</v>
      </c>
      <c r="C341" s="1" t="s">
        <v>15</v>
      </c>
      <c r="D341" s="6">
        <v>21.1</v>
      </c>
      <c r="E341" s="1">
        <v>132</v>
      </c>
      <c r="F341" s="1">
        <v>45</v>
      </c>
      <c r="G341" s="1">
        <v>0.4521275322391175</v>
      </c>
      <c r="H341" s="1">
        <v>1.9124657638177598</v>
      </c>
      <c r="I341" s="1">
        <v>759.98258096556424</v>
      </c>
      <c r="K341" s="1">
        <f t="shared" si="15"/>
        <v>0.52467293460825526</v>
      </c>
      <c r="L341" s="1">
        <f t="shared" si="16"/>
        <v>0.95114031812226674</v>
      </c>
      <c r="M341" s="1">
        <f t="shared" si="17"/>
        <v>377.50721436492461</v>
      </c>
      <c r="N341"/>
      <c r="P341" s="1"/>
    </row>
    <row r="342" spans="1:19" x14ac:dyDescent="0.3">
      <c r="A342" s="1">
        <v>342</v>
      </c>
      <c r="C342" s="1" t="s">
        <v>15</v>
      </c>
      <c r="D342" s="6">
        <v>21.1</v>
      </c>
      <c r="E342" s="1">
        <v>133</v>
      </c>
      <c r="F342" s="1">
        <v>0</v>
      </c>
      <c r="G342" s="1">
        <v>0.39299915725538559</v>
      </c>
      <c r="H342" s="1">
        <v>1.9663332195288483</v>
      </c>
      <c r="I342" s="1">
        <v>415.65786975484002</v>
      </c>
      <c r="K342" s="1">
        <f t="shared" si="15"/>
        <v>0.45605721048348613</v>
      </c>
      <c r="L342" s="1">
        <f t="shared" si="16"/>
        <v>0.97793060630980699</v>
      </c>
      <c r="M342" s="1">
        <f t="shared" si="17"/>
        <v>206.4703171757541</v>
      </c>
      <c r="N342" s="1">
        <f>SLOPE(K342:K345,F342:F345)</f>
        <v>1.3367100312738189E-3</v>
      </c>
      <c r="O342" s="1">
        <f>SLOPE(L342:L345,F342:F345)</f>
        <v>-5.268756676882891E-4</v>
      </c>
      <c r="P342" s="1">
        <f>SLOPE(M342:M345,F342:F345)</f>
        <v>2.3986134083177828</v>
      </c>
      <c r="Q342" s="1">
        <f>(N342*41.35/0.31*60)/1000</f>
        <v>1.0697992218033371E-2</v>
      </c>
      <c r="R342" s="1">
        <f>O342*41.35/0.31*60/1000</f>
        <v>-4.2167049404343406E-3</v>
      </c>
      <c r="S342" s="1">
        <f>(O342*41.35/0.31*60)/1000</f>
        <v>-4.2167049404343406E-3</v>
      </c>
    </row>
    <row r="343" spans="1:19" x14ac:dyDescent="0.3">
      <c r="A343" s="1">
        <v>343</v>
      </c>
      <c r="C343" s="1" t="s">
        <v>15</v>
      </c>
      <c r="D343" s="6">
        <v>21.1</v>
      </c>
      <c r="E343" s="1">
        <v>134</v>
      </c>
      <c r="F343" s="1">
        <v>15</v>
      </c>
      <c r="G343" s="1">
        <v>0.42820180012047399</v>
      </c>
      <c r="H343" s="1">
        <v>1.9420928644588582</v>
      </c>
      <c r="I343" s="1">
        <v>615.60096580473737</v>
      </c>
      <c r="K343" s="1">
        <f t="shared" si="15"/>
        <v>0.49690823728674682</v>
      </c>
      <c r="L343" s="1">
        <f t="shared" si="16"/>
        <v>0.96587497662541377</v>
      </c>
      <c r="M343" s="1">
        <f t="shared" si="17"/>
        <v>305.78833197208979</v>
      </c>
      <c r="N343"/>
      <c r="P343" s="1"/>
    </row>
    <row r="344" spans="1:19" x14ac:dyDescent="0.3">
      <c r="A344" s="1">
        <v>344</v>
      </c>
      <c r="C344" s="1" t="s">
        <v>15</v>
      </c>
      <c r="D344" s="6">
        <v>21.1</v>
      </c>
      <c r="E344" s="1">
        <v>135</v>
      </c>
      <c r="F344" s="1">
        <v>30</v>
      </c>
      <c r="G344" s="1">
        <v>0.43051750741784572</v>
      </c>
      <c r="H344" s="1">
        <v>1.9245859413527548</v>
      </c>
      <c r="I344" s="1">
        <v>615.97568119264088</v>
      </c>
      <c r="K344" s="1">
        <f t="shared" si="15"/>
        <v>0.49959550770664068</v>
      </c>
      <c r="L344" s="1">
        <f t="shared" si="16"/>
        <v>0.95716813296446346</v>
      </c>
      <c r="M344" s="1">
        <f t="shared" si="17"/>
        <v>305.97446487277733</v>
      </c>
      <c r="N344"/>
      <c r="P344" s="1"/>
    </row>
    <row r="345" spans="1:19" x14ac:dyDescent="0.3">
      <c r="A345" s="1">
        <v>345</v>
      </c>
      <c r="C345" s="1" t="s">
        <v>15</v>
      </c>
      <c r="D345" s="6">
        <v>21.1</v>
      </c>
      <c r="E345" s="1">
        <v>136</v>
      </c>
      <c r="F345" s="1">
        <v>45</v>
      </c>
      <c r="G345" s="1">
        <v>0.44982155480433972</v>
      </c>
      <c r="H345" s="1">
        <v>1.9191991957816459</v>
      </c>
      <c r="I345" s="1">
        <v>656.97264305110286</v>
      </c>
      <c r="K345" s="1">
        <f t="shared" si="15"/>
        <v>0.52199695524054579</v>
      </c>
      <c r="L345" s="1">
        <f t="shared" si="16"/>
        <v>0.95448910414570931</v>
      </c>
      <c r="M345" s="1">
        <f t="shared" si="17"/>
        <v>326.33894329141407</v>
      </c>
      <c r="N345"/>
      <c r="P345" s="1"/>
    </row>
    <row r="346" spans="1:19" x14ac:dyDescent="0.3">
      <c r="A346" s="1">
        <v>346</v>
      </c>
      <c r="C346" s="1" t="s">
        <v>15</v>
      </c>
      <c r="D346" s="6">
        <v>21.1</v>
      </c>
      <c r="E346" s="1">
        <v>137</v>
      </c>
      <c r="F346" s="1">
        <v>0</v>
      </c>
      <c r="G346" s="1">
        <v>0.39309645588132558</v>
      </c>
      <c r="H346" s="1">
        <v>1.9690265923144026</v>
      </c>
      <c r="I346" s="1">
        <v>418.43676681758734</v>
      </c>
      <c r="K346" s="1">
        <f t="shared" si="15"/>
        <v>0.45617012100533044</v>
      </c>
      <c r="L346" s="1">
        <f t="shared" si="16"/>
        <v>0.97927012071918396</v>
      </c>
      <c r="M346" s="1">
        <f t="shared" si="17"/>
        <v>207.85068261496167</v>
      </c>
      <c r="N346" s="1">
        <f>SLOPE(K346:K349,F346:F349)</f>
        <v>5.7450378987994443E-3</v>
      </c>
      <c r="O346" s="1">
        <f>SLOPE(L346:L349,F346:F349)</f>
        <v>-1.1743076322205104E-3</v>
      </c>
      <c r="P346" s="1">
        <f>SLOPE(M346:M349,F346:F349)</f>
        <v>9.6663320352472422</v>
      </c>
      <c r="Q346" s="1">
        <f>(N346*41.35/0.31*60)/1000</f>
        <v>4.597883557071427E-2</v>
      </c>
      <c r="R346" s="1">
        <f>O346*41.35/0.31*60/1000</f>
        <v>-9.3982491469002793E-3</v>
      </c>
      <c r="S346" s="1">
        <f>(O346*41.35/0.31*60)/1000</f>
        <v>-9.3982491469002793E-3</v>
      </c>
    </row>
    <row r="347" spans="1:19" x14ac:dyDescent="0.3">
      <c r="A347" s="1">
        <v>347</v>
      </c>
      <c r="C347" s="1" t="s">
        <v>15</v>
      </c>
      <c r="D347" s="6">
        <v>21.1</v>
      </c>
      <c r="E347" s="1">
        <v>138</v>
      </c>
      <c r="F347" s="1">
        <v>15</v>
      </c>
      <c r="G347" s="1">
        <v>0.53340107448679119</v>
      </c>
      <c r="H347" s="1">
        <v>1.8855320359622156</v>
      </c>
      <c r="I347" s="1">
        <v>973.85501957458462</v>
      </c>
      <c r="K347" s="1">
        <f t="shared" si="15"/>
        <v>0.61898709350478276</v>
      </c>
      <c r="L347" s="1">
        <f t="shared" si="16"/>
        <v>0.93774517402849678</v>
      </c>
      <c r="M347" s="1">
        <f t="shared" si="17"/>
        <v>483.744371045734</v>
      </c>
      <c r="N347"/>
      <c r="P347" s="1"/>
    </row>
    <row r="348" spans="1:19" x14ac:dyDescent="0.3">
      <c r="A348" s="1">
        <v>348</v>
      </c>
      <c r="C348" s="1" t="s">
        <v>15</v>
      </c>
      <c r="D348" s="6">
        <v>21.1</v>
      </c>
      <c r="E348" s="1">
        <v>139</v>
      </c>
      <c r="F348" s="1">
        <v>30</v>
      </c>
      <c r="G348" s="1">
        <v>0.58972724904345131</v>
      </c>
      <c r="H348" s="1">
        <v>1.8585983081066713</v>
      </c>
      <c r="I348" s="1">
        <v>1206.1040042999405</v>
      </c>
      <c r="K348" s="1">
        <f t="shared" si="15"/>
        <v>0.68435099460043658</v>
      </c>
      <c r="L348" s="1">
        <f t="shared" si="16"/>
        <v>0.9243500299347267</v>
      </c>
      <c r="M348" s="1">
        <f t="shared" si="17"/>
        <v>599.10973527731733</v>
      </c>
      <c r="N348"/>
      <c r="P348" s="1"/>
    </row>
    <row r="349" spans="1:19" x14ac:dyDescent="0.3">
      <c r="A349" s="1">
        <v>349</v>
      </c>
      <c r="C349" s="1" t="s">
        <v>15</v>
      </c>
      <c r="D349" s="6">
        <v>21.1</v>
      </c>
      <c r="E349" s="1">
        <v>140</v>
      </c>
      <c r="F349" s="1">
        <v>45</v>
      </c>
      <c r="G349" s="1">
        <v>0.62185525532883612</v>
      </c>
      <c r="H349" s="1">
        <v>1.8599449944994484</v>
      </c>
      <c r="I349" s="1">
        <v>1314.0142899616367</v>
      </c>
      <c r="K349" s="1">
        <f t="shared" si="15"/>
        <v>0.72163404891341809</v>
      </c>
      <c r="L349" s="1">
        <f t="shared" si="16"/>
        <v>0.92501978713941513</v>
      </c>
      <c r="M349" s="1">
        <f t="shared" si="17"/>
        <v>652.71216296679609</v>
      </c>
      <c r="N349"/>
      <c r="P349" s="1"/>
    </row>
    <row r="350" spans="1:19" x14ac:dyDescent="0.3">
      <c r="A350" s="1">
        <v>350</v>
      </c>
      <c r="C350" s="1" t="s">
        <v>15</v>
      </c>
      <c r="D350" s="6">
        <v>21.1</v>
      </c>
      <c r="E350" s="1">
        <v>141</v>
      </c>
      <c r="F350" s="1">
        <v>0</v>
      </c>
      <c r="G350" s="1">
        <v>0.3936121385988075</v>
      </c>
      <c r="H350" s="1">
        <v>1.9178525093888688</v>
      </c>
      <c r="I350" s="1">
        <v>417.68927255541274</v>
      </c>
      <c r="K350" s="1">
        <f t="shared" si="15"/>
        <v>0.45676854677110507</v>
      </c>
      <c r="L350" s="1">
        <f t="shared" si="16"/>
        <v>0.95381934694102088</v>
      </c>
      <c r="M350" s="1">
        <f t="shared" si="17"/>
        <v>207.47937874072181</v>
      </c>
      <c r="N350" s="1">
        <f>SLOPE(K350:K353,F350:F353)</f>
        <v>2.9192563780751326E-2</v>
      </c>
      <c r="O350" s="1">
        <f>SLOPE(L350:L353,F350:F353)</f>
        <v>1.9199706534403765E-4</v>
      </c>
      <c r="P350" s="1">
        <f>SLOPE(M350:M353,F350:F353)</f>
        <v>4.4332592400145954</v>
      </c>
      <c r="Q350" s="1">
        <f>(N350*41.35/0.31*60)/1000</f>
        <v>0.23363467980659369</v>
      </c>
      <c r="R350" s="1">
        <f>O350*41.35/0.31*60/1000</f>
        <v>1.5365958681243786E-3</v>
      </c>
      <c r="S350" s="1">
        <f>(O350*41.35/0.31*60)/1000</f>
        <v>1.5365958681243786E-3</v>
      </c>
    </row>
    <row r="351" spans="1:19" x14ac:dyDescent="0.3">
      <c r="A351" s="1">
        <v>351</v>
      </c>
      <c r="C351" s="1" t="s">
        <v>15</v>
      </c>
      <c r="D351" s="6">
        <v>21.1</v>
      </c>
      <c r="E351" s="1">
        <v>142</v>
      </c>
      <c r="F351" s="1">
        <v>15</v>
      </c>
      <c r="G351" s="1">
        <v>1.1985344814125629</v>
      </c>
      <c r="H351" s="1">
        <v>1.915159136603314</v>
      </c>
      <c r="I351" s="1">
        <v>748.85343711914663</v>
      </c>
      <c r="K351" s="1">
        <f t="shared" si="15"/>
        <v>1.3908434208322835</v>
      </c>
      <c r="L351" s="1">
        <f t="shared" si="16"/>
        <v>0.9524798325316437</v>
      </c>
      <c r="M351" s="1">
        <f t="shared" si="17"/>
        <v>371.97901911814688</v>
      </c>
      <c r="N351"/>
      <c r="P351" s="1"/>
    </row>
    <row r="352" spans="1:19" x14ac:dyDescent="0.3">
      <c r="A352" s="1">
        <v>352</v>
      </c>
      <c r="C352" s="1" t="s">
        <v>15</v>
      </c>
      <c r="D352" s="6">
        <v>21.1</v>
      </c>
      <c r="E352" s="1">
        <v>143</v>
      </c>
      <c r="F352" s="1">
        <v>30</v>
      </c>
      <c r="G352" s="1">
        <v>1.4154131186328007</v>
      </c>
      <c r="H352" s="1">
        <v>1.9367061188877495</v>
      </c>
      <c r="I352" s="1">
        <v>803.08162837218811</v>
      </c>
      <c r="K352" s="1">
        <f t="shared" si="15"/>
        <v>1.642520974023185</v>
      </c>
      <c r="L352" s="1">
        <f t="shared" si="16"/>
        <v>0.96319594780665985</v>
      </c>
      <c r="M352" s="1">
        <f t="shared" si="17"/>
        <v>398.91586468896884</v>
      </c>
      <c r="N352"/>
      <c r="P352" s="1"/>
    </row>
    <row r="353" spans="1:19" x14ac:dyDescent="0.3">
      <c r="A353" s="1">
        <v>353</v>
      </c>
      <c r="C353" s="1" t="s">
        <v>15</v>
      </c>
      <c r="D353" s="6">
        <v>21.1</v>
      </c>
      <c r="E353" s="1">
        <v>144</v>
      </c>
      <c r="F353" s="1">
        <v>45</v>
      </c>
      <c r="G353" s="1">
        <v>1.5791277866394278</v>
      </c>
      <c r="H353" s="1">
        <v>1.9299726869238634</v>
      </c>
      <c r="I353" s="1">
        <v>845.85630974535547</v>
      </c>
      <c r="K353" s="1">
        <f t="shared" si="15"/>
        <v>1.832504218078371</v>
      </c>
      <c r="L353" s="1">
        <f t="shared" si="16"/>
        <v>0.95984716178321738</v>
      </c>
      <c r="M353" s="1">
        <f t="shared" si="17"/>
        <v>420.16339221784426</v>
      </c>
      <c r="N353"/>
      <c r="P353" s="1"/>
    </row>
    <row r="354" spans="1:19" x14ac:dyDescent="0.3">
      <c r="A354" s="1">
        <v>354</v>
      </c>
      <c r="C354" s="1" t="s">
        <v>15</v>
      </c>
      <c r="D354" s="6">
        <v>21.1</v>
      </c>
      <c r="E354" s="1">
        <v>145</v>
      </c>
      <c r="F354" s="1">
        <v>0</v>
      </c>
      <c r="G354" s="1">
        <v>0.39497431936196736</v>
      </c>
      <c r="H354" s="1">
        <v>1.9393994916733039</v>
      </c>
      <c r="I354" s="1">
        <v>421.2689180052306</v>
      </c>
      <c r="K354" s="1">
        <f t="shared" si="15"/>
        <v>0.45834929407692498</v>
      </c>
      <c r="L354" s="1">
        <f t="shared" si="16"/>
        <v>0.96453546221603692</v>
      </c>
      <c r="M354" s="1">
        <f t="shared" si="17"/>
        <v>209.25750105039097</v>
      </c>
      <c r="N354" s="1">
        <f>SLOPE(K354:K357,F354:F357)</f>
        <v>2.640525463850343E-3</v>
      </c>
      <c r="O354" s="1">
        <f>SLOPE(L354:L357,F354:F357)</f>
        <v>-3.2148345825048293E-4</v>
      </c>
      <c r="P354" s="1">
        <f>SLOPE(M354:M357,F354:F357)</f>
        <v>2.9643419951517562</v>
      </c>
      <c r="Q354" s="1">
        <f>(N354*41.35/0.31*60)/1000</f>
        <v>2.1132721534879682E-2</v>
      </c>
      <c r="R354" s="1">
        <f>O354*41.35/0.31*60/1000</f>
        <v>-2.5729047094175746E-3</v>
      </c>
      <c r="S354" s="1">
        <f>(O354*41.35/0.31*60)/1000</f>
        <v>-2.5729047094175746E-3</v>
      </c>
    </row>
    <row r="355" spans="1:19" x14ac:dyDescent="0.3">
      <c r="A355" s="1">
        <v>355</v>
      </c>
      <c r="C355" s="1" t="s">
        <v>15</v>
      </c>
      <c r="D355" s="6">
        <v>21.1</v>
      </c>
      <c r="E355" s="1">
        <v>146</v>
      </c>
      <c r="F355" s="1">
        <v>15</v>
      </c>
      <c r="G355" s="1">
        <v>0.45442377981130128</v>
      </c>
      <c r="H355" s="1">
        <v>1.9232392549599773</v>
      </c>
      <c r="I355" s="1">
        <v>571.32548636632305</v>
      </c>
      <c r="K355" s="1">
        <f t="shared" si="15"/>
        <v>0.52733762292378039</v>
      </c>
      <c r="L355" s="1">
        <f t="shared" si="16"/>
        <v>0.9564983757597747</v>
      </c>
      <c r="M355" s="1">
        <f t="shared" si="17"/>
        <v>283.79531091332871</v>
      </c>
      <c r="N355"/>
      <c r="P355" s="1"/>
    </row>
    <row r="356" spans="1:19" x14ac:dyDescent="0.3">
      <c r="A356" s="1">
        <v>356</v>
      </c>
      <c r="C356" s="1" t="s">
        <v>15</v>
      </c>
      <c r="D356" s="6">
        <v>21.1</v>
      </c>
      <c r="E356" s="1">
        <v>147</v>
      </c>
      <c r="F356" s="1">
        <v>30</v>
      </c>
      <c r="G356" s="1">
        <v>0.47479811208313516</v>
      </c>
      <c r="H356" s="1">
        <v>1.9070790182466508</v>
      </c>
      <c r="I356" s="1">
        <v>638.39373126016346</v>
      </c>
      <c r="K356" s="1">
        <f t="shared" si="15"/>
        <v>0.5509810861979727</v>
      </c>
      <c r="L356" s="1">
        <f t="shared" si="16"/>
        <v>0.94846128930351281</v>
      </c>
      <c r="M356" s="1">
        <f t="shared" si="17"/>
        <v>317.11021435499782</v>
      </c>
      <c r="N356"/>
      <c r="P356" s="1"/>
    </row>
    <row r="357" spans="1:19" x14ac:dyDescent="0.3">
      <c r="A357" s="1">
        <v>357</v>
      </c>
      <c r="C357" s="1" t="s">
        <v>15</v>
      </c>
      <c r="D357" s="6">
        <v>21.1</v>
      </c>
      <c r="E357" s="1">
        <v>148</v>
      </c>
      <c r="F357" s="1">
        <v>45</v>
      </c>
      <c r="G357" s="1">
        <v>0.50195415858298642</v>
      </c>
      <c r="H357" s="1">
        <v>1.9124657638177598</v>
      </c>
      <c r="I357" s="1">
        <v>697.29763467906093</v>
      </c>
      <c r="K357" s="1">
        <f t="shared" si="15"/>
        <v>0.58249441284471137</v>
      </c>
      <c r="L357" s="1">
        <f t="shared" si="16"/>
        <v>0.95114031812226674</v>
      </c>
      <c r="M357" s="1">
        <f t="shared" si="17"/>
        <v>346.3696329940891</v>
      </c>
      <c r="N357"/>
      <c r="P357" s="1"/>
    </row>
    <row r="358" spans="1:19" x14ac:dyDescent="0.3">
      <c r="A358" s="1">
        <v>358</v>
      </c>
      <c r="C358" s="1" t="s">
        <v>15</v>
      </c>
      <c r="D358" s="6">
        <v>21.1</v>
      </c>
      <c r="E358" s="1">
        <v>149</v>
      </c>
      <c r="F358" s="1">
        <v>0</v>
      </c>
      <c r="G358" s="1">
        <v>0.39219157866008364</v>
      </c>
      <c r="H358" s="1">
        <v>1.9824934562421745</v>
      </c>
      <c r="I358" s="1">
        <v>485.24164585739726</v>
      </c>
      <c r="K358" s="1">
        <f t="shared" si="15"/>
        <v>0.45512005315217857</v>
      </c>
      <c r="L358" s="1">
        <f t="shared" si="16"/>
        <v>0.98596769276606888</v>
      </c>
      <c r="M358" s="1">
        <f t="shared" si="17"/>
        <v>241.034763966225</v>
      </c>
      <c r="N358" s="1">
        <f>SLOPE(K358:K361,F358:F361)</f>
        <v>1.5974505356847562E-2</v>
      </c>
      <c r="O358" s="1">
        <f>SLOPE(L358:L361,F358:F361)</f>
        <v>-1.2591435448143851E-3</v>
      </c>
      <c r="P358" s="1">
        <f>SLOPE(M358:M361,F358:F361)</f>
        <v>8.0832468651151306</v>
      </c>
      <c r="Q358" s="1">
        <f>(N358*41.35/0.31*60)/1000</f>
        <v>0.12784757351722192</v>
      </c>
      <c r="R358" s="1">
        <f>O358*41.35/0.31*60/1000</f>
        <v>-1.0077210111885452E-2</v>
      </c>
      <c r="S358" s="1">
        <f>(O358*41.35/0.31*60)/1000</f>
        <v>-1.0077210111885452E-2</v>
      </c>
    </row>
    <row r="359" spans="1:19" x14ac:dyDescent="0.3">
      <c r="A359" s="1">
        <v>359</v>
      </c>
      <c r="C359" s="1" t="s">
        <v>15</v>
      </c>
      <c r="D359" s="6">
        <v>21.1</v>
      </c>
      <c r="E359" s="1">
        <v>150</v>
      </c>
      <c r="F359" s="1">
        <v>15</v>
      </c>
      <c r="G359" s="1">
        <v>0.70370285946955569</v>
      </c>
      <c r="H359" s="1">
        <v>1.925932627745532</v>
      </c>
      <c r="I359" s="1">
        <v>817.79913197976998</v>
      </c>
      <c r="K359" s="1">
        <f t="shared" si="15"/>
        <v>0.81661437988882679</v>
      </c>
      <c r="L359" s="1">
        <f t="shared" si="16"/>
        <v>0.957837890169152</v>
      </c>
      <c r="M359" s="1">
        <f t="shared" si="17"/>
        <v>406.22651091752448</v>
      </c>
      <c r="N359"/>
      <c r="P359" s="1"/>
    </row>
    <row r="360" spans="1:19" x14ac:dyDescent="0.3">
      <c r="A360" s="1">
        <v>360</v>
      </c>
      <c r="C360" s="1" t="s">
        <v>15</v>
      </c>
      <c r="D360" s="6">
        <v>21.1</v>
      </c>
      <c r="E360" s="1">
        <v>151</v>
      </c>
      <c r="F360" s="1">
        <v>30</v>
      </c>
      <c r="G360" s="1">
        <v>0.86406072488125318</v>
      </c>
      <c r="H360" s="1">
        <v>1.8814919767838838</v>
      </c>
      <c r="I360" s="1">
        <v>1034.0738157500018</v>
      </c>
      <c r="K360" s="1">
        <f t="shared" si="15"/>
        <v>1.0027022109403854</v>
      </c>
      <c r="L360" s="1">
        <f t="shared" si="16"/>
        <v>0.93573590241443128</v>
      </c>
      <c r="M360" s="1">
        <f t="shared" si="17"/>
        <v>513.65693820971876</v>
      </c>
      <c r="N360"/>
      <c r="P360" s="1"/>
    </row>
    <row r="361" spans="1:19" x14ac:dyDescent="0.3">
      <c r="A361" s="1">
        <v>361</v>
      </c>
      <c r="C361" s="1" t="s">
        <v>15</v>
      </c>
      <c r="D361" s="6">
        <v>21.1</v>
      </c>
      <c r="E361" s="1">
        <v>152</v>
      </c>
      <c r="F361" s="1">
        <v>45</v>
      </c>
      <c r="G361" s="1">
        <v>1.0270261934681424</v>
      </c>
      <c r="H361" s="1">
        <v>1.8707184856416663</v>
      </c>
      <c r="I361" s="1">
        <v>1226.7937159503886</v>
      </c>
      <c r="K361" s="1">
        <f t="shared" si="15"/>
        <v>1.1918160439773706</v>
      </c>
      <c r="L361" s="1">
        <f t="shared" si="16"/>
        <v>0.9303778447769232</v>
      </c>
      <c r="M361" s="1">
        <f t="shared" si="17"/>
        <v>609.38696479125008</v>
      </c>
      <c r="N361"/>
      <c r="P361" s="1"/>
    </row>
    <row r="362" spans="1:19" x14ac:dyDescent="0.3">
      <c r="A362" s="1">
        <v>362</v>
      </c>
      <c r="C362" s="1" t="s">
        <v>15</v>
      </c>
      <c r="D362" s="6">
        <v>21.1</v>
      </c>
      <c r="E362" s="1">
        <v>153</v>
      </c>
      <c r="F362" s="1">
        <v>0</v>
      </c>
      <c r="G362" s="1">
        <v>0.3942056602170414</v>
      </c>
      <c r="H362" s="1">
        <v>1.9757600242782887</v>
      </c>
      <c r="I362" s="1">
        <v>424.20176790176771</v>
      </c>
      <c r="K362" s="1">
        <f t="shared" si="15"/>
        <v>0.45745730095435516</v>
      </c>
      <c r="L362" s="1">
        <f t="shared" si="16"/>
        <v>0.98261890674262642</v>
      </c>
      <c r="M362" s="1">
        <f t="shared" si="17"/>
        <v>210.71433969685776</v>
      </c>
      <c r="N362" s="1">
        <f>SLOPE(K362:K365,F362:F365)</f>
        <v>2.0735640968295968E-3</v>
      </c>
      <c r="O362" s="1">
        <f>SLOPE(L362:L365,F362:F365)</f>
        <v>-1.0135659030952675E-3</v>
      </c>
      <c r="P362" s="1">
        <f>SLOPE(M362:M365,F362:F365)</f>
        <v>5.4709060730207613</v>
      </c>
      <c r="Q362" s="1">
        <f>(N362*41.35/0.31*60)/1000</f>
        <v>1.6595201691078164E-2</v>
      </c>
      <c r="R362" s="1">
        <f>O362*41.35/0.31*60/1000</f>
        <v>-8.1117967921914801E-3</v>
      </c>
      <c r="S362" s="1">
        <f>(O362*41.35/0.31*60)/1000</f>
        <v>-8.1117967921914801E-3</v>
      </c>
    </row>
    <row r="363" spans="1:19" x14ac:dyDescent="0.3">
      <c r="A363" s="1">
        <v>363</v>
      </c>
      <c r="C363" s="1" t="s">
        <v>15</v>
      </c>
      <c r="D363" s="6">
        <v>21.1</v>
      </c>
      <c r="E363" s="1">
        <v>154</v>
      </c>
      <c r="F363" s="1">
        <v>15</v>
      </c>
      <c r="G363" s="1">
        <v>0.44010142207293479</v>
      </c>
      <c r="H363" s="1">
        <v>1.8989988998899876</v>
      </c>
      <c r="I363" s="1">
        <v>741.07833488435176</v>
      </c>
      <c r="K363" s="1">
        <f t="shared" si="15"/>
        <v>0.5107171941083023</v>
      </c>
      <c r="L363" s="1">
        <f t="shared" si="16"/>
        <v>0.94444274607538181</v>
      </c>
      <c r="M363" s="1">
        <f t="shared" si="17"/>
        <v>368.11688166977177</v>
      </c>
      <c r="N363"/>
      <c r="P363" s="1"/>
    </row>
    <row r="364" spans="1:19" x14ac:dyDescent="0.3">
      <c r="A364" s="1">
        <v>364</v>
      </c>
      <c r="C364" s="1" t="s">
        <v>15</v>
      </c>
      <c r="D364" s="6">
        <v>21.1</v>
      </c>
      <c r="E364" s="1">
        <v>155</v>
      </c>
      <c r="F364" s="1">
        <v>30</v>
      </c>
      <c r="G364" s="1">
        <v>0.46188658442089847</v>
      </c>
      <c r="H364" s="1">
        <v>1.8801452903911067</v>
      </c>
      <c r="I364" s="1">
        <v>858.40879111171671</v>
      </c>
      <c r="K364" s="1">
        <f t="shared" si="15"/>
        <v>0.53599785994923665</v>
      </c>
      <c r="L364" s="1">
        <f t="shared" si="16"/>
        <v>0.93506614520974274</v>
      </c>
      <c r="M364" s="1">
        <f t="shared" si="17"/>
        <v>426.39860390909399</v>
      </c>
      <c r="N364"/>
      <c r="P364" s="1"/>
    </row>
    <row r="365" spans="1:19" x14ac:dyDescent="0.3">
      <c r="A365" s="1">
        <v>365</v>
      </c>
      <c r="C365" s="1" t="s">
        <v>15</v>
      </c>
      <c r="D365" s="6">
        <v>21.1</v>
      </c>
      <c r="E365" s="1">
        <v>156</v>
      </c>
      <c r="F365" s="1">
        <v>45</v>
      </c>
      <c r="G365" s="1">
        <v>0.47628678106001704</v>
      </c>
      <c r="H365" s="1">
        <v>1.8801452903911067</v>
      </c>
      <c r="I365" s="1">
        <v>935.7821933013131</v>
      </c>
      <c r="K365" s="1">
        <f t="shared" si="15"/>
        <v>0.55270861718219022</v>
      </c>
      <c r="L365" s="1">
        <f t="shared" si="16"/>
        <v>0.93506614520974274</v>
      </c>
      <c r="M365" s="1">
        <f t="shared" si="17"/>
        <v>464.8324026014551</v>
      </c>
      <c r="N365"/>
      <c r="P365" s="1"/>
    </row>
    <row r="366" spans="1:19" x14ac:dyDescent="0.3">
      <c r="A366" s="1">
        <v>366</v>
      </c>
      <c r="C366" s="1" t="s">
        <v>15</v>
      </c>
      <c r="D366" s="6">
        <v>21.1</v>
      </c>
      <c r="E366" s="1">
        <v>157</v>
      </c>
      <c r="F366" s="1">
        <v>0</v>
      </c>
      <c r="G366" s="1">
        <v>0.39284347945388154</v>
      </c>
      <c r="H366" s="1">
        <v>1.9622931603505165</v>
      </c>
      <c r="I366" s="1">
        <v>427.7513973902806</v>
      </c>
      <c r="K366" s="1">
        <f t="shared" si="15"/>
        <v>0.45587655364853524</v>
      </c>
      <c r="L366" s="1">
        <f t="shared" si="16"/>
        <v>0.97592133469574127</v>
      </c>
      <c r="M366" s="1">
        <f t="shared" si="17"/>
        <v>212.47755213592919</v>
      </c>
      <c r="N366" s="1">
        <f>SLOPE(K366:K369,F366:F369)</f>
        <v>7.2444896288914908E-3</v>
      </c>
      <c r="O366" s="1">
        <f>SLOPE(L366:L369,F366:F369)</f>
        <v>-6.0278148421965216E-4</v>
      </c>
      <c r="P366" s="1">
        <f>SLOPE(M366:M369,F366:F369)</f>
        <v>6.4299826976126591</v>
      </c>
      <c r="Q366" s="1">
        <f>(N366*41.35/0.31*60)/1000</f>
        <v>5.7979286352515445E-2</v>
      </c>
      <c r="R366" s="1">
        <f>O366*41.35/0.31*60/1000</f>
        <v>-4.8241963301579264E-3</v>
      </c>
      <c r="S366" s="1">
        <f>(O366*41.35/0.31*60)/1000</f>
        <v>-4.8241963301579264E-3</v>
      </c>
    </row>
    <row r="367" spans="1:19" x14ac:dyDescent="0.3">
      <c r="A367" s="1">
        <v>367</v>
      </c>
      <c r="C367" s="1" t="s">
        <v>15</v>
      </c>
      <c r="D367" s="6">
        <v>21.1</v>
      </c>
      <c r="E367" s="1">
        <v>158</v>
      </c>
      <c r="F367" s="1">
        <v>15</v>
      </c>
      <c r="G367" s="1">
        <v>0.47909871134968268</v>
      </c>
      <c r="H367" s="1">
        <v>1.94613292363719</v>
      </c>
      <c r="I367" s="1">
        <v>675.71228547354633</v>
      </c>
      <c r="K367" s="1">
        <f t="shared" si="15"/>
        <v>0.55597173126348975</v>
      </c>
      <c r="L367" s="1">
        <f t="shared" si="16"/>
        <v>0.96788424823947938</v>
      </c>
      <c r="M367" s="1">
        <f t="shared" si="17"/>
        <v>335.6475121800633</v>
      </c>
      <c r="N367"/>
      <c r="P367" s="1"/>
    </row>
    <row r="368" spans="1:19" x14ac:dyDescent="0.3">
      <c r="A368" s="1">
        <v>368</v>
      </c>
      <c r="C368" s="1" t="s">
        <v>15</v>
      </c>
      <c r="D368" s="6">
        <v>21.1</v>
      </c>
      <c r="E368" s="1">
        <v>159</v>
      </c>
      <c r="F368" s="1">
        <v>30</v>
      </c>
      <c r="G368" s="1">
        <v>0.53799356963115863</v>
      </c>
      <c r="H368" s="1">
        <v>1.9420928644588582</v>
      </c>
      <c r="I368" s="1">
        <v>804.32680663793474</v>
      </c>
      <c r="K368" s="1">
        <f t="shared" si="15"/>
        <v>0.6243164701358328</v>
      </c>
      <c r="L368" s="1">
        <f t="shared" si="16"/>
        <v>0.96587497662541377</v>
      </c>
      <c r="M368" s="1">
        <f t="shared" si="17"/>
        <v>399.53438383699</v>
      </c>
      <c r="N368"/>
      <c r="P368" s="1"/>
    </row>
    <row r="369" spans="1:19" x14ac:dyDescent="0.3">
      <c r="A369" s="1">
        <v>369</v>
      </c>
      <c r="C369" s="1" t="s">
        <v>15</v>
      </c>
      <c r="D369" s="6">
        <v>21.1</v>
      </c>
      <c r="E369" s="1">
        <v>160</v>
      </c>
      <c r="F369" s="1">
        <v>45</v>
      </c>
      <c r="G369" s="1">
        <v>0.68535233861727352</v>
      </c>
      <c r="H369" s="1">
        <v>1.903038959068319</v>
      </c>
      <c r="I369" s="1">
        <v>1032.1092226697526</v>
      </c>
      <c r="K369" s="1">
        <f t="shared" si="15"/>
        <v>0.79531945546899541</v>
      </c>
      <c r="L369" s="1">
        <f t="shared" si="16"/>
        <v>0.9464520176894472</v>
      </c>
      <c r="M369" s="1">
        <f t="shared" si="17"/>
        <v>512.68106313091994</v>
      </c>
      <c r="N369"/>
      <c r="P369" s="1"/>
    </row>
    <row r="370" spans="1:19" x14ac:dyDescent="0.3">
      <c r="A370" s="1">
        <v>370</v>
      </c>
      <c r="C370" s="1" t="s">
        <v>15</v>
      </c>
      <c r="D370" s="6">
        <v>21.1</v>
      </c>
      <c r="E370" s="1" t="s">
        <v>114</v>
      </c>
      <c r="G370" s="1">
        <v>0.39425430953001139</v>
      </c>
      <c r="H370" s="1">
        <v>1.9542130419938533</v>
      </c>
      <c r="I370" s="1">
        <v>441.00683320526718</v>
      </c>
      <c r="K370" s="1">
        <f t="shared" si="15"/>
        <v>0.45751375621527729</v>
      </c>
      <c r="L370" s="1">
        <f t="shared" si="16"/>
        <v>0.97190279146761038</v>
      </c>
      <c r="M370" s="1">
        <f t="shared" si="17"/>
        <v>219.06194337730602</v>
      </c>
      <c r="N370"/>
      <c r="P370" s="1"/>
    </row>
    <row r="371" spans="1:19" x14ac:dyDescent="0.3">
      <c r="A371" s="1">
        <v>371</v>
      </c>
      <c r="C371" s="1" t="s">
        <v>15</v>
      </c>
      <c r="D371" s="6">
        <v>21.1</v>
      </c>
      <c r="E371" s="1" t="s">
        <v>115</v>
      </c>
      <c r="G371" s="1">
        <v>0.39327159340801754</v>
      </c>
      <c r="H371" s="1">
        <v>1.9434395508516353</v>
      </c>
      <c r="I371" s="1">
        <v>422.33400050314771</v>
      </c>
      <c r="K371" s="1">
        <f t="shared" si="15"/>
        <v>0.45637335994465011</v>
      </c>
      <c r="L371" s="1">
        <f t="shared" si="16"/>
        <v>0.96654473383010231</v>
      </c>
      <c r="M371" s="1">
        <f t="shared" si="17"/>
        <v>209.78656097482593</v>
      </c>
      <c r="N371"/>
      <c r="P371" s="1"/>
    </row>
    <row r="372" spans="1:19" x14ac:dyDescent="0.3">
      <c r="A372" s="1">
        <v>372</v>
      </c>
      <c r="C372" s="1" t="s">
        <v>15</v>
      </c>
      <c r="D372" s="6">
        <v>21.1</v>
      </c>
      <c r="E372" s="1" t="s">
        <v>116</v>
      </c>
      <c r="G372" s="1">
        <v>0.39364132818658953</v>
      </c>
      <c r="H372" s="1">
        <v>1.9636398467432936</v>
      </c>
      <c r="I372" s="1">
        <v>416.66969812786124</v>
      </c>
      <c r="K372" s="1">
        <f t="shared" si="15"/>
        <v>0.45680241992765841</v>
      </c>
      <c r="L372" s="1">
        <f t="shared" si="16"/>
        <v>0.97659109190042981</v>
      </c>
      <c r="M372" s="1">
        <f t="shared" si="17"/>
        <v>206.9729241039673</v>
      </c>
      <c r="N372"/>
      <c r="P372" s="1"/>
    </row>
    <row r="373" spans="1:19" x14ac:dyDescent="0.3">
      <c r="A373" s="1">
        <v>373</v>
      </c>
      <c r="B373" s="1" t="s">
        <v>117</v>
      </c>
      <c r="C373" s="1" t="s">
        <v>15</v>
      </c>
      <c r="D373" s="6">
        <v>19.7</v>
      </c>
      <c r="E373" s="1">
        <v>501</v>
      </c>
      <c r="F373" s="1">
        <v>0</v>
      </c>
      <c r="G373" s="1">
        <v>0.52796292731925454</v>
      </c>
      <c r="H373" s="1">
        <v>1.8203978842475614</v>
      </c>
      <c r="I373" s="1">
        <v>677.344392807026</v>
      </c>
      <c r="K373" s="1">
        <f t="shared" si="15"/>
        <v>0.61560534049060034</v>
      </c>
      <c r="L373" s="1">
        <f t="shared" si="16"/>
        <v>0.90967966664740296</v>
      </c>
      <c r="M373" s="1">
        <f t="shared" si="17"/>
        <v>338.06670484901576</v>
      </c>
      <c r="N373" s="1">
        <f>SLOPE(K373:K376,F373:F376)</f>
        <v>3.1695564093634351E-3</v>
      </c>
      <c r="O373" s="1">
        <f>SLOPE(L373:L376,F373:F376)</f>
        <v>-3.1612453506997486E-4</v>
      </c>
      <c r="P373" s="1">
        <f>SLOPE(M373:M376,F373:F376)</f>
        <v>1.7417307289488186</v>
      </c>
      <c r="Q373" s="1">
        <f>(N373*41.35/0.31*60)/1000</f>
        <v>2.5366675650421555E-2</v>
      </c>
      <c r="R373" s="1">
        <f>O373*41.35/0.31*60/1000</f>
        <v>-2.5300160371245408E-3</v>
      </c>
      <c r="S373" s="1">
        <f>(O373*41.35/0.31*60)/1000</f>
        <v>-2.5300160371245408E-3</v>
      </c>
    </row>
    <row r="374" spans="1:19" x14ac:dyDescent="0.3">
      <c r="A374" s="1">
        <v>374</v>
      </c>
      <c r="C374" s="1" t="s">
        <v>15</v>
      </c>
      <c r="D374" s="6">
        <v>19.7</v>
      </c>
      <c r="E374" s="1">
        <v>502</v>
      </c>
      <c r="F374" s="1">
        <v>15</v>
      </c>
      <c r="G374" s="1">
        <v>0.49256292876396768</v>
      </c>
      <c r="H374" s="1">
        <v>1.8234921721882449</v>
      </c>
      <c r="I374" s="1">
        <v>802.90713351939519</v>
      </c>
      <c r="K374" s="1">
        <f t="shared" si="15"/>
        <v>0.57432890414184812</v>
      </c>
      <c r="L374" s="1">
        <f t="shared" si="16"/>
        <v>0.91122592796024526</v>
      </c>
      <c r="M374" s="1">
        <f t="shared" si="17"/>
        <v>400.73583218692448</v>
      </c>
      <c r="N374"/>
      <c r="P374" s="1"/>
    </row>
    <row r="375" spans="1:19" x14ac:dyDescent="0.3">
      <c r="A375" s="1">
        <v>375</v>
      </c>
      <c r="C375" s="1" t="s">
        <v>15</v>
      </c>
      <c r="D375" s="6">
        <v>19.7</v>
      </c>
      <c r="E375" s="1">
        <v>503</v>
      </c>
      <c r="F375" s="1">
        <v>30</v>
      </c>
      <c r="G375" s="1">
        <v>0.55965325908848784</v>
      </c>
      <c r="H375" s="1">
        <v>1.805957873857706</v>
      </c>
      <c r="I375" s="1">
        <v>793.37679474609592</v>
      </c>
      <c r="K375" s="1">
        <f t="shared" si="15"/>
        <v>0.65255630138119747</v>
      </c>
      <c r="L375" s="1">
        <f t="shared" si="16"/>
        <v>0.90246378052080589</v>
      </c>
      <c r="M375" s="1">
        <f t="shared" si="17"/>
        <v>395.97918215866923</v>
      </c>
      <c r="N375"/>
      <c r="P375" s="1"/>
    </row>
    <row r="376" spans="1:19" x14ac:dyDescent="0.3">
      <c r="A376" s="1">
        <v>376</v>
      </c>
      <c r="C376" s="1" t="s">
        <v>15</v>
      </c>
      <c r="D376" s="6">
        <v>19.7</v>
      </c>
      <c r="E376" s="1">
        <v>504</v>
      </c>
      <c r="F376" s="1">
        <v>45</v>
      </c>
      <c r="G376" s="1">
        <v>0.64151515664119552</v>
      </c>
      <c r="H376" s="1">
        <v>1.7946121514085334</v>
      </c>
      <c r="I376" s="1">
        <v>855.00619652377372</v>
      </c>
      <c r="K376" s="1">
        <f t="shared" si="15"/>
        <v>0.74800736187898897</v>
      </c>
      <c r="L376" s="1">
        <f t="shared" si="16"/>
        <v>0.89679415570705068</v>
      </c>
      <c r="M376" s="1">
        <f t="shared" si="17"/>
        <v>426.73879130587511</v>
      </c>
      <c r="N376"/>
      <c r="P376" s="1"/>
    </row>
    <row r="377" spans="1:19" x14ac:dyDescent="0.3">
      <c r="A377" s="1">
        <v>377</v>
      </c>
      <c r="C377" s="1" t="s">
        <v>15</v>
      </c>
      <c r="D377" s="6">
        <v>19.7</v>
      </c>
      <c r="E377" s="1">
        <v>505</v>
      </c>
      <c r="F377" s="1">
        <v>0</v>
      </c>
      <c r="G377" s="1">
        <v>0.4212453037297586</v>
      </c>
      <c r="H377" s="1">
        <v>1.875063637866301</v>
      </c>
      <c r="I377" s="1">
        <v>431.70727123402702</v>
      </c>
      <c r="K377" s="1">
        <f t="shared" si="15"/>
        <v>0.49117247672925218</v>
      </c>
      <c r="L377" s="1">
        <f t="shared" si="16"/>
        <v>0.93699694984094983</v>
      </c>
      <c r="M377" s="1">
        <f t="shared" si="17"/>
        <v>215.46772394560512</v>
      </c>
      <c r="N377" s="1">
        <f>SLOPE(K377:K380,F377:F380)</f>
        <v>2.0779420172536422E-3</v>
      </c>
      <c r="O377" s="1">
        <f>SLOPE(L377:L380,F377:F380)</f>
        <v>-3.9515566883747169E-4</v>
      </c>
      <c r="P377" s="1">
        <f>SLOPE(M377:M380,F377:F380)</f>
        <v>4.4922441908652448</v>
      </c>
      <c r="Q377" s="1">
        <f>(N377*41.35/0.31*60)/1000</f>
        <v>1.6630239176794473E-2</v>
      </c>
      <c r="R377" s="1">
        <f>O377*41.35/0.31*60/1000</f>
        <v>-3.1625200464057007E-3</v>
      </c>
      <c r="S377" s="1">
        <f>(O377*41.35/0.31*60)/1000</f>
        <v>-3.1625200464057007E-3</v>
      </c>
    </row>
    <row r="378" spans="1:19" x14ac:dyDescent="0.3">
      <c r="A378" s="1">
        <v>378</v>
      </c>
      <c r="C378" s="1" t="s">
        <v>15</v>
      </c>
      <c r="D378" s="6">
        <v>19.7</v>
      </c>
      <c r="E378" s="1">
        <v>506</v>
      </c>
      <c r="F378" s="1">
        <v>15</v>
      </c>
      <c r="G378" s="1">
        <v>0.45164156568990343</v>
      </c>
      <c r="H378" s="1">
        <v>1.8307121773831727</v>
      </c>
      <c r="I378" s="1">
        <v>661.65524113191702</v>
      </c>
      <c r="K378" s="1">
        <f t="shared" si="15"/>
        <v>0.52661455083212072</v>
      </c>
      <c r="L378" s="1">
        <f t="shared" si="16"/>
        <v>0.91483387102354385</v>
      </c>
      <c r="M378" s="1">
        <f t="shared" si="17"/>
        <v>330.23615385456526</v>
      </c>
      <c r="N378"/>
      <c r="P378" s="1"/>
    </row>
    <row r="379" spans="1:19" x14ac:dyDescent="0.3">
      <c r="A379" s="1">
        <v>379</v>
      </c>
      <c r="C379" s="1" t="s">
        <v>15</v>
      </c>
      <c r="D379" s="6">
        <v>19.7</v>
      </c>
      <c r="E379" s="1">
        <v>507</v>
      </c>
      <c r="F379" s="1">
        <v>30</v>
      </c>
      <c r="G379" s="1">
        <v>0.47130184108575868</v>
      </c>
      <c r="H379" s="1">
        <v>1.7894550048407276</v>
      </c>
      <c r="I379" s="1">
        <v>785.49553201113667</v>
      </c>
      <c r="K379" s="1">
        <f t="shared" si="15"/>
        <v>0.54953845306642646</v>
      </c>
      <c r="L379" s="1">
        <f t="shared" si="16"/>
        <v>0.89421705351898029</v>
      </c>
      <c r="M379" s="1">
        <f t="shared" si="17"/>
        <v>392.04559600788508</v>
      </c>
      <c r="N379"/>
      <c r="P379" s="1"/>
    </row>
    <row r="380" spans="1:19" x14ac:dyDescent="0.3">
      <c r="A380" s="1">
        <v>380</v>
      </c>
      <c r="C380" s="1" t="s">
        <v>15</v>
      </c>
      <c r="D380" s="6">
        <v>19.7</v>
      </c>
      <c r="E380" s="1">
        <v>508</v>
      </c>
      <c r="F380" s="1">
        <v>45</v>
      </c>
      <c r="G380" s="1">
        <v>0.50379737184731355</v>
      </c>
      <c r="H380" s="1">
        <v>1.849277905027273</v>
      </c>
      <c r="I380" s="1">
        <v>840.45617301307959</v>
      </c>
      <c r="K380" s="1">
        <f t="shared" si="15"/>
        <v>0.5874282768471657</v>
      </c>
      <c r="L380" s="1">
        <f t="shared" si="16"/>
        <v>0.92411143890059744</v>
      </c>
      <c r="M380" s="1">
        <f t="shared" si="17"/>
        <v>419.47678610442739</v>
      </c>
      <c r="N380"/>
      <c r="P380" s="1"/>
    </row>
    <row r="381" spans="1:19" x14ac:dyDescent="0.3">
      <c r="A381" s="1">
        <v>381</v>
      </c>
      <c r="C381" s="1" t="s">
        <v>15</v>
      </c>
      <c r="D381" s="6">
        <v>19.7</v>
      </c>
      <c r="E381" s="1">
        <v>509</v>
      </c>
      <c r="F381" s="1">
        <v>0</v>
      </c>
      <c r="G381" s="1">
        <v>0.41058600278378549</v>
      </c>
      <c r="H381" s="1">
        <v>1.8977550827646457</v>
      </c>
      <c r="I381" s="1">
        <v>536.98582637135166</v>
      </c>
      <c r="K381" s="1">
        <f t="shared" si="15"/>
        <v>0.47874372037403629</v>
      </c>
      <c r="L381" s="1">
        <f t="shared" si="16"/>
        <v>0.94833619946845971</v>
      </c>
      <c r="M381" s="1">
        <f t="shared" si="17"/>
        <v>268.01289093081493</v>
      </c>
      <c r="N381" s="1">
        <f>SLOPE(K381:K384,F381:F384)</f>
        <v>1.6926058624852715E-2</v>
      </c>
      <c r="O381" s="1">
        <f>SLOPE(L381:L384,F381:F384)</f>
        <v>-6.3568520639070746E-4</v>
      </c>
      <c r="P381" s="1">
        <f>SLOPE(M381:M384,F381:F384)</f>
        <v>4.2014893230039556</v>
      </c>
      <c r="Q381" s="1">
        <f>(N381*41.35/0.31*60)/1000</f>
        <v>0.13546306918793413</v>
      </c>
      <c r="R381" s="1">
        <f>O381*41.35/0.31*60/1000</f>
        <v>-5.0875322485656304E-3</v>
      </c>
      <c r="S381" s="1">
        <f>(O381*41.35/0.31*60)/1000</f>
        <v>-5.0875322485656304E-3</v>
      </c>
    </row>
    <row r="382" spans="1:19" x14ac:dyDescent="0.3">
      <c r="A382" s="1">
        <v>382</v>
      </c>
      <c r="C382" s="1" t="s">
        <v>15</v>
      </c>
      <c r="D382" s="6">
        <v>19.7</v>
      </c>
      <c r="E382" s="1">
        <v>510</v>
      </c>
      <c r="F382" s="1">
        <v>15</v>
      </c>
      <c r="G382" s="1">
        <v>0.81766202191386017</v>
      </c>
      <c r="H382" s="1">
        <v>1.8864093603154735</v>
      </c>
      <c r="I382" s="1">
        <v>691.27440775158107</v>
      </c>
      <c r="K382" s="1">
        <f t="shared" si="15"/>
        <v>0.95339479603676602</v>
      </c>
      <c r="L382" s="1">
        <f t="shared" si="16"/>
        <v>0.94266657465470471</v>
      </c>
      <c r="M382" s="1">
        <f t="shared" si="17"/>
        <v>345.01926000531859</v>
      </c>
      <c r="N382"/>
      <c r="P382" s="1"/>
    </row>
    <row r="383" spans="1:19" x14ac:dyDescent="0.3">
      <c r="A383" s="1">
        <v>383</v>
      </c>
      <c r="C383" s="1" t="s">
        <v>15</v>
      </c>
      <c r="D383" s="6">
        <v>19.7</v>
      </c>
      <c r="E383" s="1">
        <v>511</v>
      </c>
      <c r="F383" s="1">
        <v>30</v>
      </c>
      <c r="G383" s="1">
        <v>0.95321343799030522</v>
      </c>
      <c r="H383" s="1">
        <v>1.9245722449172351</v>
      </c>
      <c r="I383" s="1">
        <v>807.44346838348326</v>
      </c>
      <c r="K383" s="1">
        <f t="shared" si="15"/>
        <v>1.1114478928165401</v>
      </c>
      <c r="L383" s="1">
        <f t="shared" si="16"/>
        <v>0.9617371308464262</v>
      </c>
      <c r="M383" s="1">
        <f t="shared" si="17"/>
        <v>402.99994449947872</v>
      </c>
      <c r="N383"/>
      <c r="P383" s="1"/>
    </row>
    <row r="384" spans="1:19" x14ac:dyDescent="0.3">
      <c r="A384" s="1">
        <v>384</v>
      </c>
      <c r="C384" s="1" t="s">
        <v>15</v>
      </c>
      <c r="D384" s="6">
        <v>19.7</v>
      </c>
      <c r="E384" s="1">
        <v>512</v>
      </c>
      <c r="F384" s="1">
        <v>45</v>
      </c>
      <c r="G384" s="1">
        <v>1.0912187938528735</v>
      </c>
      <c r="H384" s="1">
        <v>1.8214293135611228</v>
      </c>
      <c r="I384" s="1">
        <v>919.16424270506866</v>
      </c>
      <c r="K384" s="1">
        <f t="shared" si="15"/>
        <v>1.2723622860234141</v>
      </c>
      <c r="L384" s="1">
        <f t="shared" si="16"/>
        <v>0.91019508708501717</v>
      </c>
      <c r="M384" s="1">
        <f t="shared" si="17"/>
        <v>458.76046224962602</v>
      </c>
      <c r="N384"/>
      <c r="P384" s="1"/>
    </row>
    <row r="385" spans="1:19" x14ac:dyDescent="0.3">
      <c r="A385" s="1">
        <v>385</v>
      </c>
      <c r="C385" s="1" t="s">
        <v>15</v>
      </c>
      <c r="D385" s="6">
        <v>19.7</v>
      </c>
      <c r="E385" s="1">
        <v>513</v>
      </c>
      <c r="F385" s="1">
        <v>0</v>
      </c>
      <c r="G385" s="1">
        <v>0.40956991834109385</v>
      </c>
      <c r="H385" s="1">
        <v>1.8802207844341068</v>
      </c>
      <c r="I385" s="1">
        <v>504.78390217439852</v>
      </c>
      <c r="K385" s="1">
        <f t="shared" si="15"/>
        <v>0.47755896482219024</v>
      </c>
      <c r="L385" s="1">
        <f t="shared" si="16"/>
        <v>0.93957405202902033</v>
      </c>
      <c r="M385" s="1">
        <f t="shared" si="17"/>
        <v>251.94071476951731</v>
      </c>
      <c r="N385" s="1">
        <f>SLOPE(K385:K388,F385:F388)</f>
        <v>6.7165953109062852E-4</v>
      </c>
      <c r="O385" s="1">
        <f>SLOPE(L385:L388,F385:F388)</f>
        <v>-1.9929590254411802E-4</v>
      </c>
      <c r="P385" s="1">
        <f>SLOPE(M385:M388,F385:F388)</f>
        <v>2.7838907315786541</v>
      </c>
      <c r="Q385" s="1">
        <f>(N385*41.35/0.31*60)/1000</f>
        <v>5.3754428923737082E-3</v>
      </c>
      <c r="R385" s="1">
        <f>O385*41.35/0.31*60/1000</f>
        <v>-1.595010110361151E-3</v>
      </c>
      <c r="S385" s="1">
        <f>(O385*41.35/0.31*60)/1000</f>
        <v>-1.595010110361151E-3</v>
      </c>
    </row>
    <row r="386" spans="1:19" x14ac:dyDescent="0.3">
      <c r="A386" s="1">
        <v>386</v>
      </c>
      <c r="C386" s="1" t="s">
        <v>15</v>
      </c>
      <c r="D386" s="6">
        <v>19.7</v>
      </c>
      <c r="E386" s="1">
        <v>514</v>
      </c>
      <c r="F386" s="1">
        <v>15</v>
      </c>
      <c r="G386" s="1">
        <v>0.42853043746981223</v>
      </c>
      <c r="H386" s="1">
        <v>1.8853779310019123</v>
      </c>
      <c r="I386" s="1">
        <v>633.15227336579005</v>
      </c>
      <c r="K386" s="1">
        <f t="shared" si="15"/>
        <v>0.4996669504972055</v>
      </c>
      <c r="L386" s="1">
        <f t="shared" si="16"/>
        <v>0.94215115421709072</v>
      </c>
      <c r="M386" s="1">
        <f t="shared" si="17"/>
        <v>316.01014933834051</v>
      </c>
      <c r="N386"/>
      <c r="P386" s="1"/>
    </row>
    <row r="387" spans="1:19" x14ac:dyDescent="0.3">
      <c r="A387" s="1">
        <v>387</v>
      </c>
      <c r="C387" s="1" t="s">
        <v>15</v>
      </c>
      <c r="D387" s="6">
        <v>19.7</v>
      </c>
      <c r="E387" s="1">
        <v>515</v>
      </c>
      <c r="F387" s="1">
        <v>30</v>
      </c>
      <c r="G387" s="1">
        <v>0.43987990898063267</v>
      </c>
      <c r="H387" s="1">
        <v>1.8719693499256176</v>
      </c>
      <c r="I387" s="1">
        <v>735.33078567241967</v>
      </c>
      <c r="K387" s="1">
        <f t="shared" ref="K387:K450" si="18">(G387*28*1)/(0.082*(D387+273.15))</f>
        <v>0.51290044647254351</v>
      </c>
      <c r="L387" s="1">
        <f t="shared" ref="L387:L450" si="19">(H387*12*1)/(0.082*(D387+273.15))</f>
        <v>0.93545068852810753</v>
      </c>
      <c r="M387" s="1">
        <f t="shared" ref="M387:M450" si="20">(I387*12*1)/(0.0821*(D387+273.15))</f>
        <v>367.00806609782592</v>
      </c>
      <c r="N387"/>
      <c r="P387" s="1"/>
    </row>
    <row r="388" spans="1:19" x14ac:dyDescent="0.3">
      <c r="A388" s="1">
        <v>388</v>
      </c>
      <c r="C388" s="1" t="s">
        <v>15</v>
      </c>
      <c r="D388" s="6">
        <v>19.7</v>
      </c>
      <c r="E388" s="1">
        <v>516</v>
      </c>
      <c r="F388" s="1">
        <v>45</v>
      </c>
      <c r="G388" s="1">
        <v>0.43458860131680427</v>
      </c>
      <c r="H388" s="1">
        <v>1.8647493447306898</v>
      </c>
      <c r="I388" s="1">
        <v>749.61207765962445</v>
      </c>
      <c r="K388" s="1">
        <f t="shared" si="18"/>
        <v>0.50673077605160899</v>
      </c>
      <c r="L388" s="1">
        <f t="shared" si="19"/>
        <v>0.93184274546480883</v>
      </c>
      <c r="M388" s="1">
        <f t="shared" si="20"/>
        <v>374.13594576195487</v>
      </c>
      <c r="N388"/>
      <c r="P388" s="1"/>
    </row>
    <row r="389" spans="1:19" x14ac:dyDescent="0.3">
      <c r="A389" s="1">
        <v>389</v>
      </c>
      <c r="C389" s="1" t="s">
        <v>15</v>
      </c>
      <c r="D389" s="6">
        <v>19.7</v>
      </c>
      <c r="E389" s="1">
        <v>517</v>
      </c>
      <c r="F389" s="1">
        <v>0</v>
      </c>
      <c r="G389" s="1">
        <v>0.41433401237899731</v>
      </c>
      <c r="H389" s="1">
        <v>1.8977550827646457</v>
      </c>
      <c r="I389" s="1">
        <v>530.71603560489268</v>
      </c>
      <c r="K389" s="1">
        <f t="shared" si="18"/>
        <v>0.48311390358886497</v>
      </c>
      <c r="L389" s="1">
        <f t="shared" si="19"/>
        <v>0.94833619946845971</v>
      </c>
      <c r="M389" s="1">
        <f t="shared" si="20"/>
        <v>264.88360023760413</v>
      </c>
      <c r="N389" s="1">
        <f>SLOPE(K389:K392,F389:F392)</f>
        <v>5.2986142950803587E-4</v>
      </c>
      <c r="O389" s="1">
        <f>SLOPE(L389:L392,F389:F392)</f>
        <v>-3.1268839881921418E-4</v>
      </c>
      <c r="P389" s="1">
        <f>SLOPE(M389:M392,F389:F392)</f>
        <v>0.51345513999544545</v>
      </c>
      <c r="Q389" s="1">
        <f>(N389*41.35/0.31*60)/1000</f>
        <v>4.2406006664820551E-3</v>
      </c>
      <c r="R389" s="1">
        <f>O389*41.35/0.31*60/1000</f>
        <v>-2.502515862807969E-3</v>
      </c>
      <c r="S389" s="1">
        <f>(O389*41.35/0.31*60)/1000</f>
        <v>-2.502515862807969E-3</v>
      </c>
    </row>
    <row r="390" spans="1:19" x14ac:dyDescent="0.3">
      <c r="A390" s="1">
        <v>390</v>
      </c>
      <c r="C390" s="1" t="s">
        <v>15</v>
      </c>
      <c r="D390" s="6">
        <v>19.7</v>
      </c>
      <c r="E390" s="1">
        <v>518</v>
      </c>
      <c r="F390" s="1">
        <v>15</v>
      </c>
      <c r="G390" s="1">
        <v>0.41198551531805894</v>
      </c>
      <c r="H390" s="1">
        <v>1.9121950931545015</v>
      </c>
      <c r="I390" s="1">
        <v>448.95928473857526</v>
      </c>
      <c r="K390" s="1">
        <f t="shared" si="18"/>
        <v>0.48037555349261679</v>
      </c>
      <c r="L390" s="1">
        <f t="shared" si="19"/>
        <v>0.95555208559505711</v>
      </c>
      <c r="M390" s="1">
        <f t="shared" si="20"/>
        <v>224.07830878166351</v>
      </c>
      <c r="N390"/>
      <c r="P390" s="1"/>
    </row>
    <row r="391" spans="1:19" x14ac:dyDescent="0.3">
      <c r="A391" s="1">
        <v>391</v>
      </c>
      <c r="C391" s="1" t="s">
        <v>15</v>
      </c>
      <c r="D391" s="6">
        <v>19.7</v>
      </c>
      <c r="E391" s="1">
        <v>519</v>
      </c>
      <c r="F391" s="1">
        <v>30</v>
      </c>
      <c r="G391" s="1">
        <v>0.41216764366156028</v>
      </c>
      <c r="H391" s="1">
        <v>1.9018808000188903</v>
      </c>
      <c r="I391" s="1">
        <v>446.16557750120933</v>
      </c>
      <c r="K391" s="1">
        <f t="shared" si="18"/>
        <v>0.48058791533681566</v>
      </c>
      <c r="L391" s="1">
        <f t="shared" si="19"/>
        <v>0.95039788121891611</v>
      </c>
      <c r="M391" s="1">
        <f t="shared" si="20"/>
        <v>222.68395251315559</v>
      </c>
      <c r="N391"/>
      <c r="P391" s="1"/>
    </row>
    <row r="392" spans="1:19" x14ac:dyDescent="0.3">
      <c r="A392" s="1">
        <v>392</v>
      </c>
      <c r="C392" s="1" t="s">
        <v>15</v>
      </c>
      <c r="D392" s="6">
        <v>19.7</v>
      </c>
      <c r="E392" s="1">
        <v>520</v>
      </c>
      <c r="F392" s="1">
        <v>45</v>
      </c>
      <c r="G392" s="1">
        <v>0.43699461259147981</v>
      </c>
      <c r="H392" s="1">
        <v>1.8699064912984955</v>
      </c>
      <c r="I392" s="1">
        <v>583.08474730519549</v>
      </c>
      <c r="K392" s="1">
        <f t="shared" si="18"/>
        <v>0.50953618778286713</v>
      </c>
      <c r="L392" s="1">
        <f t="shared" si="19"/>
        <v>0.93441984765287933</v>
      </c>
      <c r="M392" s="1">
        <f t="shared" si="20"/>
        <v>291.02114266021238</v>
      </c>
      <c r="N392"/>
      <c r="P392" s="1"/>
    </row>
    <row r="393" spans="1:19" x14ac:dyDescent="0.3">
      <c r="A393" s="1">
        <v>393</v>
      </c>
      <c r="C393" s="1" t="s">
        <v>15</v>
      </c>
      <c r="D393" s="6">
        <v>19.7</v>
      </c>
      <c r="E393" s="1">
        <v>521</v>
      </c>
      <c r="F393" s="1">
        <v>0</v>
      </c>
      <c r="G393" s="1">
        <v>0.40496878124211261</v>
      </c>
      <c r="H393" s="1">
        <v>1.8895036482561569</v>
      </c>
      <c r="I393" s="1">
        <v>399.6126562119826</v>
      </c>
      <c r="K393" s="1">
        <f t="shared" si="18"/>
        <v>0.47219403402137761</v>
      </c>
      <c r="L393" s="1">
        <f t="shared" si="19"/>
        <v>0.94421283596754713</v>
      </c>
      <c r="M393" s="1">
        <f t="shared" si="20"/>
        <v>199.44910644596717</v>
      </c>
      <c r="N393" s="1">
        <f>SLOPE(K393:K396,F393:F396)</f>
        <v>5.0077158249918598E-3</v>
      </c>
      <c r="O393" s="1">
        <f>SLOPE(L393:L396,F393:F396)</f>
        <v>-1.0858190552403527E-3</v>
      </c>
      <c r="P393" s="1">
        <f>SLOPE(M393:M396,F393:F396)</f>
        <v>6.3710545759069461</v>
      </c>
      <c r="Q393" s="1">
        <f>(N393*41.35/0.31*60)/1000</f>
        <v>4.0077880521950979E-2</v>
      </c>
      <c r="R393" s="1">
        <f>O393*41.35/0.31*60/1000</f>
        <v>-8.6900550840365003E-3</v>
      </c>
      <c r="S393" s="1">
        <f>(O393*41.35/0.31*60)/1000</f>
        <v>-8.6900550840365003E-3</v>
      </c>
    </row>
    <row r="394" spans="1:19" x14ac:dyDescent="0.3">
      <c r="A394" s="1">
        <v>394</v>
      </c>
      <c r="C394" s="1" t="s">
        <v>15</v>
      </c>
      <c r="D394" s="6">
        <v>19.7</v>
      </c>
      <c r="E394" s="1">
        <v>522</v>
      </c>
      <c r="F394" s="1">
        <v>15</v>
      </c>
      <c r="G394" s="1">
        <v>0.51351727396891145</v>
      </c>
      <c r="H394" s="1">
        <v>1.7667635599423832</v>
      </c>
      <c r="I394" s="1">
        <v>646.97131044569596</v>
      </c>
      <c r="K394" s="1">
        <f t="shared" si="18"/>
        <v>0.59876169316388239</v>
      </c>
      <c r="L394" s="1">
        <f t="shared" si="19"/>
        <v>0.8828778038914703</v>
      </c>
      <c r="M394" s="1">
        <f t="shared" si="20"/>
        <v>322.90731476762772</v>
      </c>
      <c r="N394"/>
      <c r="P394" s="1"/>
    </row>
    <row r="395" spans="1:19" x14ac:dyDescent="0.3">
      <c r="A395" s="1">
        <v>395</v>
      </c>
      <c r="C395" s="1" t="s">
        <v>15</v>
      </c>
      <c r="D395" s="6">
        <v>19.7</v>
      </c>
      <c r="E395" s="1">
        <v>523</v>
      </c>
      <c r="F395" s="1">
        <v>30</v>
      </c>
      <c r="G395" s="1">
        <v>0.5271193855177746</v>
      </c>
      <c r="H395" s="1">
        <v>1.7595435547474554</v>
      </c>
      <c r="I395" s="1">
        <v>724.74569859873588</v>
      </c>
      <c r="K395" s="1">
        <f t="shared" si="18"/>
        <v>0.61462176984378469</v>
      </c>
      <c r="L395" s="1">
        <f t="shared" si="19"/>
        <v>0.87926986082817171</v>
      </c>
      <c r="M395" s="1">
        <f t="shared" si="20"/>
        <v>361.72498477975307</v>
      </c>
      <c r="N395"/>
      <c r="P395" s="1"/>
    </row>
    <row r="396" spans="1:19" x14ac:dyDescent="0.3">
      <c r="A396" s="1">
        <v>396</v>
      </c>
      <c r="C396" s="1" t="s">
        <v>15</v>
      </c>
      <c r="D396" s="6">
        <v>19.7</v>
      </c>
      <c r="E396" s="1">
        <v>524</v>
      </c>
      <c r="F396" s="1">
        <v>45</v>
      </c>
      <c r="G396" s="1">
        <v>0.6151736467495279</v>
      </c>
      <c r="H396" s="1">
        <v>1.7832664289593609</v>
      </c>
      <c r="I396" s="1">
        <v>1011.9344001722694</v>
      </c>
      <c r="K396" s="1">
        <f t="shared" si="18"/>
        <v>0.71729313304433651</v>
      </c>
      <c r="L396" s="1">
        <f t="shared" si="19"/>
        <v>0.89112453089329569</v>
      </c>
      <c r="M396" s="1">
        <f t="shared" si="20"/>
        <v>505.06261190393934</v>
      </c>
      <c r="N396"/>
      <c r="P396" s="1"/>
    </row>
    <row r="397" spans="1:19" x14ac:dyDescent="0.3">
      <c r="A397" s="1">
        <v>397</v>
      </c>
      <c r="C397" s="1" t="s">
        <v>15</v>
      </c>
      <c r="D397" s="6">
        <v>19.7</v>
      </c>
      <c r="E397" s="1">
        <v>525</v>
      </c>
      <c r="F397" s="1">
        <v>0</v>
      </c>
      <c r="G397" s="1">
        <v>0.40585066585275065</v>
      </c>
      <c r="H397" s="1">
        <v>1.8131778790526336</v>
      </c>
      <c r="I397" s="1">
        <v>395.98340488622512</v>
      </c>
      <c r="K397" s="1">
        <f t="shared" si="18"/>
        <v>0.47322231242486662</v>
      </c>
      <c r="L397" s="1">
        <f t="shared" si="19"/>
        <v>0.90607172358410426</v>
      </c>
      <c r="M397" s="1">
        <f t="shared" si="20"/>
        <v>197.63772504265597</v>
      </c>
      <c r="N397" s="1">
        <f>SLOPE(K397:K400,F397:F400)</f>
        <v>1.9641607765197338E-4</v>
      </c>
      <c r="O397" s="1">
        <f>SLOPE(L397:L400,F397:F400)</f>
        <v>6.5286588764451895E-4</v>
      </c>
      <c r="P397" s="1">
        <f>SLOPE(M397:M400,F397:F400)</f>
        <v>2.3809709035669182</v>
      </c>
      <c r="Q397" s="1">
        <f>(N397*41.35/0.31*60)/1000</f>
        <v>1.5719622214662775E-3</v>
      </c>
      <c r="R397" s="1">
        <f>O397*41.35/0.31*60/1000</f>
        <v>5.225033120148553E-3</v>
      </c>
      <c r="S397" s="1">
        <f>(O397*41.35/0.31*60)/1000</f>
        <v>5.225033120148553E-3</v>
      </c>
    </row>
    <row r="398" spans="1:19" x14ac:dyDescent="0.3">
      <c r="A398" s="1">
        <v>398</v>
      </c>
      <c r="C398" s="1" t="s">
        <v>15</v>
      </c>
      <c r="D398" s="6">
        <v>19.7</v>
      </c>
      <c r="E398" s="1">
        <v>526</v>
      </c>
      <c r="F398" s="1">
        <v>15</v>
      </c>
      <c r="G398" s="1">
        <v>0.41195675821119032</v>
      </c>
      <c r="H398" s="1">
        <v>1.7863607169000446</v>
      </c>
      <c r="I398" s="1">
        <v>568.99422718449512</v>
      </c>
      <c r="K398" s="1">
        <f t="shared" si="18"/>
        <v>0.48034202267511172</v>
      </c>
      <c r="L398" s="1">
        <f t="shared" si="19"/>
        <v>0.8926707922061381</v>
      </c>
      <c r="M398" s="1">
        <f t="shared" si="20"/>
        <v>283.98847839458961</v>
      </c>
      <c r="N398"/>
      <c r="P398" s="1"/>
    </row>
    <row r="399" spans="1:19" x14ac:dyDescent="0.3">
      <c r="A399" s="1">
        <v>399</v>
      </c>
      <c r="C399" s="1" t="s">
        <v>15</v>
      </c>
      <c r="D399" s="6">
        <v>19.7</v>
      </c>
      <c r="E399" s="1">
        <v>527</v>
      </c>
      <c r="F399" s="1">
        <v>30</v>
      </c>
      <c r="G399" s="1">
        <v>0.41352881338667552</v>
      </c>
      <c r="H399" s="1">
        <v>1.7719207065101887</v>
      </c>
      <c r="I399" s="1">
        <v>608.73439162567388</v>
      </c>
      <c r="K399" s="1">
        <f t="shared" si="18"/>
        <v>0.48217504069872263</v>
      </c>
      <c r="L399" s="1">
        <f t="shared" si="19"/>
        <v>0.8854549060795408</v>
      </c>
      <c r="M399" s="1">
        <f t="shared" si="20"/>
        <v>303.82303609589604</v>
      </c>
      <c r="N399"/>
      <c r="P399" s="1"/>
    </row>
    <row r="400" spans="1:19" x14ac:dyDescent="0.3">
      <c r="A400" s="1">
        <v>400</v>
      </c>
      <c r="C400" s="1" t="s">
        <v>15</v>
      </c>
      <c r="D400" s="6">
        <v>19.7</v>
      </c>
      <c r="E400" s="1">
        <v>528</v>
      </c>
      <c r="F400" s="1">
        <v>45</v>
      </c>
      <c r="G400" s="1">
        <v>0.41374928453933507</v>
      </c>
      <c r="H400" s="1">
        <v>1.8833150723747902</v>
      </c>
      <c r="I400" s="1">
        <v>621.26021557206491</v>
      </c>
      <c r="K400" s="1">
        <f t="shared" si="18"/>
        <v>0.48243211029959499</v>
      </c>
      <c r="L400" s="1">
        <f t="shared" si="19"/>
        <v>0.94112031334186264</v>
      </c>
      <c r="M400" s="1">
        <f t="shared" si="20"/>
        <v>310.07475098723307</v>
      </c>
      <c r="N400"/>
      <c r="P400" s="1"/>
    </row>
    <row r="401" spans="1:19" x14ac:dyDescent="0.3">
      <c r="A401" s="1">
        <v>401</v>
      </c>
      <c r="C401" s="1" t="s">
        <v>15</v>
      </c>
      <c r="D401" s="6">
        <v>19.7</v>
      </c>
      <c r="E401" s="1">
        <v>529</v>
      </c>
      <c r="F401" s="1">
        <v>0</v>
      </c>
      <c r="G401" s="1">
        <v>0.44152864977443423</v>
      </c>
      <c r="H401" s="1">
        <v>1.8781579258069845</v>
      </c>
      <c r="I401" s="1">
        <v>458.91519152176886</v>
      </c>
      <c r="K401" s="1">
        <f t="shared" si="18"/>
        <v>0.51482288000950127</v>
      </c>
      <c r="L401" s="1">
        <f t="shared" si="19"/>
        <v>0.93854321115379202</v>
      </c>
      <c r="M401" s="1">
        <f t="shared" si="20"/>
        <v>229.04736239120169</v>
      </c>
      <c r="N401" s="1">
        <f>SLOPE(K401:K404,F401:F404)</f>
        <v>4.0086464891960867E-3</v>
      </c>
      <c r="O401" s="1">
        <f>SLOPE(L401:L404,F401:F404)</f>
        <v>-7.5251383891657381E-4</v>
      </c>
      <c r="P401" s="1">
        <f>SLOPE(M401:M404,F401:F404)</f>
        <v>0.90059118463943777</v>
      </c>
      <c r="Q401" s="1">
        <f>(N401*41.35/0.31*60)/1000</f>
        <v>3.2082103031275781E-2</v>
      </c>
      <c r="R401" s="1">
        <f>O401*41.35/0.31*60/1000</f>
        <v>-6.0225381753290959E-3</v>
      </c>
      <c r="S401" s="1">
        <f>(O401*41.35/0.31*60)/1000</f>
        <v>-6.0225381753290959E-3</v>
      </c>
    </row>
    <row r="402" spans="1:19" x14ac:dyDescent="0.3">
      <c r="A402" s="1">
        <v>402</v>
      </c>
      <c r="C402" s="1" t="s">
        <v>15</v>
      </c>
      <c r="D402" s="6">
        <v>19.7</v>
      </c>
      <c r="E402" s="1">
        <v>530</v>
      </c>
      <c r="F402" s="1">
        <v>15</v>
      </c>
      <c r="G402" s="1">
        <v>0.45110476636168889</v>
      </c>
      <c r="H402" s="1">
        <v>1.8585607688493231</v>
      </c>
      <c r="I402" s="1">
        <v>495.43791506055766</v>
      </c>
      <c r="K402" s="1">
        <f t="shared" si="18"/>
        <v>0.52598864223869257</v>
      </c>
      <c r="L402" s="1">
        <f t="shared" si="19"/>
        <v>0.92875022283912445</v>
      </c>
      <c r="M402" s="1">
        <f t="shared" si="20"/>
        <v>247.27607577539527</v>
      </c>
      <c r="N402"/>
      <c r="P402" s="1"/>
    </row>
    <row r="403" spans="1:19" x14ac:dyDescent="0.3">
      <c r="A403" s="1">
        <v>403</v>
      </c>
      <c r="C403" s="1" t="s">
        <v>15</v>
      </c>
      <c r="D403" s="6">
        <v>19.7</v>
      </c>
      <c r="E403" s="1">
        <v>531</v>
      </c>
      <c r="F403" s="1">
        <v>30</v>
      </c>
      <c r="G403" s="1">
        <v>0.46360452214725462</v>
      </c>
      <c r="H403" s="1">
        <v>1.809052161798389</v>
      </c>
      <c r="I403" s="1">
        <v>553.48942716884449</v>
      </c>
      <c r="K403" s="1">
        <f t="shared" si="18"/>
        <v>0.54056337091423357</v>
      </c>
      <c r="L403" s="1">
        <f t="shared" si="19"/>
        <v>0.90401004183364786</v>
      </c>
      <c r="M403" s="1">
        <f t="shared" si="20"/>
        <v>276.24993843427239</v>
      </c>
      <c r="N403"/>
      <c r="P403" s="1"/>
    </row>
    <row r="404" spans="1:19" x14ac:dyDescent="0.3">
      <c r="A404" s="1">
        <v>404</v>
      </c>
      <c r="C404" s="1" t="s">
        <v>15</v>
      </c>
      <c r="D404" s="6">
        <v>19.7</v>
      </c>
      <c r="E404" s="1">
        <v>532</v>
      </c>
      <c r="F404" s="1">
        <v>45</v>
      </c>
      <c r="G404" s="1">
        <v>0.60925926843687916</v>
      </c>
      <c r="H404" s="1">
        <v>1.8193664549340003</v>
      </c>
      <c r="I404" s="1">
        <v>529.78510558324911</v>
      </c>
      <c r="K404" s="1">
        <f t="shared" si="18"/>
        <v>0.71039696157745857</v>
      </c>
      <c r="L404" s="1">
        <f t="shared" si="19"/>
        <v>0.90916424620978886</v>
      </c>
      <c r="M404" s="1">
        <f t="shared" si="20"/>
        <v>264.41896740354787</v>
      </c>
      <c r="N404"/>
      <c r="P404" s="1"/>
    </row>
    <row r="405" spans="1:19" x14ac:dyDescent="0.3">
      <c r="A405" s="1">
        <v>405</v>
      </c>
      <c r="C405" s="1" t="s">
        <v>15</v>
      </c>
      <c r="D405" s="6">
        <v>19.7</v>
      </c>
      <c r="E405" s="1">
        <v>533</v>
      </c>
      <c r="F405" s="1">
        <v>0</v>
      </c>
      <c r="G405" s="1">
        <v>0.40251484145598926</v>
      </c>
      <c r="H405" s="1">
        <v>1.8100835911119502</v>
      </c>
      <c r="I405" s="1">
        <v>392.62655377369737</v>
      </c>
      <c r="K405" s="1">
        <f t="shared" si="18"/>
        <v>0.46933273759427746</v>
      </c>
      <c r="L405" s="1">
        <f t="shared" si="19"/>
        <v>0.90452546227126207</v>
      </c>
      <c r="M405" s="1">
        <f t="shared" si="20"/>
        <v>195.96230024201938</v>
      </c>
      <c r="N405" s="1">
        <f>SLOPE(K405:K408,F405:F408)</f>
        <v>4.180175248966515E-4</v>
      </c>
      <c r="O405" s="1">
        <f>SLOPE(L405:L408,F405:F408)</f>
        <v>-1.3057317752890245E-4</v>
      </c>
      <c r="P405" s="1">
        <f>SLOPE(M405:M408,F405:F408)</f>
        <v>2.4860801585460148</v>
      </c>
      <c r="Q405" s="1">
        <f>(N405*41.35/0.31*60)/1000</f>
        <v>3.3454886428019104E-3</v>
      </c>
      <c r="R405" s="1">
        <f>O405*41.35/0.31*60/1000</f>
        <v>-1.0450066240297001E-3</v>
      </c>
      <c r="S405" s="1">
        <f>(O405*41.35/0.31*60)/1000</f>
        <v>-1.0450066240297001E-3</v>
      </c>
    </row>
    <row r="406" spans="1:19" x14ac:dyDescent="0.3">
      <c r="A406" s="1">
        <v>406</v>
      </c>
      <c r="C406" s="1" t="s">
        <v>15</v>
      </c>
      <c r="D406" s="6">
        <v>19.7</v>
      </c>
      <c r="E406" s="1">
        <v>534</v>
      </c>
      <c r="F406" s="1">
        <v>15</v>
      </c>
      <c r="G406" s="1">
        <v>0.4076431921808954</v>
      </c>
      <c r="H406" s="1">
        <v>1.8193664549340003</v>
      </c>
      <c r="I406" s="1">
        <v>517.90313668631006</v>
      </c>
      <c r="K406" s="1">
        <f t="shared" si="18"/>
        <v>0.47531240004934988</v>
      </c>
      <c r="L406" s="1">
        <f t="shared" si="19"/>
        <v>0.90916424620978886</v>
      </c>
      <c r="M406" s="1">
        <f t="shared" si="20"/>
        <v>258.48860448216897</v>
      </c>
      <c r="N406"/>
      <c r="P406" s="1"/>
    </row>
    <row r="407" spans="1:19" x14ac:dyDescent="0.3">
      <c r="A407" s="1">
        <v>407</v>
      </c>
      <c r="C407" s="1" t="s">
        <v>15</v>
      </c>
      <c r="D407" s="6">
        <v>19.7</v>
      </c>
      <c r="E407" s="1">
        <v>535</v>
      </c>
      <c r="F407" s="1">
        <v>30</v>
      </c>
      <c r="G407" s="1">
        <v>0.41698925191320102</v>
      </c>
      <c r="H407" s="1">
        <v>1.7863607169000446</v>
      </c>
      <c r="I407" s="1">
        <v>603.38911067381275</v>
      </c>
      <c r="K407" s="1">
        <f t="shared" si="18"/>
        <v>0.48620991573850053</v>
      </c>
      <c r="L407" s="1">
        <f t="shared" si="19"/>
        <v>0.8926707922061381</v>
      </c>
      <c r="M407" s="1">
        <f t="shared" si="20"/>
        <v>301.15517387236872</v>
      </c>
      <c r="N407"/>
      <c r="P407" s="1"/>
    </row>
    <row r="408" spans="1:19" x14ac:dyDescent="0.3">
      <c r="A408" s="1">
        <v>408</v>
      </c>
      <c r="C408" s="1" t="s">
        <v>15</v>
      </c>
      <c r="D408" s="6">
        <v>19.7</v>
      </c>
      <c r="E408" s="1">
        <v>536</v>
      </c>
      <c r="F408" s="1">
        <v>45</v>
      </c>
      <c r="G408" s="1">
        <v>0.41732475149333509</v>
      </c>
      <c r="H408" s="1">
        <v>1.8080207324848281</v>
      </c>
      <c r="I408" s="1">
        <v>613.18451228086087</v>
      </c>
      <c r="K408" s="1">
        <f t="shared" si="18"/>
        <v>0.48660110860939315</v>
      </c>
      <c r="L408" s="1">
        <f t="shared" si="19"/>
        <v>0.90349462139603387</v>
      </c>
      <c r="M408" s="1">
        <f t="shared" si="20"/>
        <v>306.04411837258687</v>
      </c>
      <c r="N408"/>
      <c r="P408" s="1"/>
    </row>
    <row r="409" spans="1:19" x14ac:dyDescent="0.3">
      <c r="A409" s="1">
        <v>409</v>
      </c>
      <c r="C409" s="1" t="s">
        <v>15</v>
      </c>
      <c r="D409" s="6">
        <v>19.7</v>
      </c>
      <c r="E409" s="1">
        <v>537</v>
      </c>
      <c r="F409" s="1">
        <v>0</v>
      </c>
      <c r="G409" s="1">
        <v>0.40455659604366218</v>
      </c>
      <c r="H409" s="1">
        <v>1.8152407376797559</v>
      </c>
      <c r="I409" s="1">
        <v>393.64461517667712</v>
      </c>
      <c r="K409" s="1">
        <f t="shared" si="18"/>
        <v>0.47171342563713803</v>
      </c>
      <c r="L409" s="1">
        <f t="shared" si="19"/>
        <v>0.90710256445933257</v>
      </c>
      <c r="M409" s="1">
        <f t="shared" si="20"/>
        <v>196.47042087827802</v>
      </c>
      <c r="N409" s="1">
        <f>SLOPE(K409:K412,F409:F412)</f>
        <v>2.9427390571735209E-3</v>
      </c>
      <c r="O409" s="1">
        <f>SLOPE(L409:L412,F409:F412)</f>
        <v>2.0273203879487796E-4</v>
      </c>
      <c r="P409" s="1">
        <f>SLOPE(M409:M412,F409:F412)</f>
        <v>4.5161731632910946</v>
      </c>
      <c r="Q409" s="1">
        <f>(N409*41.35/0.31*60)/1000</f>
        <v>2.3551405164024212E-2</v>
      </c>
      <c r="R409" s="1">
        <f>O409*41.35/0.31*60/1000</f>
        <v>1.6225102846777171E-3</v>
      </c>
      <c r="S409" s="1">
        <f>(O409*41.35/0.31*60)/1000</f>
        <v>1.6225102846777171E-3</v>
      </c>
    </row>
    <row r="410" spans="1:19" x14ac:dyDescent="0.3">
      <c r="A410" s="1">
        <v>410</v>
      </c>
      <c r="C410" s="1" t="s">
        <v>15</v>
      </c>
      <c r="D410" s="6">
        <v>19.7</v>
      </c>
      <c r="E410" s="1">
        <v>538</v>
      </c>
      <c r="F410" s="1">
        <v>15</v>
      </c>
      <c r="G410" s="1">
        <v>0.48155854253557101</v>
      </c>
      <c r="H410" s="1">
        <v>1.8441207584594674</v>
      </c>
      <c r="I410" s="1">
        <v>695.42002715830927</v>
      </c>
      <c r="K410" s="1">
        <f t="shared" si="18"/>
        <v>0.5614977779765713</v>
      </c>
      <c r="L410" s="1">
        <f t="shared" si="19"/>
        <v>0.92153433671252705</v>
      </c>
      <c r="M410" s="1">
        <f t="shared" si="20"/>
        <v>347.08836385747071</v>
      </c>
      <c r="N410"/>
      <c r="P410" s="1"/>
    </row>
    <row r="411" spans="1:19" x14ac:dyDescent="0.3">
      <c r="A411" s="1">
        <v>411</v>
      </c>
      <c r="C411" s="1" t="s">
        <v>15</v>
      </c>
      <c r="D411" s="6">
        <v>19.7</v>
      </c>
      <c r="E411" s="1">
        <v>539</v>
      </c>
      <c r="F411" s="1">
        <v>30</v>
      </c>
      <c r="G411" s="1">
        <v>0.5085710515875066</v>
      </c>
      <c r="H411" s="1">
        <v>1.8369007532645396</v>
      </c>
      <c r="I411" s="1">
        <v>791.49383973680096</v>
      </c>
      <c r="K411" s="1">
        <f t="shared" si="18"/>
        <v>0.59299439255300879</v>
      </c>
      <c r="L411" s="1">
        <f t="shared" si="19"/>
        <v>0.91792639364922846</v>
      </c>
      <c r="M411" s="1">
        <f t="shared" si="20"/>
        <v>395.03938786476022</v>
      </c>
      <c r="N411"/>
      <c r="P411" s="1"/>
    </row>
    <row r="412" spans="1:19" x14ac:dyDescent="0.3">
      <c r="A412" s="1">
        <v>412</v>
      </c>
      <c r="C412" s="1" t="s">
        <v>15</v>
      </c>
      <c r="D412" s="6">
        <v>19.7</v>
      </c>
      <c r="E412" s="1">
        <v>540</v>
      </c>
      <c r="F412" s="1">
        <v>45</v>
      </c>
      <c r="G412" s="1">
        <v>0.52174180653334035</v>
      </c>
      <c r="H412" s="1">
        <v>1.8379321825781008</v>
      </c>
      <c r="I412" s="1">
        <v>814.04619274388949</v>
      </c>
      <c r="K412" s="1">
        <f t="shared" si="18"/>
        <v>0.60835150697033491</v>
      </c>
      <c r="L412" s="1">
        <f t="shared" si="19"/>
        <v>0.91844181408684267</v>
      </c>
      <c r="M412" s="1">
        <f t="shared" si="20"/>
        <v>406.29540437373623</v>
      </c>
      <c r="N412"/>
      <c r="P412" s="1"/>
    </row>
    <row r="413" spans="1:19" x14ac:dyDescent="0.3">
      <c r="A413" s="1">
        <v>413</v>
      </c>
      <c r="C413" s="1" t="s">
        <v>15</v>
      </c>
      <c r="D413" s="6">
        <v>19.7</v>
      </c>
      <c r="E413" s="1">
        <v>541</v>
      </c>
      <c r="F413" s="1">
        <v>0</v>
      </c>
      <c r="G413" s="1">
        <v>0.40461411025739941</v>
      </c>
      <c r="H413" s="1">
        <v>1.9617037002054354</v>
      </c>
      <c r="I413" s="1">
        <v>411.29009565589052</v>
      </c>
      <c r="K413" s="1">
        <f t="shared" si="18"/>
        <v>0.47178048727214822</v>
      </c>
      <c r="L413" s="1">
        <f t="shared" si="19"/>
        <v>0.98029226660053348</v>
      </c>
      <c r="M413" s="1">
        <f t="shared" si="20"/>
        <v>205.27738747375528</v>
      </c>
      <c r="N413" s="1">
        <f>SLOPE(K413:K416,F413:F416)</f>
        <v>2.636043846393731E-3</v>
      </c>
      <c r="O413" s="1">
        <f>SLOPE(L413:L416,F413:F416)</f>
        <v>-1.2988595027875079E-3</v>
      </c>
      <c r="P413" s="1">
        <f>SLOPE(M413:M416,F413:F416)</f>
        <v>3.3900160892355373</v>
      </c>
      <c r="Q413" s="1">
        <f>(N413*41.35/0.31*60)/1000</f>
        <v>2.1096854138396279E-2</v>
      </c>
      <c r="R413" s="1">
        <f>O413*41.35/0.31*60/1000</f>
        <v>-1.0395065891663894E-2</v>
      </c>
      <c r="S413" s="1">
        <f>(O413*41.35/0.31*60)/1000</f>
        <v>-1.0395065891663894E-2</v>
      </c>
    </row>
    <row r="414" spans="1:19" x14ac:dyDescent="0.3">
      <c r="A414" s="1">
        <v>414</v>
      </c>
      <c r="C414" s="1" t="s">
        <v>15</v>
      </c>
      <c r="D414" s="6">
        <v>19.7</v>
      </c>
      <c r="E414" s="1">
        <v>542</v>
      </c>
      <c r="F414" s="1">
        <v>15</v>
      </c>
      <c r="G414" s="1">
        <v>0.46189826713971571</v>
      </c>
      <c r="H414" s="1">
        <v>1.8430893291459063</v>
      </c>
      <c r="I414" s="1">
        <v>579.59215467227045</v>
      </c>
      <c r="K414" s="1">
        <f t="shared" si="18"/>
        <v>0.53857387574226556</v>
      </c>
      <c r="L414" s="1">
        <f t="shared" si="19"/>
        <v>0.92101891627491306</v>
      </c>
      <c r="M414" s="1">
        <f t="shared" si="20"/>
        <v>289.27796844140801</v>
      </c>
      <c r="N414"/>
      <c r="P414" s="1"/>
    </row>
    <row r="415" spans="1:19" x14ac:dyDescent="0.3">
      <c r="A415" s="1">
        <v>415</v>
      </c>
      <c r="C415" s="1" t="s">
        <v>15</v>
      </c>
      <c r="D415" s="6">
        <v>19.7</v>
      </c>
      <c r="E415" s="1">
        <v>543</v>
      </c>
      <c r="F415" s="1">
        <v>30</v>
      </c>
      <c r="G415" s="1">
        <v>0.47689030552056288</v>
      </c>
      <c r="H415" s="1">
        <v>1.8338064653238562</v>
      </c>
      <c r="I415" s="1">
        <v>624.7830748953487</v>
      </c>
      <c r="K415" s="1">
        <f t="shared" si="18"/>
        <v>0.55605460860158007</v>
      </c>
      <c r="L415" s="1">
        <f t="shared" si="19"/>
        <v>0.91638013233638627</v>
      </c>
      <c r="M415" s="1">
        <f t="shared" si="20"/>
        <v>311.83303149522345</v>
      </c>
      <c r="N415"/>
      <c r="P415" s="1"/>
    </row>
    <row r="416" spans="1:19" x14ac:dyDescent="0.3">
      <c r="A416" s="1">
        <v>416</v>
      </c>
      <c r="C416" s="1" t="s">
        <v>15</v>
      </c>
      <c r="D416" s="6">
        <v>19.7</v>
      </c>
      <c r="E416" s="1">
        <v>544</v>
      </c>
      <c r="F416" s="1">
        <v>45</v>
      </c>
      <c r="G416" s="1">
        <v>0.51265456076285243</v>
      </c>
      <c r="H416" s="1">
        <v>1.8348378946374173</v>
      </c>
      <c r="I416" s="1">
        <v>735.83523051173393</v>
      </c>
      <c r="K416" s="1">
        <f t="shared" si="18"/>
        <v>0.59775576863872992</v>
      </c>
      <c r="L416" s="1">
        <f t="shared" si="19"/>
        <v>0.91689555277400037</v>
      </c>
      <c r="M416" s="1">
        <f t="shared" si="20"/>
        <v>367.25983758426031</v>
      </c>
      <c r="N416"/>
      <c r="P416" s="1"/>
    </row>
    <row r="417" spans="1:19" x14ac:dyDescent="0.3">
      <c r="A417" s="1">
        <v>417</v>
      </c>
      <c r="C417" s="1" t="s">
        <v>15</v>
      </c>
      <c r="D417" s="6">
        <v>19.7</v>
      </c>
      <c r="E417" s="1">
        <v>545</v>
      </c>
      <c r="F417" s="1">
        <v>0</v>
      </c>
      <c r="G417" s="1">
        <v>0.40283116963154419</v>
      </c>
      <c r="H417" s="1">
        <v>1.873000779239179</v>
      </c>
      <c r="I417" s="1">
        <v>404.52778329177391</v>
      </c>
      <c r="K417" s="1">
        <f t="shared" si="18"/>
        <v>0.46970157658683331</v>
      </c>
      <c r="L417" s="1">
        <f t="shared" si="19"/>
        <v>0.93596610896572163</v>
      </c>
      <c r="M417" s="1">
        <f t="shared" si="20"/>
        <v>201.90227625651673</v>
      </c>
      <c r="N417" s="1">
        <f>SLOPE(K417:K420,F417:F420)</f>
        <v>4.1458993021835572E-4</v>
      </c>
      <c r="O417" s="1">
        <f>SLOPE(L417:L420,F417:F420)</f>
        <v>-7.4014868308343774E-19</v>
      </c>
      <c r="P417" s="1">
        <f>SLOPE(M417:M420,F417:F420)</f>
        <v>0.88647672252114051</v>
      </c>
      <c r="Q417" s="1">
        <f>(N417*41.35/0.31*60)/1000</f>
        <v>3.3180568286185182E-3</v>
      </c>
      <c r="R417" s="1">
        <f>O417*41.35/0.31*60/1000</f>
        <v>-5.9235770410645453E-18</v>
      </c>
      <c r="S417" s="1">
        <f>(O417*41.35/0.31*60)/1000</f>
        <v>-5.9235770410645453E-18</v>
      </c>
    </row>
    <row r="418" spans="1:19" x14ac:dyDescent="0.3">
      <c r="A418" s="1">
        <v>418</v>
      </c>
      <c r="C418" s="1" t="s">
        <v>15</v>
      </c>
      <c r="D418" s="6">
        <v>19.7</v>
      </c>
      <c r="E418" s="1">
        <v>546</v>
      </c>
      <c r="F418" s="1">
        <v>15</v>
      </c>
      <c r="G418" s="1">
        <v>0.41465034055455224</v>
      </c>
      <c r="H418" s="1">
        <v>1.8420578998323451</v>
      </c>
      <c r="I418" s="1">
        <v>449.03999591286561</v>
      </c>
      <c r="K418" s="1">
        <f t="shared" si="18"/>
        <v>0.48348274258142082</v>
      </c>
      <c r="L418" s="1">
        <f t="shared" si="19"/>
        <v>0.92050349583729896</v>
      </c>
      <c r="M418" s="1">
        <f t="shared" si="20"/>
        <v>224.11859221949302</v>
      </c>
      <c r="N418"/>
      <c r="P418" s="1"/>
    </row>
    <row r="419" spans="1:19" x14ac:dyDescent="0.3">
      <c r="A419" s="1">
        <v>419</v>
      </c>
      <c r="C419" s="1" t="s">
        <v>15</v>
      </c>
      <c r="D419" s="6">
        <v>19.7</v>
      </c>
      <c r="E419" s="1">
        <v>547</v>
      </c>
      <c r="F419" s="1">
        <v>30</v>
      </c>
      <c r="G419" s="1">
        <v>0.41541719673771582</v>
      </c>
      <c r="H419" s="1">
        <v>1.8358693239509782</v>
      </c>
      <c r="I419" s="1">
        <v>457.89804729122432</v>
      </c>
      <c r="K419" s="1">
        <f t="shared" si="18"/>
        <v>0.48437689771488968</v>
      </c>
      <c r="L419" s="1">
        <f t="shared" si="19"/>
        <v>0.91741097321161424</v>
      </c>
      <c r="M419" s="1">
        <f t="shared" si="20"/>
        <v>228.53969952128207</v>
      </c>
      <c r="N419"/>
      <c r="P419" s="1"/>
    </row>
    <row r="420" spans="1:19" x14ac:dyDescent="0.3">
      <c r="A420" s="1">
        <v>420</v>
      </c>
      <c r="C420" s="1" t="s">
        <v>15</v>
      </c>
      <c r="D420" s="6">
        <v>19.7</v>
      </c>
      <c r="E420" s="1">
        <v>548</v>
      </c>
      <c r="F420" s="1">
        <v>45</v>
      </c>
      <c r="G420" s="1">
        <v>0.42035383341683108</v>
      </c>
      <c r="H420" s="1">
        <v>1.875063637866301</v>
      </c>
      <c r="I420" s="1">
        <v>490.38154342575831</v>
      </c>
      <c r="K420" s="1">
        <f t="shared" si="18"/>
        <v>0.49013302138659481</v>
      </c>
      <c r="L420" s="1">
        <f t="shared" si="19"/>
        <v>0.93699694984094983</v>
      </c>
      <c r="M420" s="1">
        <f t="shared" si="20"/>
        <v>244.75240994864407</v>
      </c>
      <c r="N420"/>
      <c r="P420" s="1"/>
    </row>
    <row r="421" spans="1:19" x14ac:dyDescent="0.3">
      <c r="A421" s="1">
        <v>421</v>
      </c>
      <c r="C421" s="1" t="s">
        <v>15</v>
      </c>
      <c r="D421" s="6">
        <v>19.7</v>
      </c>
      <c r="E421" s="1">
        <v>549</v>
      </c>
      <c r="F421" s="1">
        <v>0</v>
      </c>
      <c r="G421" s="1">
        <v>0.40414441084521174</v>
      </c>
      <c r="H421" s="1">
        <v>1.9132265224680625</v>
      </c>
      <c r="I421" s="1">
        <v>413.22441232155199</v>
      </c>
      <c r="K421" s="1">
        <f t="shared" si="18"/>
        <v>0.47123281725289856</v>
      </c>
      <c r="L421" s="1">
        <f t="shared" si="19"/>
        <v>0.9560675060326711</v>
      </c>
      <c r="M421" s="1">
        <f t="shared" si="20"/>
        <v>206.24281668264672</v>
      </c>
      <c r="N421" s="1">
        <f>SLOPE(K421:K424,F421:F424)</f>
        <v>8.057082881831538E-4</v>
      </c>
      <c r="O421" s="1">
        <f>SLOPE(L421:L424,F421:F424)</f>
        <v>-1.0755106464880677E-3</v>
      </c>
      <c r="P421" s="1">
        <f>SLOPE(M421:M424,F421:F424)</f>
        <v>3.1998935215582018</v>
      </c>
      <c r="Q421" s="1">
        <f>(N421*41.35/0.31*60)/1000</f>
        <v>6.4482653644593697E-3</v>
      </c>
      <c r="R421" s="1">
        <f>O421*41.35/0.31*60/1000</f>
        <v>-8.607554561086762E-3</v>
      </c>
      <c r="S421" s="1">
        <f>(O421*41.35/0.31*60)/1000</f>
        <v>-8.607554561086762E-3</v>
      </c>
    </row>
    <row r="422" spans="1:19" x14ac:dyDescent="0.3">
      <c r="A422" s="1">
        <v>422</v>
      </c>
      <c r="C422" s="1" t="s">
        <v>15</v>
      </c>
      <c r="D422" s="6">
        <v>19.7</v>
      </c>
      <c r="E422" s="1">
        <v>550</v>
      </c>
      <c r="F422" s="1">
        <v>15</v>
      </c>
      <c r="G422" s="1">
        <v>0.42270233047776939</v>
      </c>
      <c r="H422" s="1">
        <v>1.8338064653238562</v>
      </c>
      <c r="I422" s="1">
        <v>568.99422718449512</v>
      </c>
      <c r="K422" s="1">
        <f t="shared" si="18"/>
        <v>0.49287137148284293</v>
      </c>
      <c r="L422" s="1">
        <f t="shared" si="19"/>
        <v>0.91638013233638627</v>
      </c>
      <c r="M422" s="1">
        <f t="shared" si="20"/>
        <v>283.98847839458961</v>
      </c>
      <c r="N422"/>
      <c r="P422" s="1"/>
    </row>
    <row r="423" spans="1:19" x14ac:dyDescent="0.3">
      <c r="A423" s="1">
        <v>423</v>
      </c>
      <c r="C423" s="1" t="s">
        <v>15</v>
      </c>
      <c r="D423" s="6">
        <v>19.7</v>
      </c>
      <c r="E423" s="1">
        <v>551</v>
      </c>
      <c r="F423" s="1">
        <v>30</v>
      </c>
      <c r="G423" s="1">
        <v>0.42877966572934045</v>
      </c>
      <c r="H423" s="1">
        <v>1.8791893551205456</v>
      </c>
      <c r="I423" s="1">
        <v>610.98971864362613</v>
      </c>
      <c r="K423" s="1">
        <f t="shared" si="18"/>
        <v>0.49995755091558292</v>
      </c>
      <c r="L423" s="1">
        <f t="shared" si="19"/>
        <v>0.93905863159140623</v>
      </c>
      <c r="M423" s="1">
        <f t="shared" si="20"/>
        <v>304.94868352342752</v>
      </c>
      <c r="N423"/>
      <c r="P423" s="1"/>
    </row>
    <row r="424" spans="1:19" x14ac:dyDescent="0.3">
      <c r="A424" s="1">
        <v>424</v>
      </c>
      <c r="C424" s="1" t="s">
        <v>15</v>
      </c>
      <c r="D424" s="6">
        <v>19.7</v>
      </c>
      <c r="E424" s="1">
        <v>552</v>
      </c>
      <c r="F424" s="1">
        <v>45</v>
      </c>
      <c r="G424" s="1">
        <v>0.43666869871363534</v>
      </c>
      <c r="H424" s="1">
        <v>1.790486434154289</v>
      </c>
      <c r="I424" s="1">
        <v>719.78838158692918</v>
      </c>
      <c r="K424" s="1">
        <f t="shared" si="18"/>
        <v>0.50915617185114292</v>
      </c>
      <c r="L424" s="1">
        <f t="shared" si="19"/>
        <v>0.89473247395659439</v>
      </c>
      <c r="M424" s="1">
        <f t="shared" si="20"/>
        <v>359.25075771761084</v>
      </c>
      <c r="N424"/>
      <c r="P424" s="1"/>
    </row>
    <row r="425" spans="1:19" x14ac:dyDescent="0.3">
      <c r="A425" s="1">
        <v>425</v>
      </c>
      <c r="C425" s="1" t="s">
        <v>15</v>
      </c>
      <c r="D425" s="6">
        <v>19.7</v>
      </c>
      <c r="E425" s="1">
        <v>553</v>
      </c>
      <c r="F425" s="1">
        <v>0</v>
      </c>
      <c r="G425" s="1">
        <v>0.39938031680730829</v>
      </c>
      <c r="H425" s="1">
        <v>1.8100835911119502</v>
      </c>
      <c r="I425" s="1">
        <v>399.8777190457314</v>
      </c>
      <c r="K425" s="1">
        <f t="shared" si="18"/>
        <v>0.46567787848622388</v>
      </c>
      <c r="L425" s="1">
        <f t="shared" si="19"/>
        <v>0.90452546227126207</v>
      </c>
      <c r="M425" s="1">
        <f t="shared" si="20"/>
        <v>199.58140091793001</v>
      </c>
      <c r="N425" s="1">
        <f>SLOPE(K425:K428,F425:F428)</f>
        <v>1.3718575135244619E-3</v>
      </c>
      <c r="O425" s="1">
        <f>SLOPE(L425:L428,F425:F428)</f>
        <v>4.1233635009127282E-5</v>
      </c>
      <c r="P425" s="1">
        <f>SLOPE(M425:M428,F425:F428)</f>
        <v>3.2282780863500431</v>
      </c>
      <c r="Q425" s="1">
        <f>(N425*41.35/0.31*60)/1000</f>
        <v>1.0979285455013517E-2</v>
      </c>
      <c r="R425" s="1">
        <f>O425*41.35/0.31*60/1000</f>
        <v>3.3000209179885414E-4</v>
      </c>
      <c r="S425" s="1">
        <f>(O425*41.35/0.31*60)/1000</f>
        <v>3.3000209179885414E-4</v>
      </c>
    </row>
    <row r="426" spans="1:19" x14ac:dyDescent="0.3">
      <c r="A426" s="1">
        <v>426</v>
      </c>
      <c r="C426" s="1" t="s">
        <v>15</v>
      </c>
      <c r="D426" s="6">
        <v>19.7</v>
      </c>
      <c r="E426" s="1">
        <v>554</v>
      </c>
      <c r="F426" s="1">
        <v>15</v>
      </c>
      <c r="G426" s="1">
        <v>0.42492621340894365</v>
      </c>
      <c r="H426" s="1">
        <v>1.8121464497390727</v>
      </c>
      <c r="I426" s="1">
        <v>566.03726325367836</v>
      </c>
      <c r="K426" s="1">
        <f t="shared" si="18"/>
        <v>0.49546442136990237</v>
      </c>
      <c r="L426" s="1">
        <f t="shared" si="19"/>
        <v>0.90555630314649027</v>
      </c>
      <c r="M426" s="1">
        <f t="shared" si="20"/>
        <v>282.51263971774478</v>
      </c>
      <c r="N426"/>
      <c r="P426" s="1"/>
    </row>
    <row r="427" spans="1:19" x14ac:dyDescent="0.3">
      <c r="A427" s="1">
        <v>427</v>
      </c>
      <c r="C427" s="1" t="s">
        <v>15</v>
      </c>
      <c r="D427" s="6">
        <v>19.7</v>
      </c>
      <c r="E427" s="1">
        <v>555</v>
      </c>
      <c r="F427" s="1">
        <v>30</v>
      </c>
      <c r="G427" s="1">
        <v>0.43059136346206422</v>
      </c>
      <c r="H427" s="1">
        <v>1.8338064653238562</v>
      </c>
      <c r="I427" s="1">
        <v>592.78476297899158</v>
      </c>
      <c r="K427" s="1">
        <f t="shared" si="18"/>
        <v>0.50206999241840289</v>
      </c>
      <c r="L427" s="1">
        <f t="shared" si="19"/>
        <v>0.91638013233638627</v>
      </c>
      <c r="M427" s="1">
        <f t="shared" si="20"/>
        <v>295.86247946117754</v>
      </c>
      <c r="N427"/>
      <c r="P427" s="1"/>
    </row>
    <row r="428" spans="1:19" x14ac:dyDescent="0.3">
      <c r="A428" s="1">
        <v>428</v>
      </c>
      <c r="C428" s="1" t="s">
        <v>15</v>
      </c>
      <c r="D428" s="6">
        <v>19.7</v>
      </c>
      <c r="E428" s="1">
        <v>556</v>
      </c>
      <c r="F428" s="1">
        <v>45</v>
      </c>
      <c r="G428" s="1">
        <v>0.45631938840720099</v>
      </c>
      <c r="H428" s="1">
        <v>1.8069893031712669</v>
      </c>
      <c r="I428" s="1">
        <v>714.36789249538856</v>
      </c>
      <c r="K428" s="1">
        <f t="shared" si="18"/>
        <v>0.53206889714628014</v>
      </c>
      <c r="L428" s="1">
        <f t="shared" si="19"/>
        <v>0.90297920095841977</v>
      </c>
      <c r="M428" s="1">
        <f t="shared" si="20"/>
        <v>356.5453586542879</v>
      </c>
      <c r="N428"/>
      <c r="P428" s="1"/>
    </row>
    <row r="429" spans="1:19" x14ac:dyDescent="0.3">
      <c r="A429" s="1">
        <v>429</v>
      </c>
      <c r="C429" s="1" t="s">
        <v>15</v>
      </c>
      <c r="D429" s="6">
        <v>19.7</v>
      </c>
      <c r="E429" s="1">
        <v>557</v>
      </c>
      <c r="F429" s="1">
        <v>0</v>
      </c>
      <c r="G429" s="1">
        <v>0.40451825323450397</v>
      </c>
      <c r="H429" s="1">
        <v>1.8399950412052228</v>
      </c>
      <c r="I429" s="1">
        <v>423.48665469807463</v>
      </c>
      <c r="K429" s="1">
        <f t="shared" si="18"/>
        <v>0.47166871788046461</v>
      </c>
      <c r="L429" s="1">
        <f t="shared" si="19"/>
        <v>0.91947265496207076</v>
      </c>
      <c r="M429" s="1">
        <f t="shared" si="20"/>
        <v>211.36476424940145</v>
      </c>
      <c r="N429" s="1">
        <f>SLOPE(K429:K432,F429:F432)</f>
        <v>2.6401420574221337E-3</v>
      </c>
      <c r="O429" s="1">
        <f>SLOPE(L429:L432,F429:F432)</f>
        <v>5.7039861762626205E-4</v>
      </c>
      <c r="P429" s="1">
        <f>SLOPE(M429:M432,F429:F432)</f>
        <v>4.7797153481883097</v>
      </c>
      <c r="Q429" s="1">
        <f>(N429*41.35/0.31*60)/1000</f>
        <v>2.1129653046659078E-2</v>
      </c>
      <c r="R429" s="1">
        <f>O429*41.35/0.31*60/1000</f>
        <v>4.5650289365508261E-3</v>
      </c>
      <c r="S429" s="1">
        <f>(O429*41.35/0.31*60)/1000</f>
        <v>4.5650289365508261E-3</v>
      </c>
    </row>
    <row r="430" spans="1:19" x14ac:dyDescent="0.3">
      <c r="A430" s="1">
        <v>430</v>
      </c>
      <c r="C430" s="1" t="s">
        <v>15</v>
      </c>
      <c r="D430" s="6">
        <v>19.7</v>
      </c>
      <c r="E430" s="1">
        <v>558</v>
      </c>
      <c r="F430" s="1">
        <v>15</v>
      </c>
      <c r="G430" s="1">
        <v>0.45342450631575865</v>
      </c>
      <c r="H430" s="1">
        <v>1.8564979102222008</v>
      </c>
      <c r="I430" s="1">
        <v>670.11890836317536</v>
      </c>
      <c r="K430" s="1">
        <f t="shared" si="18"/>
        <v>0.52869346151743557</v>
      </c>
      <c r="L430" s="1">
        <f t="shared" si="19"/>
        <v>0.92771938196389614</v>
      </c>
      <c r="M430" s="1">
        <f t="shared" si="20"/>
        <v>334.46042163059644</v>
      </c>
      <c r="N430"/>
      <c r="P430" s="1"/>
    </row>
    <row r="431" spans="1:19" x14ac:dyDescent="0.3">
      <c r="A431" s="1">
        <v>431</v>
      </c>
      <c r="C431" s="1" t="s">
        <v>15</v>
      </c>
      <c r="D431" s="6">
        <v>19.7</v>
      </c>
      <c r="E431" s="1">
        <v>559</v>
      </c>
      <c r="F431" s="1">
        <v>30</v>
      </c>
      <c r="G431" s="1">
        <v>0.47633433478776938</v>
      </c>
      <c r="H431" s="1">
        <v>1.8606236274764454</v>
      </c>
      <c r="I431" s="1">
        <v>743.4642708270361</v>
      </c>
      <c r="K431" s="1">
        <f t="shared" si="18"/>
        <v>0.55540634612981521</v>
      </c>
      <c r="L431" s="1">
        <f t="shared" si="19"/>
        <v>0.92978106371435254</v>
      </c>
      <c r="M431" s="1">
        <f t="shared" si="20"/>
        <v>371.06753799182729</v>
      </c>
      <c r="N431"/>
      <c r="P431" s="1"/>
    </row>
    <row r="432" spans="1:19" x14ac:dyDescent="0.3">
      <c r="A432" s="1">
        <v>432</v>
      </c>
      <c r="C432" s="1" t="s">
        <v>15</v>
      </c>
      <c r="D432" s="6">
        <v>19.7</v>
      </c>
      <c r="E432" s="1">
        <v>560</v>
      </c>
      <c r="F432" s="1">
        <v>45</v>
      </c>
      <c r="G432" s="1">
        <v>0.51009517825154416</v>
      </c>
      <c r="H432" s="1">
        <v>1.8956922241375236</v>
      </c>
      <c r="I432" s="1">
        <v>877.86580229662638</v>
      </c>
      <c r="K432" s="1">
        <f t="shared" si="18"/>
        <v>0.59477152588077808</v>
      </c>
      <c r="L432" s="1">
        <f t="shared" si="19"/>
        <v>0.94730535859323173</v>
      </c>
      <c r="M432" s="1">
        <f t="shared" si="20"/>
        <v>438.14815953840662</v>
      </c>
      <c r="N432"/>
      <c r="P432" s="1"/>
    </row>
    <row r="433" spans="1:19" x14ac:dyDescent="0.3">
      <c r="A433" s="1">
        <v>433</v>
      </c>
      <c r="C433" s="1" t="s">
        <v>15</v>
      </c>
      <c r="D433" s="6">
        <v>19.7</v>
      </c>
      <c r="E433" s="1">
        <v>561</v>
      </c>
      <c r="F433" s="1">
        <v>0</v>
      </c>
      <c r="G433" s="1">
        <v>0.34972637894746916</v>
      </c>
      <c r="H433" s="1">
        <v>1.6780606389761266</v>
      </c>
      <c r="I433" s="1">
        <v>354.48685523179768</v>
      </c>
      <c r="K433" s="1">
        <f t="shared" si="18"/>
        <v>0.40778133359412072</v>
      </c>
      <c r="L433" s="1">
        <f t="shared" si="19"/>
        <v>0.83855164625665857</v>
      </c>
      <c r="M433" s="1">
        <f t="shared" si="20"/>
        <v>176.92654480221873</v>
      </c>
      <c r="N433" s="1">
        <f>SLOPE(K433:K436,F433:F436)</f>
        <v>4.5788194126380093E-3</v>
      </c>
      <c r="O433" s="1">
        <f>SLOPE(L433:L436,F433:F436)</f>
        <v>1.4912831328300999E-3</v>
      </c>
      <c r="P433" s="1">
        <f>SLOPE(M433:M436,F433:F436)</f>
        <v>2.8015757711409273</v>
      </c>
      <c r="Q433" s="1">
        <f>(N433*41.35/0.31*60)/1000</f>
        <v>3.6645325686306129E-2</v>
      </c>
      <c r="R433" s="1">
        <f>O433*41.35/0.31*60/1000</f>
        <v>1.1935075653391865E-2</v>
      </c>
      <c r="S433" s="1">
        <f>(O433*41.35/0.31*60)/1000</f>
        <v>1.1935075653391865E-2</v>
      </c>
    </row>
    <row r="434" spans="1:19" x14ac:dyDescent="0.3">
      <c r="A434" s="1">
        <v>434</v>
      </c>
      <c r="C434" s="1" t="s">
        <v>15</v>
      </c>
      <c r="D434" s="6">
        <v>19.7</v>
      </c>
      <c r="E434" s="1">
        <v>562</v>
      </c>
      <c r="F434" s="1">
        <v>15</v>
      </c>
      <c r="G434" s="1">
        <v>0.49883197806132967</v>
      </c>
      <c r="H434" s="1">
        <v>1.8451521877730284</v>
      </c>
      <c r="I434" s="1">
        <v>540.60590597275791</v>
      </c>
      <c r="K434" s="1">
        <f t="shared" si="18"/>
        <v>0.58163862235795538</v>
      </c>
      <c r="L434" s="1">
        <f t="shared" si="19"/>
        <v>0.92204975715014115</v>
      </c>
      <c r="M434" s="1">
        <f t="shared" si="20"/>
        <v>269.8196946707364</v>
      </c>
      <c r="N434"/>
      <c r="P434" s="1"/>
    </row>
    <row r="435" spans="1:19" x14ac:dyDescent="0.3">
      <c r="A435" s="1">
        <v>435</v>
      </c>
      <c r="C435" s="1" t="s">
        <v>15</v>
      </c>
      <c r="D435" s="6">
        <v>19.7</v>
      </c>
      <c r="E435" s="1">
        <v>563</v>
      </c>
      <c r="F435" s="1">
        <v>30</v>
      </c>
      <c r="G435" s="1">
        <v>0.52058193655630547</v>
      </c>
      <c r="H435" s="1">
        <v>1.8286493187560504</v>
      </c>
      <c r="I435" s="1">
        <v>588.73819819525579</v>
      </c>
      <c r="K435" s="1">
        <f t="shared" si="18"/>
        <v>0.60699909733096336</v>
      </c>
      <c r="L435" s="1">
        <f t="shared" si="19"/>
        <v>0.91380303014831565</v>
      </c>
      <c r="M435" s="1">
        <f t="shared" si="20"/>
        <v>293.84281437363416</v>
      </c>
      <c r="N435"/>
      <c r="P435" s="1"/>
    </row>
    <row r="436" spans="1:19" x14ac:dyDescent="0.3">
      <c r="A436" s="1">
        <v>436</v>
      </c>
      <c r="C436" s="1" t="s">
        <v>15</v>
      </c>
      <c r="D436" s="6">
        <v>19.7</v>
      </c>
      <c r="E436" s="1">
        <v>564</v>
      </c>
      <c r="F436" s="1">
        <v>45</v>
      </c>
      <c r="G436" s="1">
        <v>0.53882352801330813</v>
      </c>
      <c r="H436" s="1">
        <v>1.832775036010295</v>
      </c>
      <c r="I436" s="1">
        <v>619.10210883223488</v>
      </c>
      <c r="K436" s="1">
        <f t="shared" si="18"/>
        <v>0.62826881256835188</v>
      </c>
      <c r="L436" s="1">
        <f t="shared" si="19"/>
        <v>0.91586471189877205</v>
      </c>
      <c r="M436" s="1">
        <f t="shared" si="20"/>
        <v>308.99762679163251</v>
      </c>
      <c r="N436"/>
      <c r="P436" s="1"/>
    </row>
    <row r="437" spans="1:19" x14ac:dyDescent="0.3">
      <c r="A437" s="1">
        <v>437</v>
      </c>
      <c r="C437" s="1" t="s">
        <v>15</v>
      </c>
      <c r="D437" s="6">
        <v>19.7</v>
      </c>
      <c r="E437" s="1">
        <v>565</v>
      </c>
      <c r="F437" s="1">
        <v>0</v>
      </c>
      <c r="G437" s="1">
        <v>0.40390476828797317</v>
      </c>
      <c r="H437" s="1">
        <v>1.8740322085527401</v>
      </c>
      <c r="I437" s="1">
        <v>424.45243727225261</v>
      </c>
      <c r="K437" s="1">
        <f t="shared" si="18"/>
        <v>0.47095339377368967</v>
      </c>
      <c r="L437" s="1">
        <f t="shared" si="19"/>
        <v>0.93648152940333573</v>
      </c>
      <c r="M437" s="1">
        <f t="shared" si="20"/>
        <v>211.84679220433867</v>
      </c>
      <c r="N437" s="1">
        <f>SLOPE(K437:K440,F437:F440)</f>
        <v>2.5318747733446166E-3</v>
      </c>
      <c r="O437" s="1">
        <f>SLOPE(L437:L440,F437:F440)</f>
        <v>-5.8757929888006324E-4</v>
      </c>
      <c r="P437" s="1">
        <f>SLOPE(M437:M440,F437:F440)</f>
        <v>6.6439748672018935</v>
      </c>
      <c r="Q437" s="1">
        <f>(N437*41.35/0.31*60)/1000</f>
        <v>2.0263165524735463E-2</v>
      </c>
      <c r="R437" s="1">
        <f>O437*41.35/0.31*60/1000</f>
        <v>-4.7025298081336672E-3</v>
      </c>
      <c r="S437" s="1">
        <f>(O437*41.35/0.31*60)/1000</f>
        <v>-4.7025298081336672E-3</v>
      </c>
    </row>
    <row r="438" spans="1:19" x14ac:dyDescent="0.3">
      <c r="A438" s="1">
        <v>438</v>
      </c>
      <c r="C438" s="1" t="s">
        <v>15</v>
      </c>
      <c r="D438" s="6">
        <v>19.7</v>
      </c>
      <c r="E438" s="1">
        <v>566</v>
      </c>
      <c r="F438" s="1">
        <v>15</v>
      </c>
      <c r="G438" s="1">
        <v>0.45781475796436988</v>
      </c>
      <c r="H438" s="1">
        <v>1.873000779239179</v>
      </c>
      <c r="I438" s="1">
        <v>764.33819827786078</v>
      </c>
      <c r="K438" s="1">
        <f t="shared" si="18"/>
        <v>0.53381249965654431</v>
      </c>
      <c r="L438" s="1">
        <f t="shared" si="19"/>
        <v>0.93596610896572163</v>
      </c>
      <c r="M438" s="1">
        <f t="shared" si="20"/>
        <v>381.485842100485</v>
      </c>
      <c r="N438"/>
      <c r="P438" s="1"/>
    </row>
    <row r="439" spans="1:19" x14ac:dyDescent="0.3">
      <c r="A439" s="1">
        <v>439</v>
      </c>
      <c r="C439" s="1" t="s">
        <v>15</v>
      </c>
      <c r="D439" s="6">
        <v>19.7</v>
      </c>
      <c r="E439" s="1">
        <v>567</v>
      </c>
      <c r="F439" s="1">
        <v>30</v>
      </c>
      <c r="G439" s="1">
        <v>0.49040614574882024</v>
      </c>
      <c r="H439" s="1">
        <v>1.798737868662778</v>
      </c>
      <c r="I439" s="1">
        <v>957.87442250161109</v>
      </c>
      <c r="K439" s="1">
        <f t="shared" si="18"/>
        <v>0.57181409282896711</v>
      </c>
      <c r="L439" s="1">
        <f t="shared" si="19"/>
        <v>0.89885583745750708</v>
      </c>
      <c r="M439" s="1">
        <f t="shared" si="20"/>
        <v>478.08094835226711</v>
      </c>
      <c r="N439"/>
      <c r="P439" s="1"/>
    </row>
    <row r="440" spans="1:19" x14ac:dyDescent="0.3">
      <c r="A440" s="1">
        <v>440</v>
      </c>
      <c r="C440" s="1" t="s">
        <v>15</v>
      </c>
      <c r="D440" s="6">
        <v>19.7</v>
      </c>
      <c r="E440" s="1">
        <v>568</v>
      </c>
      <c r="F440" s="1">
        <v>45</v>
      </c>
      <c r="G440" s="1">
        <v>0.50161183172529744</v>
      </c>
      <c r="H440" s="1">
        <v>1.8399950412052228</v>
      </c>
      <c r="I440" s="1">
        <v>1025.5278128331363</v>
      </c>
      <c r="K440" s="1">
        <f t="shared" si="18"/>
        <v>0.58487993471677957</v>
      </c>
      <c r="L440" s="1">
        <f t="shared" si="19"/>
        <v>0.91947265496207076</v>
      </c>
      <c r="M440" s="1">
        <f t="shared" si="20"/>
        <v>511.84716681383929</v>
      </c>
      <c r="N440"/>
      <c r="P440" s="1"/>
    </row>
    <row r="441" spans="1:19" x14ac:dyDescent="0.3">
      <c r="A441" s="1">
        <v>441</v>
      </c>
      <c r="C441" s="1" t="s">
        <v>15</v>
      </c>
      <c r="D441" s="6">
        <v>19.7</v>
      </c>
      <c r="E441" s="1">
        <v>569</v>
      </c>
      <c r="F441" s="1">
        <v>0</v>
      </c>
      <c r="G441" s="1">
        <v>0.40025261571565679</v>
      </c>
      <c r="H441" s="1">
        <v>1.9039436586460126</v>
      </c>
      <c r="I441" s="1">
        <v>403.57484113168744</v>
      </c>
      <c r="K441" s="1">
        <f t="shared" si="18"/>
        <v>0.46669497995054454</v>
      </c>
      <c r="L441" s="1">
        <f t="shared" si="19"/>
        <v>0.95142872209414442</v>
      </c>
      <c r="M441" s="1">
        <f t="shared" si="20"/>
        <v>201.42665703032503</v>
      </c>
      <c r="N441" s="1">
        <f>SLOPE(K441:K444,F441:F444)</f>
        <v>3.4328105832422016E-3</v>
      </c>
      <c r="O441" s="1">
        <f>SLOPE(L441:L444,F441:F444)</f>
        <v>-7.3876929391353339E-4</v>
      </c>
      <c r="P441" s="1">
        <f>SLOPE(M441:M444,F441:F444)</f>
        <v>6.0678179458696944</v>
      </c>
      <c r="Q441" s="1">
        <f>(N441*41.35/0.31*60)/1000</f>
        <v>2.7473558248464199E-2</v>
      </c>
      <c r="R441" s="1">
        <f>O441*41.35/0.31*60/1000</f>
        <v>-5.912537478062827E-3</v>
      </c>
      <c r="S441" s="1">
        <f>(O441*41.35/0.31*60)/1000</f>
        <v>-5.912537478062827E-3</v>
      </c>
    </row>
    <row r="442" spans="1:19" x14ac:dyDescent="0.3">
      <c r="A442" s="1">
        <v>442</v>
      </c>
      <c r="C442" s="1" t="s">
        <v>15</v>
      </c>
      <c r="D442" s="6">
        <v>19.7</v>
      </c>
      <c r="E442" s="1">
        <v>570</v>
      </c>
      <c r="F442" s="1">
        <v>15</v>
      </c>
      <c r="G442" s="1">
        <v>0.47324773865053604</v>
      </c>
      <c r="H442" s="1">
        <v>1.9699551347139244</v>
      </c>
      <c r="I442" s="1">
        <v>671.95141888853891</v>
      </c>
      <c r="K442" s="1">
        <f t="shared" si="18"/>
        <v>0.5518073717176033</v>
      </c>
      <c r="L442" s="1">
        <f t="shared" si="19"/>
        <v>0.98441563010144617</v>
      </c>
      <c r="M442" s="1">
        <f t="shared" si="20"/>
        <v>335.37503877586198</v>
      </c>
      <c r="N442"/>
      <c r="P442" s="1"/>
    </row>
    <row r="443" spans="1:19" x14ac:dyDescent="0.3">
      <c r="A443" s="1">
        <v>443</v>
      </c>
      <c r="C443" s="1" t="s">
        <v>15</v>
      </c>
      <c r="D443" s="6">
        <v>19.7</v>
      </c>
      <c r="E443" s="1">
        <v>571</v>
      </c>
      <c r="F443" s="1">
        <v>30</v>
      </c>
      <c r="G443" s="1">
        <v>0.50645261138151731</v>
      </c>
      <c r="H443" s="1">
        <v>1.8719693499256176</v>
      </c>
      <c r="I443" s="1">
        <v>819.57215666546858</v>
      </c>
      <c r="K443" s="1">
        <f t="shared" si="18"/>
        <v>0.59052428899680132</v>
      </c>
      <c r="L443" s="1">
        <f t="shared" si="19"/>
        <v>0.93545068852810753</v>
      </c>
      <c r="M443" s="1">
        <f t="shared" si="20"/>
        <v>409.05344656604098</v>
      </c>
      <c r="N443"/>
      <c r="P443" s="1"/>
    </row>
    <row r="444" spans="1:19" x14ac:dyDescent="0.3">
      <c r="A444" s="1">
        <v>444</v>
      </c>
      <c r="C444" s="1" t="s">
        <v>15</v>
      </c>
      <c r="D444" s="6">
        <v>19.7</v>
      </c>
      <c r="E444" s="1">
        <v>572</v>
      </c>
      <c r="F444" s="1">
        <v>45</v>
      </c>
      <c r="G444" s="1">
        <v>0.53638875963176402</v>
      </c>
      <c r="H444" s="1">
        <v>1.8626864861035677</v>
      </c>
      <c r="I444" s="1">
        <v>962.23649460302693</v>
      </c>
      <c r="K444" s="1">
        <f t="shared" si="18"/>
        <v>0.62542987001958861</v>
      </c>
      <c r="L444" s="1">
        <f t="shared" si="19"/>
        <v>0.93081190458958063</v>
      </c>
      <c r="M444" s="1">
        <f t="shared" si="20"/>
        <v>480.25808506041676</v>
      </c>
      <c r="N444"/>
      <c r="P444" s="1"/>
    </row>
    <row r="445" spans="1:19" x14ac:dyDescent="0.3">
      <c r="A445" s="1">
        <v>445</v>
      </c>
      <c r="C445" s="1" t="s">
        <v>15</v>
      </c>
      <c r="D445" s="6">
        <v>19.7</v>
      </c>
      <c r="E445" s="1">
        <v>573</v>
      </c>
      <c r="F445" s="1">
        <v>0</v>
      </c>
      <c r="G445" s="1">
        <v>0.40332004044831093</v>
      </c>
      <c r="H445" s="1">
        <v>1.8358693239509782</v>
      </c>
      <c r="I445" s="1">
        <v>422.36128412018616</v>
      </c>
      <c r="K445" s="1">
        <f t="shared" si="18"/>
        <v>0.47027160048441963</v>
      </c>
      <c r="L445" s="1">
        <f t="shared" si="19"/>
        <v>0.91741097321161424</v>
      </c>
      <c r="M445" s="1">
        <f t="shared" si="20"/>
        <v>210.80308495148313</v>
      </c>
      <c r="N445" s="1">
        <f>SLOPE(K445:K448,F445:F448)</f>
        <v>1.488172193803196E-3</v>
      </c>
      <c r="O445" s="1">
        <f>SLOPE(L445:L448,F445:F448)</f>
        <v>3.3674135257454106E-4</v>
      </c>
      <c r="P445" s="1">
        <f>SLOPE(M445:M448,F445:F448)</f>
        <v>4.8787576732882343</v>
      </c>
      <c r="Q445" s="1">
        <f>(N445*41.35/0.31*60)/1000</f>
        <v>1.1910178105889449E-2</v>
      </c>
      <c r="R445" s="1">
        <f>O445*41.35/0.31*60/1000</f>
        <v>2.6950170830239884E-3</v>
      </c>
      <c r="S445" s="1">
        <f>(O445*41.35/0.31*60)/1000</f>
        <v>2.6950170830239884E-3</v>
      </c>
    </row>
    <row r="446" spans="1:19" x14ac:dyDescent="0.3">
      <c r="A446" s="1">
        <v>446</v>
      </c>
      <c r="C446" s="1" t="s">
        <v>15</v>
      </c>
      <c r="D446" s="6">
        <v>19.7</v>
      </c>
      <c r="E446" s="1">
        <v>574</v>
      </c>
      <c r="F446" s="1">
        <v>15</v>
      </c>
      <c r="G446" s="1">
        <v>0.41883929245508306</v>
      </c>
      <c r="H446" s="1">
        <v>1.875063637866301</v>
      </c>
      <c r="I446" s="1">
        <v>551.92656533940544</v>
      </c>
      <c r="K446" s="1">
        <f t="shared" si="18"/>
        <v>0.48836706499799398</v>
      </c>
      <c r="L446" s="1">
        <f t="shared" si="19"/>
        <v>0.93699694984094983</v>
      </c>
      <c r="M446" s="1">
        <f t="shared" si="20"/>
        <v>275.46990459266459</v>
      </c>
      <c r="N446"/>
      <c r="P446" s="1"/>
    </row>
    <row r="447" spans="1:19" x14ac:dyDescent="0.3">
      <c r="A447" s="1">
        <v>447</v>
      </c>
      <c r="C447" s="1" t="s">
        <v>15</v>
      </c>
      <c r="D447" s="6">
        <v>19.7</v>
      </c>
      <c r="E447" s="1">
        <v>575</v>
      </c>
      <c r="F447" s="1">
        <v>30</v>
      </c>
      <c r="G447" s="1">
        <v>0.42859753738583911</v>
      </c>
      <c r="H447" s="1">
        <v>1.9049750879595737</v>
      </c>
      <c r="I447" s="1">
        <v>623.39814451832217</v>
      </c>
      <c r="K447" s="1">
        <f t="shared" si="18"/>
        <v>0.4997451890713841</v>
      </c>
      <c r="L447" s="1">
        <f t="shared" si="19"/>
        <v>0.95194414253175841</v>
      </c>
      <c r="M447" s="1">
        <f t="shared" si="20"/>
        <v>311.14180432337611</v>
      </c>
      <c r="N447"/>
      <c r="P447" s="1"/>
    </row>
    <row r="448" spans="1:19" x14ac:dyDescent="0.3">
      <c r="A448" s="1">
        <v>448</v>
      </c>
      <c r="C448" s="1" t="s">
        <v>15</v>
      </c>
      <c r="D448" s="6">
        <v>19.7</v>
      </c>
      <c r="E448" s="1">
        <v>576</v>
      </c>
      <c r="F448" s="1">
        <v>45</v>
      </c>
      <c r="G448" s="1">
        <v>0.4638825075136514</v>
      </c>
      <c r="H448" s="1">
        <v>1.8595921981628842</v>
      </c>
      <c r="I448" s="1">
        <v>887.28699755014679</v>
      </c>
      <c r="K448" s="1">
        <f t="shared" si="18"/>
        <v>0.54088750215011605</v>
      </c>
      <c r="L448" s="1">
        <f t="shared" si="19"/>
        <v>0.92926564327673844</v>
      </c>
      <c r="M448" s="1">
        <f t="shared" si="20"/>
        <v>442.85033537232431</v>
      </c>
      <c r="N448"/>
      <c r="P448" s="1"/>
    </row>
    <row r="449" spans="1:19" x14ac:dyDescent="0.3">
      <c r="A449" s="1">
        <v>449</v>
      </c>
      <c r="C449" s="1" t="s">
        <v>15</v>
      </c>
      <c r="D449" s="6">
        <v>19.7</v>
      </c>
      <c r="E449" s="1">
        <v>577</v>
      </c>
      <c r="F449" s="1">
        <v>0</v>
      </c>
      <c r="G449" s="1">
        <v>0.46191743854429479</v>
      </c>
      <c r="H449" s="1">
        <v>1.9132265224680625</v>
      </c>
      <c r="I449" s="1">
        <v>445.88583990849867</v>
      </c>
      <c r="K449" s="1">
        <f t="shared" si="18"/>
        <v>0.53859622962060227</v>
      </c>
      <c r="L449" s="1">
        <f t="shared" si="19"/>
        <v>0.9560675060326711</v>
      </c>
      <c r="M449" s="1">
        <f t="shared" si="20"/>
        <v>222.54433377976923</v>
      </c>
      <c r="N449" s="1">
        <f>SLOPE(K449:K452,F449:F452)</f>
        <v>1.1048404367923528E-2</v>
      </c>
      <c r="O449" s="1">
        <f>SLOPE(L449:L452,F449:F452)</f>
        <v>-3.3330521632377594E-4</v>
      </c>
      <c r="P449" s="1">
        <f>SLOPE(M449:M452,F449:F452)</f>
        <v>2.6126311888425477</v>
      </c>
      <c r="Q449" s="1">
        <f>(N449*41.35/0.31*60)/1000</f>
        <v>8.8422874957478304E-2</v>
      </c>
      <c r="R449" s="1">
        <f>O449*41.35/0.31*60/1000</f>
        <v>-2.667516908707381E-3</v>
      </c>
      <c r="S449" s="1">
        <f>(O449*41.35/0.31*60)/1000</f>
        <v>-2.667516908707381E-3</v>
      </c>
    </row>
    <row r="450" spans="1:19" x14ac:dyDescent="0.3">
      <c r="A450" s="1">
        <v>450</v>
      </c>
      <c r="C450" s="1" t="s">
        <v>15</v>
      </c>
      <c r="D450" s="6">
        <v>19.7</v>
      </c>
      <c r="E450" s="1">
        <v>578</v>
      </c>
      <c r="F450" s="1">
        <v>15</v>
      </c>
      <c r="G450" s="1">
        <v>0.74205000225393536</v>
      </c>
      <c r="H450" s="1">
        <v>1.9070379465866958</v>
      </c>
      <c r="I450" s="1">
        <v>589.01334992579086</v>
      </c>
      <c r="K450" s="1">
        <f t="shared" si="18"/>
        <v>0.86523109987674507</v>
      </c>
      <c r="L450" s="1">
        <f t="shared" si="19"/>
        <v>0.9529749834069865</v>
      </c>
      <c r="M450" s="1">
        <f t="shared" si="20"/>
        <v>293.98014427532564</v>
      </c>
      <c r="N450"/>
      <c r="P450" s="1"/>
    </row>
    <row r="451" spans="1:19" x14ac:dyDescent="0.3">
      <c r="A451" s="1">
        <v>451</v>
      </c>
      <c r="C451" s="1" t="s">
        <v>15</v>
      </c>
      <c r="D451" s="6">
        <v>19.7</v>
      </c>
      <c r="E451" s="1">
        <v>579</v>
      </c>
      <c r="F451" s="1">
        <v>30</v>
      </c>
      <c r="G451" s="1">
        <v>0.85782611450705049</v>
      </c>
      <c r="H451" s="1">
        <v>1.8967236534510845</v>
      </c>
      <c r="I451" s="1">
        <v>675.0844799268981</v>
      </c>
      <c r="K451" s="1">
        <f t="shared" ref="K451:K514" si="21">(G451*28*1)/(0.082*(D451+273.15))</f>
        <v>1.0002261711521931</v>
      </c>
      <c r="L451" s="1">
        <f t="shared" ref="L451:L514" si="22">(H451*12*1)/(0.082*(D451+273.15))</f>
        <v>0.94782077903084549</v>
      </c>
      <c r="M451" s="1">
        <f t="shared" ref="M451:M514" si="23">(I451*12*1)/(0.0821*(D451+273.15))</f>
        <v>336.93876858978945</v>
      </c>
      <c r="N451"/>
      <c r="P451" s="1"/>
    </row>
    <row r="452" spans="1:19" x14ac:dyDescent="0.3">
      <c r="A452" s="1">
        <v>452</v>
      </c>
      <c r="C452" s="1" t="s">
        <v>15</v>
      </c>
      <c r="D452" s="6">
        <v>19.7</v>
      </c>
      <c r="E452" s="1">
        <v>580</v>
      </c>
      <c r="F452" s="1">
        <v>45</v>
      </c>
      <c r="G452" s="1">
        <v>0.89709873678731333</v>
      </c>
      <c r="H452" s="1">
        <v>1.8833150723747902</v>
      </c>
      <c r="I452" s="1">
        <v>678.92651525760266</v>
      </c>
      <c r="K452" s="1">
        <f t="shared" si="21"/>
        <v>1.0460180909249626</v>
      </c>
      <c r="L452" s="1">
        <f t="shared" si="22"/>
        <v>0.94112031334186264</v>
      </c>
      <c r="M452" s="1">
        <f t="shared" si="23"/>
        <v>338.85635178374201</v>
      </c>
      <c r="N452"/>
      <c r="P452" s="1"/>
    </row>
    <row r="453" spans="1:19" x14ac:dyDescent="0.3">
      <c r="A453" s="1">
        <v>453</v>
      </c>
      <c r="C453" s="1" t="s">
        <v>15</v>
      </c>
      <c r="D453" s="6">
        <v>19.7</v>
      </c>
      <c r="E453" s="1">
        <v>581</v>
      </c>
      <c r="F453" s="1">
        <v>0</v>
      </c>
      <c r="G453" s="1">
        <v>0.39870931764704021</v>
      </c>
      <c r="H453" s="1">
        <v>1.8069893031712669</v>
      </c>
      <c r="I453" s="1">
        <v>389.55219177118568</v>
      </c>
      <c r="K453" s="1">
        <f t="shared" si="21"/>
        <v>0.46489549274443864</v>
      </c>
      <c r="L453" s="1">
        <f t="shared" si="22"/>
        <v>0.90297920095841977</v>
      </c>
      <c r="M453" s="1">
        <f t="shared" si="23"/>
        <v>194.42786747378614</v>
      </c>
      <c r="N453" s="1">
        <f>SLOPE(K453:K456,F453:F456)</f>
        <v>2.6357457946825764E-3</v>
      </c>
      <c r="O453" s="1">
        <f>SLOPE(L453:L456,F453:F456)</f>
        <v>-2.3365726505171733E-4</v>
      </c>
      <c r="P453" s="1">
        <f>SLOPE(M453:M456,F453:F456)</f>
        <v>4.3195625207027346</v>
      </c>
      <c r="Q453" s="1">
        <f>(N453*41.35/0.31*60)/1000</f>
        <v>2.1094468763249906E-2</v>
      </c>
      <c r="R453" s="1">
        <f>O453*41.35/0.31*60/1000</f>
        <v>-1.8700118535268089E-3</v>
      </c>
      <c r="S453" s="1">
        <f>(O453*41.35/0.31*60)/1000</f>
        <v>-1.8700118535268089E-3</v>
      </c>
    </row>
    <row r="454" spans="1:19" x14ac:dyDescent="0.3">
      <c r="A454" s="1">
        <v>454</v>
      </c>
      <c r="C454" s="1" t="s">
        <v>15</v>
      </c>
      <c r="D454" s="6">
        <v>19.7</v>
      </c>
      <c r="E454" s="1">
        <v>582</v>
      </c>
      <c r="F454" s="1">
        <v>15</v>
      </c>
      <c r="G454" s="1">
        <v>0.46651857564327603</v>
      </c>
      <c r="H454" s="1">
        <v>1.7677949892559441</v>
      </c>
      <c r="I454" s="1">
        <v>672.5622557303268</v>
      </c>
      <c r="K454" s="1">
        <f t="shared" si="21"/>
        <v>0.54396116042141496</v>
      </c>
      <c r="L454" s="1">
        <f t="shared" si="22"/>
        <v>0.88339322432908429</v>
      </c>
      <c r="M454" s="1">
        <f t="shared" si="23"/>
        <v>335.67991115761714</v>
      </c>
      <c r="N454"/>
      <c r="P454" s="1"/>
    </row>
    <row r="455" spans="1:19" x14ac:dyDescent="0.3">
      <c r="A455" s="1">
        <v>455</v>
      </c>
      <c r="C455" s="1" t="s">
        <v>15</v>
      </c>
      <c r="D455" s="6">
        <v>19.7</v>
      </c>
      <c r="E455" s="1">
        <v>583</v>
      </c>
      <c r="F455" s="1">
        <v>30</v>
      </c>
      <c r="G455" s="1">
        <v>0.50511061306098115</v>
      </c>
      <c r="H455" s="1">
        <v>1.7595435547474554</v>
      </c>
      <c r="I455" s="1">
        <v>786.50442168976519</v>
      </c>
      <c r="K455" s="1">
        <f t="shared" si="21"/>
        <v>0.58895951751323095</v>
      </c>
      <c r="L455" s="1">
        <f t="shared" si="22"/>
        <v>0.87926986082817171</v>
      </c>
      <c r="M455" s="1">
        <f t="shared" si="23"/>
        <v>392.54913898075404</v>
      </c>
      <c r="N455"/>
      <c r="P455" s="1"/>
    </row>
    <row r="456" spans="1:19" x14ac:dyDescent="0.3">
      <c r="A456" s="1">
        <v>456</v>
      </c>
      <c r="C456" s="1" t="s">
        <v>15</v>
      </c>
      <c r="D456" s="6">
        <v>19.7</v>
      </c>
      <c r="E456" s="1">
        <v>584</v>
      </c>
      <c r="F456" s="1">
        <v>45</v>
      </c>
      <c r="G456" s="1">
        <v>0.49887032087048783</v>
      </c>
      <c r="H456" s="1">
        <v>1.7863607169000446</v>
      </c>
      <c r="I456" s="1">
        <v>784.30137350061455</v>
      </c>
      <c r="K456" s="1">
        <f t="shared" si="21"/>
        <v>0.5816833301146288</v>
      </c>
      <c r="L456" s="1">
        <f t="shared" si="22"/>
        <v>0.8926707922061381</v>
      </c>
      <c r="M456" s="1">
        <f t="shared" si="23"/>
        <v>391.44958423454392</v>
      </c>
      <c r="N456"/>
      <c r="P456" s="1"/>
    </row>
    <row r="457" spans="1:19" x14ac:dyDescent="0.3">
      <c r="A457" s="1">
        <v>457</v>
      </c>
      <c r="C457" s="1" t="s">
        <v>15</v>
      </c>
      <c r="D457" s="6">
        <v>19.7</v>
      </c>
      <c r="E457" s="1">
        <v>585</v>
      </c>
      <c r="F457" s="1">
        <v>0</v>
      </c>
      <c r="G457" s="1">
        <v>0.3990639886317533</v>
      </c>
      <c r="H457" s="1">
        <v>1.8317436066967341</v>
      </c>
      <c r="I457" s="1">
        <v>394.98368693194772</v>
      </c>
      <c r="K457" s="1">
        <f t="shared" si="21"/>
        <v>0.46530903949366792</v>
      </c>
      <c r="L457" s="1">
        <f t="shared" si="22"/>
        <v>0.91534929146115807</v>
      </c>
      <c r="M457" s="1">
        <f t="shared" si="23"/>
        <v>197.13875973317678</v>
      </c>
      <c r="N457" s="1">
        <f>SLOPE(K457:K460,F457:F460)</f>
        <v>2.4388081265360815E-4</v>
      </c>
      <c r="O457" s="1">
        <f>SLOPE(L457:L460,F457:F460)</f>
        <v>2.1991272004867762E-4</v>
      </c>
      <c r="P457" s="1">
        <f>SLOPE(M457:M460,F457:F460)</f>
        <v>1.5084499508332276</v>
      </c>
      <c r="Q457" s="1">
        <f>(N457*41.35/0.31*60)/1000</f>
        <v>1.9518332135277478E-3</v>
      </c>
      <c r="R457" s="1">
        <f>O457*41.35/0.31*60/1000</f>
        <v>1.7600111562605459E-3</v>
      </c>
      <c r="S457" s="1">
        <f>(O457*41.35/0.31*60)/1000</f>
        <v>1.7600111562605459E-3</v>
      </c>
    </row>
    <row r="458" spans="1:19" x14ac:dyDescent="0.3">
      <c r="A458" s="1">
        <v>458</v>
      </c>
      <c r="C458" s="1" t="s">
        <v>15</v>
      </c>
      <c r="D458" s="6">
        <v>19.7</v>
      </c>
      <c r="E458" s="1">
        <v>586</v>
      </c>
      <c r="F458" s="1">
        <v>15</v>
      </c>
      <c r="G458" s="1">
        <v>0.40396228250171046</v>
      </c>
      <c r="H458" s="1">
        <v>1.8276178894424895</v>
      </c>
      <c r="I458" s="1">
        <v>509.84852836111378</v>
      </c>
      <c r="K458" s="1">
        <f t="shared" si="21"/>
        <v>0.4710204554086998</v>
      </c>
      <c r="L458" s="1">
        <f t="shared" si="22"/>
        <v>0.91328760971070166</v>
      </c>
      <c r="M458" s="1">
        <f t="shared" si="23"/>
        <v>254.4685004933192</v>
      </c>
      <c r="N458"/>
      <c r="P458" s="1"/>
    </row>
    <row r="459" spans="1:19" x14ac:dyDescent="0.3">
      <c r="A459" s="1">
        <v>459</v>
      </c>
      <c r="C459" s="1" t="s">
        <v>15</v>
      </c>
      <c r="D459" s="6">
        <v>19.7</v>
      </c>
      <c r="E459" s="1">
        <v>587</v>
      </c>
      <c r="F459" s="1">
        <v>30</v>
      </c>
      <c r="G459" s="1">
        <v>0.40744189243281492</v>
      </c>
      <c r="H459" s="1">
        <v>1.825555030815367</v>
      </c>
      <c r="I459" s="1">
        <v>533.4620498756326</v>
      </c>
      <c r="K459" s="1">
        <f t="shared" si="21"/>
        <v>0.47507768432681424</v>
      </c>
      <c r="L459" s="1">
        <f t="shared" si="22"/>
        <v>0.91225676883547335</v>
      </c>
      <c r="M459" s="1">
        <f t="shared" si="23"/>
        <v>266.25415265648553</v>
      </c>
      <c r="N459"/>
      <c r="P459" s="1"/>
    </row>
    <row r="460" spans="1:19" x14ac:dyDescent="0.3">
      <c r="A460" s="1">
        <v>460</v>
      </c>
      <c r="C460" s="1" t="s">
        <v>15</v>
      </c>
      <c r="D460" s="6">
        <v>19.7</v>
      </c>
      <c r="E460" s="1">
        <v>588</v>
      </c>
      <c r="F460" s="1">
        <v>45</v>
      </c>
      <c r="G460" s="1">
        <v>0.40836211985261123</v>
      </c>
      <c r="H460" s="1">
        <v>1.8544350515950787</v>
      </c>
      <c r="I460" s="1">
        <v>538.22767784849987</v>
      </c>
      <c r="K460" s="1">
        <f t="shared" si="21"/>
        <v>0.47615067048697685</v>
      </c>
      <c r="L460" s="1">
        <f t="shared" si="22"/>
        <v>0.92668854108866805</v>
      </c>
      <c r="M460" s="1">
        <f t="shared" si="23"/>
        <v>268.63270655378273</v>
      </c>
      <c r="N460"/>
      <c r="P460" s="1"/>
    </row>
    <row r="461" spans="1:19" x14ac:dyDescent="0.3">
      <c r="A461" s="1">
        <v>461</v>
      </c>
      <c r="C461" s="1" t="s">
        <v>15</v>
      </c>
      <c r="D461" s="6">
        <v>19.7</v>
      </c>
      <c r="E461" s="1">
        <v>589</v>
      </c>
      <c r="F461" s="1">
        <v>0</v>
      </c>
      <c r="G461" s="1">
        <v>0.40166171395221983</v>
      </c>
      <c r="H461" s="1">
        <v>1.8822836430612289</v>
      </c>
      <c r="I461" s="1">
        <v>390.24832564943938</v>
      </c>
      <c r="K461" s="1">
        <f t="shared" si="21"/>
        <v>0.46833799000829346</v>
      </c>
      <c r="L461" s="1">
        <f t="shared" si="22"/>
        <v>0.94060489290424842</v>
      </c>
      <c r="M461" s="1">
        <f t="shared" si="23"/>
        <v>194.77531212506574</v>
      </c>
      <c r="N461" s="1">
        <f>SLOPE(K461:K464,F461:F464)</f>
        <v>3.0568928625463658E-3</v>
      </c>
      <c r="O461" s="1">
        <f>SLOPE(L461:L464,F461:F464)</f>
        <v>-1.5703142665975923E-3</v>
      </c>
      <c r="P461" s="1">
        <f>SLOPE(M461:M464,F461:F464)</f>
        <v>3.4874287661687235</v>
      </c>
      <c r="Q461" s="1">
        <f>(N461*41.35/0.31*60)/1000</f>
        <v>2.4465003845088817E-2</v>
      </c>
      <c r="R461" s="1">
        <f>O461*41.35/0.31*60/1000</f>
        <v>-1.2567579662672988E-2</v>
      </c>
      <c r="S461" s="1">
        <f>(O461*41.35/0.31*60)/1000</f>
        <v>-1.2567579662672988E-2</v>
      </c>
    </row>
    <row r="462" spans="1:19" x14ac:dyDescent="0.3">
      <c r="A462" s="1">
        <v>462</v>
      </c>
      <c r="C462" s="1" t="s">
        <v>15</v>
      </c>
      <c r="D462" s="6">
        <v>19.7</v>
      </c>
      <c r="E462" s="1">
        <v>590</v>
      </c>
      <c r="F462" s="1">
        <v>15</v>
      </c>
      <c r="G462" s="1">
        <v>0.49598502448133502</v>
      </c>
      <c r="H462" s="1">
        <v>1.8399950412052228</v>
      </c>
      <c r="I462" s="1">
        <v>641.9837267435305</v>
      </c>
      <c r="K462" s="1">
        <f t="shared" si="21"/>
        <v>0.57831907142495254</v>
      </c>
      <c r="L462" s="1">
        <f t="shared" si="22"/>
        <v>0.91947265496207076</v>
      </c>
      <c r="M462" s="1">
        <f t="shared" si="23"/>
        <v>320.41798141629948</v>
      </c>
      <c r="N462"/>
      <c r="P462" s="1"/>
    </row>
    <row r="463" spans="1:19" x14ac:dyDescent="0.3">
      <c r="A463" s="1">
        <v>463</v>
      </c>
      <c r="C463" s="1" t="s">
        <v>15</v>
      </c>
      <c r="D463" s="6">
        <v>19.7</v>
      </c>
      <c r="E463" s="1">
        <v>591</v>
      </c>
      <c r="F463" s="1">
        <v>30</v>
      </c>
      <c r="G463" s="1">
        <v>0.52221150594552801</v>
      </c>
      <c r="H463" s="1">
        <v>1.7647007013152609</v>
      </c>
      <c r="I463" s="1">
        <v>697.34700644448981</v>
      </c>
      <c r="K463" s="1">
        <f t="shared" si="21"/>
        <v>0.60889917698958451</v>
      </c>
      <c r="L463" s="1">
        <f t="shared" si="22"/>
        <v>0.8818469630162421</v>
      </c>
      <c r="M463" s="1">
        <f t="shared" si="23"/>
        <v>348.05013093565037</v>
      </c>
      <c r="N463"/>
      <c r="P463" s="1"/>
    </row>
    <row r="464" spans="1:19" x14ac:dyDescent="0.3">
      <c r="A464" s="1">
        <v>464</v>
      </c>
      <c r="C464" s="1" t="s">
        <v>15</v>
      </c>
      <c r="D464" s="6">
        <v>19.7</v>
      </c>
      <c r="E464" s="1">
        <v>592</v>
      </c>
      <c r="F464" s="1">
        <v>45</v>
      </c>
      <c r="G464" s="1">
        <v>0.52400403227367276</v>
      </c>
      <c r="H464" s="1">
        <v>1.7502606909254053</v>
      </c>
      <c r="I464" s="1">
        <v>721.16138872229931</v>
      </c>
      <c r="K464" s="1">
        <f t="shared" si="21"/>
        <v>0.61098926461406777</v>
      </c>
      <c r="L464" s="1">
        <f t="shared" si="22"/>
        <v>0.87463107688964503</v>
      </c>
      <c r="M464" s="1">
        <f t="shared" si="23"/>
        <v>359.9360339270516</v>
      </c>
      <c r="N464"/>
      <c r="P464" s="1"/>
    </row>
    <row r="465" spans="1:19" x14ac:dyDescent="0.3">
      <c r="A465" s="1">
        <v>465</v>
      </c>
      <c r="C465" s="1" t="s">
        <v>15</v>
      </c>
      <c r="D465" s="6">
        <v>19.7</v>
      </c>
      <c r="E465" s="1">
        <v>593</v>
      </c>
      <c r="F465" s="1">
        <v>0</v>
      </c>
      <c r="G465" s="1">
        <v>0.39947617383020373</v>
      </c>
      <c r="H465" s="1">
        <v>1.7812035703322389</v>
      </c>
      <c r="I465" s="1">
        <v>391.25446381076256</v>
      </c>
      <c r="K465" s="1">
        <f t="shared" si="21"/>
        <v>0.4657896478779075</v>
      </c>
      <c r="L465" s="1">
        <f t="shared" si="22"/>
        <v>0.8900936900180676</v>
      </c>
      <c r="M465" s="1">
        <f t="shared" si="23"/>
        <v>195.27748179891771</v>
      </c>
      <c r="N465" s="1">
        <f>SLOPE(K465:K468,F465:F468)</f>
        <v>-2.5096079744402673E-3</v>
      </c>
      <c r="O465" s="1">
        <f>SLOPE(L465:L468,F465:F468)</f>
        <v>-6.1366899722486599E-3</v>
      </c>
      <c r="P465" s="1">
        <f>SLOPE(M465:M468,F465:F468)</f>
        <v>0.72544769964230793</v>
      </c>
      <c r="Q465" s="1">
        <f>(N465*41.35/0.31*60)/1000</f>
        <v>-2.0084959305117105E-2</v>
      </c>
      <c r="R465" s="1">
        <f>O465*41.35/0.31*60/1000</f>
        <v>-4.9113315552093313E-2</v>
      </c>
      <c r="S465" s="1">
        <f>(O465*41.35/0.31*60)/1000</f>
        <v>-4.9113315552093313E-2</v>
      </c>
    </row>
    <row r="466" spans="1:19" x14ac:dyDescent="0.3">
      <c r="A466" s="1">
        <v>466</v>
      </c>
      <c r="C466" s="1" t="s">
        <v>15</v>
      </c>
      <c r="D466" s="6">
        <v>19.7</v>
      </c>
      <c r="E466" s="1">
        <v>594</v>
      </c>
      <c r="F466" s="1">
        <v>15</v>
      </c>
      <c r="G466" s="1">
        <v>0.42651743998900793</v>
      </c>
      <c r="H466" s="1">
        <v>1.7677949892559441</v>
      </c>
      <c r="I466" s="1">
        <v>627.92714200292926</v>
      </c>
      <c r="K466" s="1">
        <f t="shared" si="21"/>
        <v>0.49731979327185</v>
      </c>
      <c r="L466" s="1">
        <f t="shared" si="22"/>
        <v>0.88339322432908429</v>
      </c>
      <c r="M466" s="1">
        <f t="shared" si="23"/>
        <v>313.40225450521854</v>
      </c>
      <c r="N466"/>
      <c r="P466" s="1"/>
    </row>
    <row r="467" spans="1:19" x14ac:dyDescent="0.3">
      <c r="A467" s="1">
        <v>467</v>
      </c>
      <c r="B467" s="1" t="s">
        <v>118</v>
      </c>
      <c r="C467" s="1" t="s">
        <v>15</v>
      </c>
      <c r="D467" s="6">
        <v>19.7</v>
      </c>
      <c r="E467" s="1">
        <v>595</v>
      </c>
      <c r="F467" s="1">
        <v>30</v>
      </c>
      <c r="K467" s="1">
        <f t="shared" si="21"/>
        <v>0</v>
      </c>
      <c r="L467" s="1">
        <f t="shared" si="22"/>
        <v>0</v>
      </c>
      <c r="M467" s="1">
        <f t="shared" si="23"/>
        <v>0</v>
      </c>
      <c r="N467"/>
      <c r="P467" s="1"/>
    </row>
    <row r="468" spans="1:19" x14ac:dyDescent="0.3">
      <c r="A468" s="1">
        <v>468</v>
      </c>
      <c r="C468" s="1" t="s">
        <v>15</v>
      </c>
      <c r="D468" s="6">
        <v>19.7</v>
      </c>
      <c r="E468" s="1">
        <v>596</v>
      </c>
      <c r="F468" s="1">
        <v>45</v>
      </c>
      <c r="G468" s="1">
        <v>0.4340326305840107</v>
      </c>
      <c r="H468" s="1">
        <v>1.7564492668067719</v>
      </c>
      <c r="I468" s="1">
        <v>673.23821181500784</v>
      </c>
      <c r="K468" s="1">
        <f t="shared" si="21"/>
        <v>0.50608251357984413</v>
      </c>
      <c r="L468" s="1">
        <f t="shared" si="22"/>
        <v>0.87772359951532941</v>
      </c>
      <c r="M468" s="1">
        <f t="shared" si="23"/>
        <v>336.01728494943927</v>
      </c>
      <c r="N468"/>
      <c r="P468" s="1"/>
    </row>
    <row r="469" spans="1:19" x14ac:dyDescent="0.3">
      <c r="A469" s="1">
        <v>469</v>
      </c>
      <c r="C469" s="1" t="s">
        <v>15</v>
      </c>
      <c r="D469" s="6">
        <v>19.7</v>
      </c>
      <c r="E469" s="1">
        <v>597</v>
      </c>
      <c r="F469" s="1">
        <v>0</v>
      </c>
      <c r="G469" s="1">
        <v>0.40301329797504554</v>
      </c>
      <c r="H469" s="1">
        <v>1.8214293135611228</v>
      </c>
      <c r="I469" s="1">
        <v>392.11568872733733</v>
      </c>
      <c r="K469" s="1">
        <f t="shared" si="21"/>
        <v>0.46991393843103213</v>
      </c>
      <c r="L469" s="1">
        <f t="shared" si="22"/>
        <v>0.91019508708501717</v>
      </c>
      <c r="M469" s="1">
        <f t="shared" si="23"/>
        <v>195.70732439121218</v>
      </c>
      <c r="N469" s="1">
        <f>SLOPE(K469:K472,F469:F472)</f>
        <v>1.6351116874032301E-3</v>
      </c>
      <c r="O469" s="1">
        <f>SLOPE(L469:L472,F469:F472)</f>
        <v>-5.9101543513082467E-4</v>
      </c>
      <c r="P469" s="1">
        <f>SLOPE(M469:M472,F469:F472)</f>
        <v>2.4440724675063739</v>
      </c>
      <c r="Q469" s="1">
        <f>(N469*41.35/0.31*60)/1000</f>
        <v>1.3086168053056173E-2</v>
      </c>
      <c r="R469" s="1">
        <f>O469*41.35/0.31*60/1000</f>
        <v>-4.7300299824502455E-3</v>
      </c>
      <c r="S469" s="1">
        <f>(O469*41.35/0.31*60)/1000</f>
        <v>-4.7300299824502455E-3</v>
      </c>
    </row>
    <row r="470" spans="1:19" x14ac:dyDescent="0.3">
      <c r="A470" s="1">
        <v>470</v>
      </c>
      <c r="C470" s="1" t="s">
        <v>15</v>
      </c>
      <c r="D470" s="6">
        <v>19.7</v>
      </c>
      <c r="E470" s="1">
        <v>598</v>
      </c>
      <c r="F470" s="1">
        <v>15</v>
      </c>
      <c r="G470" s="1">
        <v>0.44280354817894363</v>
      </c>
      <c r="H470" s="1">
        <v>1.7873921462136055</v>
      </c>
      <c r="I470" s="1">
        <v>557.46628684751124</v>
      </c>
      <c r="K470" s="1">
        <f t="shared" si="21"/>
        <v>0.5163094129188931</v>
      </c>
      <c r="L470" s="1">
        <f t="shared" si="22"/>
        <v>0.89318621264375209</v>
      </c>
      <c r="M470" s="1">
        <f t="shared" si="23"/>
        <v>278.23481328005386</v>
      </c>
      <c r="N470"/>
      <c r="P470" s="1"/>
    </row>
    <row r="471" spans="1:19" x14ac:dyDescent="0.3">
      <c r="A471" s="1">
        <v>471</v>
      </c>
      <c r="C471" s="1" t="s">
        <v>15</v>
      </c>
      <c r="D471" s="6">
        <v>19.7</v>
      </c>
      <c r="E471" s="1">
        <v>599</v>
      </c>
      <c r="F471" s="1">
        <v>30</v>
      </c>
      <c r="G471" s="1">
        <v>0.4609972111244986</v>
      </c>
      <c r="H471" s="1">
        <v>1.7801721410186779</v>
      </c>
      <c r="I471" s="1">
        <v>602.57282720655871</v>
      </c>
      <c r="K471" s="1">
        <f t="shared" si="21"/>
        <v>0.53752324346043978</v>
      </c>
      <c r="L471" s="1">
        <f t="shared" si="22"/>
        <v>0.88957826958045361</v>
      </c>
      <c r="M471" s="1">
        <f t="shared" si="23"/>
        <v>300.74776183068388</v>
      </c>
      <c r="N471"/>
      <c r="P471" s="1"/>
    </row>
    <row r="472" spans="1:19" x14ac:dyDescent="0.3">
      <c r="A472" s="1">
        <v>472</v>
      </c>
      <c r="C472" s="1" t="s">
        <v>15</v>
      </c>
      <c r="D472" s="6">
        <v>19.7</v>
      </c>
      <c r="E472" s="1">
        <v>600</v>
      </c>
      <c r="F472" s="1">
        <v>45</v>
      </c>
      <c r="G472" s="1">
        <v>0.46706496067378006</v>
      </c>
      <c r="H472" s="1">
        <v>1.7647007013152609</v>
      </c>
      <c r="I472" s="1">
        <v>621.92516558752459</v>
      </c>
      <c r="K472" s="1">
        <f t="shared" si="21"/>
        <v>0.54459824595401141</v>
      </c>
      <c r="L472" s="1">
        <f t="shared" si="22"/>
        <v>0.8818469630162421</v>
      </c>
      <c r="M472" s="1">
        <f t="shared" si="23"/>
        <v>310.40663158298753</v>
      </c>
      <c r="N472"/>
      <c r="P472" s="1"/>
    </row>
    <row r="473" spans="1:19" x14ac:dyDescent="0.3">
      <c r="A473" s="1">
        <v>473</v>
      </c>
      <c r="C473" s="1" t="s">
        <v>15</v>
      </c>
      <c r="D473" s="6">
        <v>19.7</v>
      </c>
      <c r="E473" s="1">
        <v>601</v>
      </c>
      <c r="F473" s="1">
        <v>0</v>
      </c>
      <c r="G473" s="1">
        <v>0.40306122648649323</v>
      </c>
      <c r="H473" s="1">
        <v>1.8719693499256176</v>
      </c>
      <c r="I473" s="1">
        <v>396.38604358524145</v>
      </c>
      <c r="K473" s="1">
        <f t="shared" si="21"/>
        <v>0.46996982312687391</v>
      </c>
      <c r="L473" s="1">
        <f t="shared" si="22"/>
        <v>0.93545068852810753</v>
      </c>
      <c r="M473" s="1">
        <f t="shared" si="23"/>
        <v>197.83868446546458</v>
      </c>
      <c r="N473" s="1">
        <f>SLOPE(K473:K476,F473:F476)</f>
        <v>1.7995617190336953E-3</v>
      </c>
      <c r="O473" s="1">
        <f>SLOPE(L473:L476,F473:F476)</f>
        <v>2.3709340130248242E-4</v>
      </c>
      <c r="P473" s="1">
        <f>SLOPE(M473:M476,F473:F476)</f>
        <v>1.6722845235512112</v>
      </c>
      <c r="Q473" s="1">
        <f>(N473*41.35/0.31*60)/1000</f>
        <v>1.4402298790072899E-2</v>
      </c>
      <c r="R473" s="1">
        <f>O473*41.35/0.31*60/1000</f>
        <v>1.8975120278434158E-3</v>
      </c>
      <c r="S473" s="1">
        <f>(O473*41.35/0.31*60)/1000</f>
        <v>1.8975120278434158E-3</v>
      </c>
    </row>
    <row r="474" spans="1:19" x14ac:dyDescent="0.3">
      <c r="A474" s="1">
        <v>474</v>
      </c>
      <c r="C474" s="1" t="s">
        <v>15</v>
      </c>
      <c r="D474" s="6">
        <v>19.7</v>
      </c>
      <c r="E474" s="1">
        <v>602</v>
      </c>
      <c r="F474" s="1">
        <v>15</v>
      </c>
      <c r="G474" s="1">
        <v>0.47242336825363529</v>
      </c>
      <c r="H474" s="1">
        <v>1.7873921462136055</v>
      </c>
      <c r="I474" s="1">
        <v>545.32842684117463</v>
      </c>
      <c r="K474" s="1">
        <f t="shared" si="21"/>
        <v>0.55084615494912448</v>
      </c>
      <c r="L474" s="1">
        <f t="shared" si="22"/>
        <v>0.89318621264375209</v>
      </c>
      <c r="M474" s="1">
        <f t="shared" si="23"/>
        <v>272.17673355010186</v>
      </c>
      <c r="N474"/>
      <c r="P474" s="1"/>
    </row>
    <row r="475" spans="1:19" x14ac:dyDescent="0.3">
      <c r="A475" s="1">
        <v>475</v>
      </c>
      <c r="C475" s="1" t="s">
        <v>15</v>
      </c>
      <c r="D475" s="6">
        <v>19.7</v>
      </c>
      <c r="E475" s="1">
        <v>603</v>
      </c>
      <c r="F475" s="1">
        <v>30</v>
      </c>
      <c r="G475" s="1">
        <v>0.47243295395592483</v>
      </c>
      <c r="H475" s="1">
        <v>1.8585607688493231</v>
      </c>
      <c r="I475" s="1">
        <v>537.1756810654208</v>
      </c>
      <c r="K475" s="1">
        <f t="shared" si="21"/>
        <v>0.55085733188829278</v>
      </c>
      <c r="L475" s="1">
        <f t="shared" si="22"/>
        <v>0.92875022283912445</v>
      </c>
      <c r="M475" s="1">
        <f t="shared" si="23"/>
        <v>268.10764856298209</v>
      </c>
      <c r="N475"/>
      <c r="P475" s="1"/>
    </row>
    <row r="476" spans="1:19" x14ac:dyDescent="0.3">
      <c r="A476" s="1">
        <v>476</v>
      </c>
      <c r="C476" s="1" t="s">
        <v>15</v>
      </c>
      <c r="D476" s="6">
        <v>19.7</v>
      </c>
      <c r="E476" s="1">
        <v>604</v>
      </c>
      <c r="F476" s="1">
        <v>45</v>
      </c>
      <c r="G476" s="1">
        <v>0.48022612991732427</v>
      </c>
      <c r="H476" s="1">
        <v>1.8719693499256176</v>
      </c>
      <c r="I476" s="1">
        <v>566.63159099163408</v>
      </c>
      <c r="K476" s="1">
        <f t="shared" si="21"/>
        <v>0.55994418343216923</v>
      </c>
      <c r="L476" s="1">
        <f t="shared" si="22"/>
        <v>0.93545068852810753</v>
      </c>
      <c r="M476" s="1">
        <f t="shared" si="23"/>
        <v>282.80927230539839</v>
      </c>
      <c r="N476"/>
      <c r="P476" s="1"/>
    </row>
    <row r="477" spans="1:19" x14ac:dyDescent="0.3">
      <c r="A477" s="1">
        <v>477</v>
      </c>
      <c r="C477" s="1" t="s">
        <v>15</v>
      </c>
      <c r="D477" s="6">
        <v>19.7</v>
      </c>
      <c r="E477" s="1">
        <v>605</v>
      </c>
      <c r="F477" s="1">
        <v>0</v>
      </c>
      <c r="G477" s="1">
        <v>0.39939948821188737</v>
      </c>
      <c r="H477" s="1">
        <v>1.8534036222815176</v>
      </c>
      <c r="I477" s="1">
        <v>388.52312429898461</v>
      </c>
      <c r="K477" s="1">
        <f t="shared" si="21"/>
        <v>0.4657002323645606</v>
      </c>
      <c r="L477" s="1">
        <f t="shared" si="22"/>
        <v>0.92617312065105406</v>
      </c>
      <c r="M477" s="1">
        <f t="shared" si="23"/>
        <v>193.91425364145991</v>
      </c>
      <c r="N477" s="1">
        <f>SLOPE(K477:K480,F477:F480)</f>
        <v>3.3102368170291854E-3</v>
      </c>
      <c r="O477" s="1">
        <f>SLOPE(L477:L480,F477:F480)</f>
        <v>-1.2095199602677341E-3</v>
      </c>
      <c r="P477" s="1">
        <f>SLOPE(M477:M480,F477:F480)</f>
        <v>4.3291054229824963</v>
      </c>
      <c r="Q477" s="1">
        <f>(N477*41.35/0.31*60)/1000</f>
        <v>2.6492572719514228E-2</v>
      </c>
      <c r="R477" s="1">
        <f>O477*41.35/0.31*60/1000</f>
        <v>-9.6800613594330599E-3</v>
      </c>
      <c r="S477" s="1">
        <f>(O477*41.35/0.31*60)/1000</f>
        <v>-9.6800613594330599E-3</v>
      </c>
    </row>
    <row r="478" spans="1:19" x14ac:dyDescent="0.3">
      <c r="A478" s="1">
        <v>478</v>
      </c>
      <c r="C478" s="1" t="s">
        <v>15</v>
      </c>
      <c r="D478" s="6">
        <v>19.7</v>
      </c>
      <c r="E478" s="1">
        <v>606</v>
      </c>
      <c r="F478" s="1">
        <v>15</v>
      </c>
      <c r="G478" s="1">
        <v>0.47397625202454147</v>
      </c>
      <c r="H478" s="1">
        <v>1.8606236274764454</v>
      </c>
      <c r="I478" s="1">
        <v>670.56006830446665</v>
      </c>
      <c r="K478" s="1">
        <f t="shared" si="21"/>
        <v>0.55265681909439868</v>
      </c>
      <c r="L478" s="1">
        <f t="shared" si="22"/>
        <v>0.92978106371435254</v>
      </c>
      <c r="M478" s="1">
        <f t="shared" si="23"/>
        <v>334.68060723964186</v>
      </c>
      <c r="N478"/>
      <c r="P478" s="1"/>
    </row>
    <row r="479" spans="1:19" x14ac:dyDescent="0.3">
      <c r="A479" s="1">
        <v>479</v>
      </c>
      <c r="C479" s="1" t="s">
        <v>15</v>
      </c>
      <c r="D479" s="6">
        <v>19.7</v>
      </c>
      <c r="E479" s="1">
        <v>607</v>
      </c>
      <c r="F479" s="1">
        <v>30</v>
      </c>
      <c r="G479" s="1">
        <v>0.48985976071831622</v>
      </c>
      <c r="H479" s="1">
        <v>1.7760464237644333</v>
      </c>
      <c r="I479" s="1">
        <v>708.22283718010556</v>
      </c>
      <c r="K479" s="1">
        <f t="shared" si="21"/>
        <v>0.57117700729637066</v>
      </c>
      <c r="L479" s="1">
        <f t="shared" si="22"/>
        <v>0.88751658782999721</v>
      </c>
      <c r="M479" s="1">
        <f t="shared" si="23"/>
        <v>353.47832418317722</v>
      </c>
      <c r="N479"/>
      <c r="P479" s="1"/>
    </row>
    <row r="480" spans="1:19" x14ac:dyDescent="0.3">
      <c r="A480" s="1">
        <v>480</v>
      </c>
      <c r="C480" s="1" t="s">
        <v>15</v>
      </c>
      <c r="D480" s="6">
        <v>19.7</v>
      </c>
      <c r="E480" s="1">
        <v>608</v>
      </c>
      <c r="F480" s="1">
        <v>45</v>
      </c>
      <c r="G480" s="1">
        <v>0.5360532600516299</v>
      </c>
      <c r="H480" s="1">
        <v>1.7605749840610165</v>
      </c>
      <c r="I480" s="1">
        <v>809.65477112455005</v>
      </c>
      <c r="K480" s="1">
        <f t="shared" si="21"/>
        <v>0.62503867714869588</v>
      </c>
      <c r="L480" s="1">
        <f t="shared" si="22"/>
        <v>0.87978528126578581</v>
      </c>
      <c r="M480" s="1">
        <f t="shared" si="23"/>
        <v>404.1036191427396</v>
      </c>
      <c r="N480"/>
      <c r="P480" s="1"/>
    </row>
    <row r="481" spans="1:19" x14ac:dyDescent="0.3">
      <c r="A481" s="1">
        <v>481</v>
      </c>
      <c r="C481" s="1" t="s">
        <v>15</v>
      </c>
      <c r="D481" s="6">
        <v>19.7</v>
      </c>
      <c r="E481" s="1">
        <v>609</v>
      </c>
      <c r="F481" s="1">
        <v>0</v>
      </c>
      <c r="G481" s="1">
        <v>0.39636082058610184</v>
      </c>
      <c r="H481" s="1">
        <v>1.8864093603154735</v>
      </c>
      <c r="I481" s="1">
        <v>389.93006681445382</v>
      </c>
      <c r="K481" s="1">
        <f t="shared" si="21"/>
        <v>0.46215714264819052</v>
      </c>
      <c r="L481" s="1">
        <f t="shared" si="22"/>
        <v>0.94266657465470471</v>
      </c>
      <c r="M481" s="1">
        <f t="shared" si="23"/>
        <v>194.61646720544252</v>
      </c>
      <c r="N481" s="1">
        <f>SLOPE(K481:K484,F481:F484)</f>
        <v>3.8138696959554718E-3</v>
      </c>
      <c r="O481" s="1">
        <f>SLOPE(L481:L484,F481:F484)</f>
        <v>-9.6555428646372848E-4</v>
      </c>
      <c r="P481" s="1">
        <f>SLOPE(M481:M484,F481:F484)</f>
        <v>4.3330757830291793</v>
      </c>
      <c r="Q481" s="1">
        <f>(N481*41.35/0.31*60)/1000</f>
        <v>3.0523260373114598E-2</v>
      </c>
      <c r="R481" s="1">
        <f>O481*41.35/0.31*60/1000</f>
        <v>-7.7275489829564835E-3</v>
      </c>
      <c r="S481" s="1">
        <f>(O481*41.35/0.31*60)/1000</f>
        <v>-7.7275489829564835E-3</v>
      </c>
    </row>
    <row r="482" spans="1:19" x14ac:dyDescent="0.3">
      <c r="A482" s="1">
        <v>482</v>
      </c>
      <c r="C482" s="1" t="s">
        <v>15</v>
      </c>
      <c r="D482" s="6">
        <v>19.7</v>
      </c>
      <c r="E482" s="1">
        <v>610</v>
      </c>
      <c r="F482" s="1">
        <v>15</v>
      </c>
      <c r="G482" s="1">
        <v>0.48908331883286321</v>
      </c>
      <c r="H482" s="1">
        <v>1.8564979102222008</v>
      </c>
      <c r="I482" s="1">
        <v>640.34565677441162</v>
      </c>
      <c r="K482" s="1">
        <f t="shared" si="21"/>
        <v>0.57027167522373368</v>
      </c>
      <c r="L482" s="1">
        <f t="shared" si="22"/>
        <v>0.92771938196389614</v>
      </c>
      <c r="M482" s="1">
        <f t="shared" si="23"/>
        <v>319.60041073489589</v>
      </c>
      <c r="N482"/>
      <c r="P482" s="1"/>
    </row>
    <row r="483" spans="1:19" x14ac:dyDescent="0.3">
      <c r="A483" s="1">
        <v>483</v>
      </c>
      <c r="C483" s="1" t="s">
        <v>15</v>
      </c>
      <c r="D483" s="6">
        <v>19.7</v>
      </c>
      <c r="E483" s="1">
        <v>611</v>
      </c>
      <c r="F483" s="1">
        <v>30</v>
      </c>
      <c r="G483" s="1">
        <v>0.54249485199020364</v>
      </c>
      <c r="H483" s="1">
        <v>1.8049264445441446</v>
      </c>
      <c r="I483" s="1">
        <v>774.48395975512346</v>
      </c>
      <c r="K483" s="1">
        <f t="shared" si="21"/>
        <v>0.63254958026983366</v>
      </c>
      <c r="L483" s="1">
        <f t="shared" si="22"/>
        <v>0.90194836008319168</v>
      </c>
      <c r="M483" s="1">
        <f t="shared" si="23"/>
        <v>386.54965334219031</v>
      </c>
      <c r="N483"/>
      <c r="P483" s="1"/>
    </row>
    <row r="484" spans="1:19" x14ac:dyDescent="0.3">
      <c r="A484" s="1">
        <v>484</v>
      </c>
      <c r="C484" s="1" t="s">
        <v>15</v>
      </c>
      <c r="D484" s="6">
        <v>19.7</v>
      </c>
      <c r="E484" s="1">
        <v>612</v>
      </c>
      <c r="F484" s="1">
        <v>45</v>
      </c>
      <c r="G484" s="1">
        <v>0.54210183819633229</v>
      </c>
      <c r="H484" s="1">
        <v>1.8069893031712669</v>
      </c>
      <c r="I484" s="1">
        <v>779.30094938435741</v>
      </c>
      <c r="K484" s="1">
        <f t="shared" si="21"/>
        <v>0.63209132576393079</v>
      </c>
      <c r="L484" s="1">
        <f t="shared" si="22"/>
        <v>0.90297920095841977</v>
      </c>
      <c r="M484" s="1">
        <f t="shared" si="23"/>
        <v>388.95384215447001</v>
      </c>
      <c r="N484"/>
      <c r="P484" s="1"/>
    </row>
    <row r="485" spans="1:19" x14ac:dyDescent="0.3">
      <c r="A485" s="1">
        <v>485</v>
      </c>
      <c r="C485" s="1" t="s">
        <v>15</v>
      </c>
      <c r="D485" s="6">
        <v>19.7</v>
      </c>
      <c r="E485" s="1">
        <v>613</v>
      </c>
      <c r="F485" s="1">
        <v>0</v>
      </c>
      <c r="G485" s="1">
        <v>0.39938990250959777</v>
      </c>
      <c r="H485" s="1">
        <v>1.8441207584594674</v>
      </c>
      <c r="I485" s="1">
        <v>392.388088940567</v>
      </c>
      <c r="K485" s="1">
        <f t="shared" si="21"/>
        <v>0.46568905542539213</v>
      </c>
      <c r="L485" s="1">
        <f t="shared" si="22"/>
        <v>0.92153433671252705</v>
      </c>
      <c r="M485" s="1">
        <f t="shared" si="23"/>
        <v>195.84328099388674</v>
      </c>
      <c r="N485" s="1">
        <f>SLOPE(K485:K488,F485:F488)</f>
        <v>1.6736348710701772E-3</v>
      </c>
      <c r="O485" s="1">
        <f>SLOPE(L485:L488,F485:F488)</f>
        <v>-8.7965088019471491E-4</v>
      </c>
      <c r="P485" s="1">
        <f>SLOPE(M485:M488,F485:F488)</f>
        <v>4.5664359073101917</v>
      </c>
      <c r="Q485" s="1">
        <f>(N485*41.35/0.31*60)/1000</f>
        <v>1.3394477790726158E-2</v>
      </c>
      <c r="R485" s="1">
        <f>O485*41.35/0.31*60/1000</f>
        <v>-7.0400446250422181E-3</v>
      </c>
      <c r="S485" s="1">
        <f>(O485*41.35/0.31*60)/1000</f>
        <v>-7.0400446250422181E-3</v>
      </c>
    </row>
    <row r="486" spans="1:19" x14ac:dyDescent="0.3">
      <c r="A486" s="1">
        <v>486</v>
      </c>
      <c r="C486" s="1" t="s">
        <v>15</v>
      </c>
      <c r="D486" s="6">
        <v>19.7</v>
      </c>
      <c r="E486" s="1">
        <v>614</v>
      </c>
      <c r="F486" s="1">
        <v>15</v>
      </c>
      <c r="G486" s="1">
        <v>0.43733969787390342</v>
      </c>
      <c r="H486" s="1">
        <v>1.8348378946374173</v>
      </c>
      <c r="I486" s="1">
        <v>676.45381837252762</v>
      </c>
      <c r="K486" s="1">
        <f t="shared" si="21"/>
        <v>0.50993855759292817</v>
      </c>
      <c r="L486" s="1">
        <f t="shared" si="22"/>
        <v>0.91689555277400037</v>
      </c>
      <c r="M486" s="1">
        <f t="shared" si="23"/>
        <v>337.62221373387422</v>
      </c>
      <c r="N486"/>
      <c r="P486" s="1"/>
    </row>
    <row r="487" spans="1:19" x14ac:dyDescent="0.3">
      <c r="A487" s="1">
        <v>487</v>
      </c>
      <c r="C487" s="1" t="s">
        <v>15</v>
      </c>
      <c r="D487" s="6">
        <v>19.7</v>
      </c>
      <c r="E487" s="1">
        <v>615</v>
      </c>
      <c r="F487" s="1">
        <v>30</v>
      </c>
      <c r="G487" s="1">
        <v>0.4518907939494316</v>
      </c>
      <c r="H487" s="1">
        <v>1.8183350256204394</v>
      </c>
      <c r="I487" s="1">
        <v>737.04681529852337</v>
      </c>
      <c r="K487" s="1">
        <f t="shared" si="21"/>
        <v>0.52690515125049808</v>
      </c>
      <c r="L487" s="1">
        <f t="shared" si="22"/>
        <v>0.90864882577217487</v>
      </c>
      <c r="M487" s="1">
        <f t="shared" si="23"/>
        <v>367.86454691804209</v>
      </c>
      <c r="N487"/>
      <c r="P487" s="1"/>
    </row>
    <row r="488" spans="1:19" x14ac:dyDescent="0.3">
      <c r="A488" s="1">
        <v>488</v>
      </c>
      <c r="C488" s="1" t="s">
        <v>15</v>
      </c>
      <c r="D488" s="6">
        <v>19.7</v>
      </c>
      <c r="E488" s="1">
        <v>616</v>
      </c>
      <c r="F488" s="1">
        <v>45</v>
      </c>
      <c r="G488" s="1">
        <v>0.46630769019290608</v>
      </c>
      <c r="H488" s="1">
        <v>1.7616064133745775</v>
      </c>
      <c r="I488" s="1">
        <v>829.65188172740295</v>
      </c>
      <c r="K488" s="1">
        <f t="shared" si="21"/>
        <v>0.54371526775971102</v>
      </c>
      <c r="L488" s="1">
        <f t="shared" si="22"/>
        <v>0.8803007017033998</v>
      </c>
      <c r="M488" s="1">
        <f t="shared" si="23"/>
        <v>414.08429863134035</v>
      </c>
      <c r="N488"/>
      <c r="P488" s="1"/>
    </row>
    <row r="489" spans="1:19" x14ac:dyDescent="0.3">
      <c r="A489" s="1">
        <v>489</v>
      </c>
      <c r="C489" s="1" t="s">
        <v>15</v>
      </c>
      <c r="D489" s="6">
        <v>19.7</v>
      </c>
      <c r="E489" s="1">
        <v>617</v>
      </c>
      <c r="F489" s="1">
        <v>0</v>
      </c>
      <c r="G489" s="1">
        <v>0.39661963454791954</v>
      </c>
      <c r="H489" s="1">
        <v>1.8162721669933171</v>
      </c>
      <c r="I489" s="1">
        <v>391.92399968839788</v>
      </c>
      <c r="K489" s="1">
        <f t="shared" si="21"/>
        <v>0.4624589200057363</v>
      </c>
      <c r="L489" s="1">
        <f t="shared" si="22"/>
        <v>0.90761798489694678</v>
      </c>
      <c r="M489" s="1">
        <f t="shared" si="23"/>
        <v>195.61165122636706</v>
      </c>
      <c r="N489" s="1">
        <f>SLOPE(K489:K492,F489:F492)</f>
        <v>1.6217738733289874E-3</v>
      </c>
      <c r="O489" s="1">
        <f>SLOPE(L489:L492,F489:F492)</f>
        <v>2.3022112880095888E-4</v>
      </c>
      <c r="P489" s="1">
        <f>SLOPE(M489:M492,F489:F492)</f>
        <v>4.271033185220543</v>
      </c>
      <c r="Q489" s="1">
        <f>(N489*41.35/0.31*60)/1000</f>
        <v>1.297942251525554E-2</v>
      </c>
      <c r="R489" s="1">
        <f>O489*41.35/0.31*60/1000</f>
        <v>1.8425116792102547E-3</v>
      </c>
      <c r="S489" s="1">
        <f>(O489*41.35/0.31*60)/1000</f>
        <v>1.8425116792102547E-3</v>
      </c>
    </row>
    <row r="490" spans="1:19" x14ac:dyDescent="0.3">
      <c r="A490" s="1">
        <v>490</v>
      </c>
      <c r="C490" s="1" t="s">
        <v>15</v>
      </c>
      <c r="D490" s="6">
        <v>19.7</v>
      </c>
      <c r="E490" s="1">
        <v>618</v>
      </c>
      <c r="F490" s="1">
        <v>15</v>
      </c>
      <c r="G490" s="1">
        <v>0.44475903144601064</v>
      </c>
      <c r="H490" s="1">
        <v>1.8173035963068782</v>
      </c>
      <c r="I490" s="1">
        <v>691.04052878062623</v>
      </c>
      <c r="K490" s="1">
        <f t="shared" si="21"/>
        <v>0.51858950850923846</v>
      </c>
      <c r="L490" s="1">
        <f t="shared" si="22"/>
        <v>0.90813340533456077</v>
      </c>
      <c r="M490" s="1">
        <f t="shared" si="23"/>
        <v>344.90252958888072</v>
      </c>
      <c r="N490"/>
      <c r="P490" s="1"/>
    </row>
    <row r="491" spans="1:19" x14ac:dyDescent="0.3">
      <c r="A491" s="1">
        <v>491</v>
      </c>
      <c r="C491" s="1" t="s">
        <v>15</v>
      </c>
      <c r="D491" s="6">
        <v>19.7</v>
      </c>
      <c r="E491" s="1">
        <v>619</v>
      </c>
      <c r="F491" s="1">
        <v>30</v>
      </c>
      <c r="G491" s="1">
        <v>0.45870622827729751</v>
      </c>
      <c r="H491" s="1">
        <v>1.8399950412052228</v>
      </c>
      <c r="I491" s="1">
        <v>780.07687726446613</v>
      </c>
      <c r="K491" s="1">
        <f t="shared" si="21"/>
        <v>0.5348519549992018</v>
      </c>
      <c r="L491" s="1">
        <f t="shared" si="22"/>
        <v>0.91947265496207076</v>
      </c>
      <c r="M491" s="1">
        <f t="shared" si="23"/>
        <v>389.34111247724002</v>
      </c>
      <c r="N491"/>
      <c r="P491" s="1"/>
    </row>
    <row r="492" spans="1:19" x14ac:dyDescent="0.3">
      <c r="A492" s="1">
        <v>492</v>
      </c>
      <c r="C492" s="1" t="s">
        <v>15</v>
      </c>
      <c r="D492" s="6">
        <v>19.7</v>
      </c>
      <c r="E492" s="1">
        <v>620</v>
      </c>
      <c r="F492" s="1">
        <v>45</v>
      </c>
      <c r="G492" s="1">
        <v>0.46151483904813395</v>
      </c>
      <c r="H492" s="1">
        <v>1.8317436066967341</v>
      </c>
      <c r="I492" s="1">
        <v>790.11349522195007</v>
      </c>
      <c r="K492" s="1">
        <f t="shared" si="21"/>
        <v>0.53812679817553122</v>
      </c>
      <c r="L492" s="1">
        <f t="shared" si="22"/>
        <v>0.91534929146115807</v>
      </c>
      <c r="M492" s="1">
        <f t="shared" si="23"/>
        <v>394.35044952460777</v>
      </c>
      <c r="N492"/>
      <c r="P492" s="1"/>
    </row>
    <row r="493" spans="1:19" x14ac:dyDescent="0.3">
      <c r="A493" s="1">
        <v>493</v>
      </c>
      <c r="C493" s="1" t="s">
        <v>15</v>
      </c>
      <c r="D493" s="6">
        <v>19.7</v>
      </c>
      <c r="E493" s="1">
        <v>621</v>
      </c>
      <c r="F493" s="1">
        <v>0</v>
      </c>
      <c r="G493" s="1">
        <v>0.40292702665443964</v>
      </c>
      <c r="H493" s="1">
        <v>1.9008493707053291</v>
      </c>
      <c r="I493" s="1">
        <v>402.85577794255585</v>
      </c>
      <c r="K493" s="1">
        <f t="shared" si="21"/>
        <v>0.46981334597851693</v>
      </c>
      <c r="L493" s="1">
        <f t="shared" si="22"/>
        <v>0.94988246078130212</v>
      </c>
      <c r="M493" s="1">
        <f t="shared" si="23"/>
        <v>201.0677682205712</v>
      </c>
      <c r="N493" s="1">
        <f>SLOPE(K493:K496,F493:F496)</f>
        <v>1.6788507760154094E-3</v>
      </c>
      <c r="O493" s="1">
        <f>SLOPE(L493:L496,F493:F496)</f>
        <v>1.8898749379183085E-4</v>
      </c>
      <c r="P493" s="1">
        <f>SLOPE(M493:M496,F493:F496)</f>
        <v>1.4792902350407264</v>
      </c>
      <c r="Q493" s="1">
        <f>(N493*41.35/0.31*60)/1000</f>
        <v>1.3436221855787843E-2</v>
      </c>
      <c r="R493" s="1">
        <f>O493*41.35/0.31*60/1000</f>
        <v>1.5125095874113947E-3</v>
      </c>
      <c r="S493" s="1">
        <f>(O493*41.35/0.31*60)/1000</f>
        <v>1.5125095874113947E-3</v>
      </c>
    </row>
    <row r="494" spans="1:19" x14ac:dyDescent="0.3">
      <c r="A494" s="1">
        <v>494</v>
      </c>
      <c r="C494" s="1" t="s">
        <v>15</v>
      </c>
      <c r="D494" s="6">
        <v>19.7</v>
      </c>
      <c r="E494" s="1">
        <v>622</v>
      </c>
      <c r="F494" s="1">
        <v>15</v>
      </c>
      <c r="G494" s="1">
        <v>0.43938145246157639</v>
      </c>
      <c r="H494" s="1">
        <v>1.8657807740442509</v>
      </c>
      <c r="I494" s="1">
        <v>498.06653125960253</v>
      </c>
      <c r="K494" s="1">
        <f t="shared" si="21"/>
        <v>0.51231924563578879</v>
      </c>
      <c r="L494" s="1">
        <f t="shared" si="22"/>
        <v>0.93235816590242293</v>
      </c>
      <c r="M494" s="1">
        <f t="shared" si="23"/>
        <v>248.58803410288826</v>
      </c>
      <c r="N494"/>
      <c r="P494" s="1"/>
    </row>
    <row r="495" spans="1:19" x14ac:dyDescent="0.3">
      <c r="A495" s="1">
        <v>495</v>
      </c>
      <c r="C495" s="1" t="s">
        <v>15</v>
      </c>
      <c r="D495" s="6">
        <v>19.7</v>
      </c>
      <c r="E495" s="1">
        <v>623</v>
      </c>
      <c r="F495" s="1">
        <v>30</v>
      </c>
      <c r="G495" s="1">
        <v>0.464668535101394</v>
      </c>
      <c r="H495" s="1">
        <v>1.9008493707053291</v>
      </c>
      <c r="I495" s="1">
        <v>529.93185317286782</v>
      </c>
      <c r="K495" s="1">
        <f t="shared" si="21"/>
        <v>0.54180401116192145</v>
      </c>
      <c r="L495" s="1">
        <f t="shared" si="22"/>
        <v>0.94988246078130212</v>
      </c>
      <c r="M495" s="1">
        <f t="shared" si="23"/>
        <v>264.49221001778335</v>
      </c>
      <c r="N495"/>
      <c r="P495" s="1"/>
    </row>
    <row r="496" spans="1:19" x14ac:dyDescent="0.3">
      <c r="A496" s="1">
        <v>496</v>
      </c>
      <c r="C496" s="1" t="s">
        <v>15</v>
      </c>
      <c r="D496" s="6">
        <v>19.7</v>
      </c>
      <c r="E496" s="1">
        <v>624</v>
      </c>
      <c r="F496" s="1">
        <v>45</v>
      </c>
      <c r="G496" s="1">
        <v>0.46648981853640736</v>
      </c>
      <c r="H496" s="1">
        <v>1.9080693759002569</v>
      </c>
      <c r="I496" s="1">
        <v>540.42797452034517</v>
      </c>
      <c r="K496" s="1">
        <f t="shared" si="21"/>
        <v>0.54392762960390983</v>
      </c>
      <c r="L496" s="1">
        <f t="shared" si="22"/>
        <v>0.9534904038446006</v>
      </c>
      <c r="M496" s="1">
        <f t="shared" si="23"/>
        <v>269.73088800097582</v>
      </c>
      <c r="N496"/>
      <c r="P496" s="1"/>
    </row>
    <row r="497" spans="1:19" x14ac:dyDescent="0.3">
      <c r="A497" s="1">
        <v>497</v>
      </c>
      <c r="C497" s="1" t="s">
        <v>15</v>
      </c>
      <c r="D497" s="6">
        <v>19.7</v>
      </c>
      <c r="E497" s="1">
        <v>625</v>
      </c>
      <c r="F497" s="1">
        <v>0</v>
      </c>
      <c r="G497" s="1">
        <v>0.39955285944852009</v>
      </c>
      <c r="H497" s="1">
        <v>1.8936293655104015</v>
      </c>
      <c r="I497" s="1">
        <v>392.82099432994221</v>
      </c>
      <c r="K497" s="1">
        <f t="shared" si="21"/>
        <v>0.46587906339125429</v>
      </c>
      <c r="L497" s="1">
        <f t="shared" si="22"/>
        <v>0.94627451771800353</v>
      </c>
      <c r="M497" s="1">
        <f t="shared" si="23"/>
        <v>196.05934670588147</v>
      </c>
      <c r="N497" s="1">
        <f>SLOPE(K497:K500,F497:F500)</f>
        <v>2.299841516209474E-3</v>
      </c>
      <c r="O497" s="1">
        <f>SLOPE(L497:L500,F497:F500)</f>
        <v>-8.143642914302644E-4</v>
      </c>
      <c r="P497" s="1">
        <f>SLOPE(M497:M500,F497:F500)</f>
        <v>4.2196260253540174</v>
      </c>
      <c r="Q497" s="1">
        <f>(N497*41.35/0.31*60)/1000</f>
        <v>1.8406150973276466E-2</v>
      </c>
      <c r="R497" s="1">
        <f>O497*41.35/0.31*60/1000</f>
        <v>-6.5175413130273748E-3</v>
      </c>
      <c r="S497" s="1">
        <f>(O497*41.35/0.31*60)/1000</f>
        <v>-6.5175413130273748E-3</v>
      </c>
    </row>
    <row r="498" spans="1:19" x14ac:dyDescent="0.3">
      <c r="A498" s="1">
        <v>498</v>
      </c>
      <c r="C498" s="1" t="s">
        <v>15</v>
      </c>
      <c r="D498" s="6">
        <v>19.7</v>
      </c>
      <c r="E498" s="1">
        <v>626</v>
      </c>
      <c r="F498" s="1">
        <v>15</v>
      </c>
      <c r="G498" s="1">
        <v>0.45654944526215002</v>
      </c>
      <c r="H498" s="1">
        <v>1.8379321825781008</v>
      </c>
      <c r="I498" s="1">
        <v>648.80932400567008</v>
      </c>
      <c r="K498" s="1">
        <f t="shared" si="21"/>
        <v>0.53233714368632079</v>
      </c>
      <c r="L498" s="1">
        <f t="shared" si="22"/>
        <v>0.91844181408684267</v>
      </c>
      <c r="M498" s="1">
        <f t="shared" si="23"/>
        <v>323.82467851092707</v>
      </c>
      <c r="N498"/>
      <c r="P498" s="1"/>
    </row>
    <row r="499" spans="1:19" x14ac:dyDescent="0.3">
      <c r="A499" s="1">
        <v>499</v>
      </c>
      <c r="C499" s="1" t="s">
        <v>15</v>
      </c>
      <c r="D499" s="6">
        <v>19.7</v>
      </c>
      <c r="E499" s="1">
        <v>627</v>
      </c>
      <c r="F499" s="1">
        <v>30</v>
      </c>
      <c r="G499" s="1">
        <v>0.48666772185589796</v>
      </c>
      <c r="H499" s="1">
        <v>1.8100835911119502</v>
      </c>
      <c r="I499" s="1">
        <v>766.93746495898199</v>
      </c>
      <c r="K499" s="1">
        <f t="shared" si="21"/>
        <v>0.5674550865533069</v>
      </c>
      <c r="L499" s="1">
        <f t="shared" si="22"/>
        <v>0.90452546227126207</v>
      </c>
      <c r="M499" s="1">
        <f t="shared" si="23"/>
        <v>382.78315190513098</v>
      </c>
      <c r="N499"/>
      <c r="P499" s="1"/>
    </row>
    <row r="500" spans="1:19" x14ac:dyDescent="0.3">
      <c r="A500" s="1">
        <v>500</v>
      </c>
      <c r="C500" s="1" t="s">
        <v>15</v>
      </c>
      <c r="D500" s="6">
        <v>19.7</v>
      </c>
      <c r="E500" s="1">
        <v>628</v>
      </c>
      <c r="F500" s="1">
        <v>45</v>
      </c>
      <c r="G500" s="1">
        <v>0.48813433430619829</v>
      </c>
      <c r="H500" s="1">
        <v>1.8214293135611228</v>
      </c>
      <c r="I500" s="1">
        <v>776.16330248382258</v>
      </c>
      <c r="K500" s="1">
        <f t="shared" si="21"/>
        <v>0.56916515824606595</v>
      </c>
      <c r="L500" s="1">
        <f t="shared" si="22"/>
        <v>0.91019508708501717</v>
      </c>
      <c r="M500" s="1">
        <f t="shared" si="23"/>
        <v>387.3878235088477</v>
      </c>
      <c r="N500"/>
      <c r="P500" s="1"/>
    </row>
    <row r="501" spans="1:19" x14ac:dyDescent="0.3">
      <c r="A501" s="1">
        <v>501</v>
      </c>
      <c r="C501" s="1" t="s">
        <v>15</v>
      </c>
      <c r="D501" s="6">
        <v>19.7</v>
      </c>
      <c r="E501" s="1">
        <v>629</v>
      </c>
      <c r="F501" s="1">
        <v>0</v>
      </c>
      <c r="G501" s="1">
        <v>0.39866138913559246</v>
      </c>
      <c r="H501" s="1">
        <v>1.851340763654395</v>
      </c>
      <c r="I501" s="1">
        <v>392.46054556294126</v>
      </c>
      <c r="K501" s="1">
        <f t="shared" si="21"/>
        <v>0.46483960804859686</v>
      </c>
      <c r="L501" s="1">
        <f t="shared" si="22"/>
        <v>0.92514227977582564</v>
      </c>
      <c r="M501" s="1">
        <f t="shared" si="23"/>
        <v>195.87944453466554</v>
      </c>
      <c r="N501" s="1">
        <f>SLOPE(K501:K504,F501:F504)</f>
        <v>1.8380103897728494E-3</v>
      </c>
      <c r="O501" s="1">
        <f>SLOPE(L501:L504,F501:F504)</f>
        <v>1.4775385878270579E-4</v>
      </c>
      <c r="P501" s="1">
        <f>SLOPE(M501:M504,F501:F504)</f>
        <v>3.9463151067831448</v>
      </c>
      <c r="Q501" s="1">
        <f>(N501*41.35/0.31*60)/1000</f>
        <v>1.4710012183956258E-2</v>
      </c>
      <c r="R501" s="1">
        <f>O501*41.35/0.31*60/1000</f>
        <v>1.1825074956125585E-3</v>
      </c>
      <c r="S501" s="1">
        <f>(O501*41.35/0.31*60)/1000</f>
        <v>1.1825074956125585E-3</v>
      </c>
    </row>
    <row r="502" spans="1:19" x14ac:dyDescent="0.3">
      <c r="A502" s="1">
        <v>502</v>
      </c>
      <c r="C502" s="1" t="s">
        <v>15</v>
      </c>
      <c r="D502" s="6">
        <v>19.7</v>
      </c>
      <c r="E502" s="1">
        <v>630</v>
      </c>
      <c r="F502" s="1">
        <v>15</v>
      </c>
      <c r="G502" s="1">
        <v>0.45411467688060586</v>
      </c>
      <c r="H502" s="1">
        <v>1.8214293135611228</v>
      </c>
      <c r="I502" s="1">
        <v>679.17506898751935</v>
      </c>
      <c r="K502" s="1">
        <f t="shared" si="21"/>
        <v>0.52949820113755752</v>
      </c>
      <c r="L502" s="1">
        <f t="shared" si="22"/>
        <v>0.91019508708501717</v>
      </c>
      <c r="M502" s="1">
        <f t="shared" si="23"/>
        <v>338.98040646160337</v>
      </c>
      <c r="N502"/>
      <c r="P502" s="1"/>
    </row>
    <row r="503" spans="1:19" x14ac:dyDescent="0.3">
      <c r="A503" s="1">
        <v>503</v>
      </c>
      <c r="C503" s="1" t="s">
        <v>15</v>
      </c>
      <c r="D503" s="6">
        <v>19.7</v>
      </c>
      <c r="E503" s="1">
        <v>631</v>
      </c>
      <c r="F503" s="1">
        <v>30</v>
      </c>
      <c r="G503" s="1">
        <v>0.46551207690287388</v>
      </c>
      <c r="H503" s="1">
        <v>1.8503093343408341</v>
      </c>
      <c r="I503" s="1">
        <v>745.81223226093528</v>
      </c>
      <c r="K503" s="1">
        <f t="shared" si="21"/>
        <v>0.5427875818087371</v>
      </c>
      <c r="L503" s="1">
        <f t="shared" si="22"/>
        <v>0.92462685933821154</v>
      </c>
      <c r="M503" s="1">
        <f t="shared" si="23"/>
        <v>372.23941981959496</v>
      </c>
      <c r="N503"/>
      <c r="P503" s="1"/>
    </row>
    <row r="504" spans="1:19" x14ac:dyDescent="0.3">
      <c r="A504" s="1">
        <v>504</v>
      </c>
      <c r="C504" s="1" t="s">
        <v>15</v>
      </c>
      <c r="D504" s="6">
        <v>19.7</v>
      </c>
      <c r="E504" s="1">
        <v>632</v>
      </c>
      <c r="F504" s="1">
        <v>45</v>
      </c>
      <c r="G504" s="1">
        <v>0.47367909525356555</v>
      </c>
      <c r="H504" s="1">
        <v>1.8564979102222008</v>
      </c>
      <c r="I504" s="1">
        <v>765.58646996205482</v>
      </c>
      <c r="K504" s="1">
        <f t="shared" si="21"/>
        <v>0.55231033398017948</v>
      </c>
      <c r="L504" s="1">
        <f t="shared" si="22"/>
        <v>0.92771938196389614</v>
      </c>
      <c r="M504" s="1">
        <f t="shared" si="23"/>
        <v>382.10886208782557</v>
      </c>
      <c r="N504"/>
      <c r="P504" s="1"/>
    </row>
    <row r="505" spans="1:19" x14ac:dyDescent="0.3">
      <c r="A505" s="1">
        <v>505</v>
      </c>
      <c r="C505" s="1" t="s">
        <v>15</v>
      </c>
      <c r="D505" s="6">
        <v>19.7</v>
      </c>
      <c r="E505" s="1">
        <v>633</v>
      </c>
      <c r="F505" s="1">
        <v>0</v>
      </c>
      <c r="G505" s="1">
        <v>0.39907357433404289</v>
      </c>
      <c r="H505" s="1">
        <v>1.8884722189425958</v>
      </c>
      <c r="I505" s="1">
        <v>403.73901499757341</v>
      </c>
      <c r="K505" s="1">
        <f t="shared" si="21"/>
        <v>0.46532021643283633</v>
      </c>
      <c r="L505" s="1">
        <f t="shared" si="22"/>
        <v>0.94369741552993303</v>
      </c>
      <c r="M505" s="1">
        <f t="shared" si="23"/>
        <v>201.50859720500102</v>
      </c>
      <c r="N505" s="1">
        <f>SLOPE(K505:K508,F505:F508)</f>
        <v>6.2393400084173089E-3</v>
      </c>
      <c r="O505" s="1">
        <f>SLOPE(L505:L508,F505:F508)</f>
        <v>-1.1820308702616487E-3</v>
      </c>
      <c r="P505" s="1">
        <f>SLOPE(M505:M508,F505:F508)</f>
        <v>5.8403508002590447</v>
      </c>
      <c r="Q505" s="1">
        <f>(N505*41.35/0.31*60)/1000</f>
        <v>4.9934846970591432E-2</v>
      </c>
      <c r="R505" s="1">
        <f>O505*41.35/0.31*60/1000</f>
        <v>-9.4600599649004857E-3</v>
      </c>
      <c r="S505" s="1">
        <f>(O505*41.35/0.31*60)/1000</f>
        <v>-9.4600599649004857E-3</v>
      </c>
    </row>
    <row r="506" spans="1:19" x14ac:dyDescent="0.3">
      <c r="A506" s="1">
        <v>506</v>
      </c>
      <c r="C506" s="1" t="s">
        <v>15</v>
      </c>
      <c r="D506" s="6">
        <v>19.7</v>
      </c>
      <c r="E506" s="1">
        <v>634</v>
      </c>
      <c r="F506" s="1">
        <v>15</v>
      </c>
      <c r="G506" s="1">
        <v>0.51988218028916877</v>
      </c>
      <c r="H506" s="1">
        <v>1.8626864861035677</v>
      </c>
      <c r="I506" s="1">
        <v>695.33106143210296</v>
      </c>
      <c r="K506" s="1">
        <f t="shared" si="21"/>
        <v>0.6061831807716731</v>
      </c>
      <c r="L506" s="1">
        <f t="shared" si="22"/>
        <v>0.93081190458958063</v>
      </c>
      <c r="M506" s="1">
        <f t="shared" si="23"/>
        <v>347.04396052259051</v>
      </c>
      <c r="N506"/>
      <c r="P506" s="1"/>
    </row>
    <row r="507" spans="1:19" x14ac:dyDescent="0.3">
      <c r="A507" s="1">
        <v>507</v>
      </c>
      <c r="C507" s="1" t="s">
        <v>15</v>
      </c>
      <c r="D507" s="6">
        <v>19.7</v>
      </c>
      <c r="E507" s="1">
        <v>635</v>
      </c>
      <c r="F507" s="1">
        <v>30</v>
      </c>
      <c r="G507" s="1">
        <v>0.57497121134717954</v>
      </c>
      <c r="H507" s="1">
        <v>1.8853779310019123</v>
      </c>
      <c r="I507" s="1">
        <v>795.49821458852125</v>
      </c>
      <c r="K507" s="1">
        <f t="shared" si="21"/>
        <v>0.6704170501722363</v>
      </c>
      <c r="L507" s="1">
        <f t="shared" si="22"/>
        <v>0.94215115421709072</v>
      </c>
      <c r="M507" s="1">
        <f t="shared" si="23"/>
        <v>397.03799570071084</v>
      </c>
      <c r="N507"/>
      <c r="P507" s="1"/>
    </row>
    <row r="508" spans="1:19" x14ac:dyDescent="0.3">
      <c r="A508" s="1">
        <v>508</v>
      </c>
      <c r="C508" s="1" t="s">
        <v>15</v>
      </c>
      <c r="D508" s="6">
        <v>19.7</v>
      </c>
      <c r="E508" s="1">
        <v>636</v>
      </c>
      <c r="F508" s="1">
        <v>45</v>
      </c>
      <c r="G508" s="1">
        <v>0.6482634910530346</v>
      </c>
      <c r="H508" s="1">
        <v>1.7626378426881386</v>
      </c>
      <c r="I508" s="1">
        <v>955.43107513445977</v>
      </c>
      <c r="K508" s="1">
        <f t="shared" si="21"/>
        <v>0.75587592705351403</v>
      </c>
      <c r="L508" s="1">
        <f t="shared" si="22"/>
        <v>0.8808161221410139</v>
      </c>
      <c r="M508" s="1">
        <f t="shared" si="23"/>
        <v>476.86145882524647</v>
      </c>
      <c r="N508"/>
      <c r="P508" s="1"/>
    </row>
    <row r="509" spans="1:19" x14ac:dyDescent="0.3">
      <c r="A509" s="1">
        <v>509</v>
      </c>
      <c r="C509" s="1" t="s">
        <v>15</v>
      </c>
      <c r="D509" s="6">
        <v>19.7</v>
      </c>
      <c r="E509" s="1">
        <v>637</v>
      </c>
      <c r="F509" s="1">
        <v>0</v>
      </c>
      <c r="G509" s="1">
        <v>0.40049225827289536</v>
      </c>
      <c r="H509" s="1">
        <v>1.9328236794257239</v>
      </c>
      <c r="I509" s="1">
        <v>395.69632991403358</v>
      </c>
      <c r="K509" s="1">
        <f t="shared" si="21"/>
        <v>0.46697440342975349</v>
      </c>
      <c r="L509" s="1">
        <f t="shared" si="22"/>
        <v>0.96586049434733878</v>
      </c>
      <c r="M509" s="1">
        <f t="shared" si="23"/>
        <v>197.49444417855781</v>
      </c>
      <c r="N509" s="1">
        <f>SLOPE(K509:K512,F509:F512)</f>
        <v>2.0669886168686491E-3</v>
      </c>
      <c r="O509" s="1">
        <f>SLOPE(L509:L512,F509:F512)</f>
        <v>-8.2123656393178358E-4</v>
      </c>
      <c r="P509" s="1">
        <f>SLOPE(M509:M512,F509:F512)</f>
        <v>6.4015662282872086</v>
      </c>
      <c r="Q509" s="1">
        <f>(N509*41.35/0.31*60)/1000</f>
        <v>1.65425766401649E-2</v>
      </c>
      <c r="R509" s="1">
        <f>O509*41.35/0.31*60/1000</f>
        <v>-6.5725416616605001E-3</v>
      </c>
      <c r="S509" s="1">
        <f>(O509*41.35/0.31*60)/1000</f>
        <v>-6.5725416616605001E-3</v>
      </c>
    </row>
    <row r="510" spans="1:19" x14ac:dyDescent="0.3">
      <c r="A510" s="1">
        <v>510</v>
      </c>
      <c r="C510" s="1" t="s">
        <v>15</v>
      </c>
      <c r="D510" s="6">
        <v>19.7</v>
      </c>
      <c r="E510" s="1">
        <v>638</v>
      </c>
      <c r="F510" s="1">
        <v>15</v>
      </c>
      <c r="G510" s="1">
        <v>0.43894051015625729</v>
      </c>
      <c r="H510" s="1">
        <v>1.9235408156036737</v>
      </c>
      <c r="I510" s="1">
        <v>741.17500842898426</v>
      </c>
      <c r="K510" s="1">
        <f t="shared" si="21"/>
        <v>0.51180510643404409</v>
      </c>
      <c r="L510" s="1">
        <f t="shared" si="22"/>
        <v>0.96122171040881199</v>
      </c>
      <c r="M510" s="1">
        <f t="shared" si="23"/>
        <v>369.92495320975377</v>
      </c>
      <c r="N510"/>
      <c r="P510" s="1"/>
    </row>
    <row r="511" spans="1:19" x14ac:dyDescent="0.3">
      <c r="A511" s="1">
        <v>511</v>
      </c>
      <c r="C511" s="1" t="s">
        <v>15</v>
      </c>
      <c r="D511" s="6">
        <v>19.7</v>
      </c>
      <c r="E511" s="1">
        <v>639</v>
      </c>
      <c r="F511" s="1">
        <v>30</v>
      </c>
      <c r="G511" s="1">
        <v>0.45926219901009108</v>
      </c>
      <c r="H511" s="1">
        <v>1.8441207584594674</v>
      </c>
      <c r="I511" s="1">
        <v>853.49102766096064</v>
      </c>
      <c r="K511" s="1">
        <f t="shared" si="21"/>
        <v>0.53550021747096666</v>
      </c>
      <c r="L511" s="1">
        <f t="shared" si="22"/>
        <v>0.92153433671252705</v>
      </c>
      <c r="M511" s="1">
        <f t="shared" si="23"/>
        <v>425.98256131389377</v>
      </c>
      <c r="N511"/>
      <c r="P511" s="1"/>
    </row>
    <row r="512" spans="1:19" x14ac:dyDescent="0.3">
      <c r="A512" s="1">
        <v>512</v>
      </c>
      <c r="C512" s="1" t="s">
        <v>15</v>
      </c>
      <c r="D512" s="6">
        <v>19.7</v>
      </c>
      <c r="E512" s="1">
        <v>640</v>
      </c>
      <c r="F512" s="1">
        <v>45</v>
      </c>
      <c r="G512" s="1">
        <v>0.48235415582560309</v>
      </c>
      <c r="H512" s="1">
        <v>1.8771264964934231</v>
      </c>
      <c r="I512" s="1">
        <v>999.56082685010767</v>
      </c>
      <c r="K512" s="1">
        <f t="shared" si="21"/>
        <v>0.56242546392754511</v>
      </c>
      <c r="L512" s="1">
        <f t="shared" si="22"/>
        <v>0.93802779071617792</v>
      </c>
      <c r="M512" s="1">
        <f t="shared" si="23"/>
        <v>498.88688622487155</v>
      </c>
      <c r="N512"/>
      <c r="P512" s="1"/>
    </row>
    <row r="513" spans="1:19" x14ac:dyDescent="0.3">
      <c r="A513" s="1">
        <v>513</v>
      </c>
      <c r="C513" s="1" t="s">
        <v>15</v>
      </c>
      <c r="D513" s="6">
        <v>19.7</v>
      </c>
      <c r="E513" s="1">
        <v>641</v>
      </c>
      <c r="F513" s="1">
        <v>0</v>
      </c>
      <c r="G513" s="1">
        <v>0.39938031680730829</v>
      </c>
      <c r="H513" s="1">
        <v>1.8771264964934231</v>
      </c>
      <c r="I513" s="1">
        <v>399.29990041160778</v>
      </c>
      <c r="K513" s="1">
        <f t="shared" si="21"/>
        <v>0.46567787848622388</v>
      </c>
      <c r="L513" s="1">
        <f t="shared" si="22"/>
        <v>0.93802779071617792</v>
      </c>
      <c r="M513" s="1">
        <f t="shared" si="23"/>
        <v>199.29300812437782</v>
      </c>
      <c r="N513" s="1">
        <f>SLOPE(K513:K516,F513:F516)</f>
        <v>2.3276869973242464E-2</v>
      </c>
      <c r="O513" s="1">
        <f>SLOPE(L513:L516,F513:F516)</f>
        <v>-9.3806519645764103E-4</v>
      </c>
      <c r="P513" s="1">
        <f>SLOPE(M513:M516,F513:F516)</f>
        <v>7.1275165028333314</v>
      </c>
      <c r="Q513" s="1">
        <f>(N513*41.35/0.31*60)/1000</f>
        <v>0.18629004646327277</v>
      </c>
      <c r="R513" s="1">
        <f>O513*41.35/0.31*60/1000</f>
        <v>-7.5075475884238945E-3</v>
      </c>
      <c r="S513" s="1">
        <f>(O513*41.35/0.31*60)/1000</f>
        <v>-7.5075475884238945E-3</v>
      </c>
    </row>
    <row r="514" spans="1:19" x14ac:dyDescent="0.3">
      <c r="A514" s="1">
        <v>514</v>
      </c>
      <c r="C514" s="1" t="s">
        <v>15</v>
      </c>
      <c r="D514" s="6">
        <v>19.7</v>
      </c>
      <c r="E514" s="1">
        <v>642</v>
      </c>
      <c r="F514" s="1">
        <v>15</v>
      </c>
      <c r="G514" s="1">
        <v>0.94359897859389241</v>
      </c>
      <c r="H514" s="1">
        <v>1.8616550567900063</v>
      </c>
      <c r="I514" s="1">
        <v>752.89738932221303</v>
      </c>
      <c r="K514" s="1">
        <f t="shared" si="21"/>
        <v>1.1002374228306755</v>
      </c>
      <c r="L514" s="1">
        <f t="shared" si="22"/>
        <v>0.93029648415196653</v>
      </c>
      <c r="M514" s="1">
        <f t="shared" si="23"/>
        <v>375.77566478815163</v>
      </c>
      <c r="N514"/>
      <c r="P514" s="1"/>
    </row>
    <row r="515" spans="1:19" x14ac:dyDescent="0.3">
      <c r="A515" s="1">
        <v>515</v>
      </c>
      <c r="C515" s="1" t="s">
        <v>15</v>
      </c>
      <c r="D515" s="6">
        <v>19.7</v>
      </c>
      <c r="E515" s="1">
        <v>643</v>
      </c>
      <c r="F515" s="1">
        <v>30</v>
      </c>
      <c r="G515" s="1">
        <v>1.1759851591993131</v>
      </c>
      <c r="H515" s="1">
        <v>1.8214293135611228</v>
      </c>
      <c r="I515" s="1">
        <v>920.03922520817014</v>
      </c>
      <c r="K515" s="1">
        <f t="shared" ref="K515:K578" si="24">(G515*28*1)/(0.082*(D515+273.15))</f>
        <v>1.3711999590892185</v>
      </c>
      <c r="L515" s="1">
        <f t="shared" ref="L515:L578" si="25">(H515*12*1)/(0.082*(D515+273.15))</f>
        <v>0.91019508708501717</v>
      </c>
      <c r="M515" s="1">
        <f t="shared" ref="M515:M578" si="26">(I515*12*1)/(0.0821*(D515+273.15))</f>
        <v>459.19717133700505</v>
      </c>
      <c r="N515"/>
      <c r="P515" s="1"/>
    </row>
    <row r="516" spans="1:19" x14ac:dyDescent="0.3">
      <c r="A516" s="1">
        <v>516</v>
      </c>
      <c r="C516" s="1" t="s">
        <v>15</v>
      </c>
      <c r="D516" s="6">
        <v>19.7</v>
      </c>
      <c r="E516" s="1">
        <v>644</v>
      </c>
      <c r="F516" s="1">
        <v>45</v>
      </c>
      <c r="G516" s="1">
        <v>1.3200678503134524</v>
      </c>
      <c r="H516" s="1">
        <v>1.7966750100356557</v>
      </c>
      <c r="I516" s="1">
        <v>1057.6141733032648</v>
      </c>
      <c r="K516" s="1">
        <f t="shared" si="24"/>
        <v>1.5392005317288326</v>
      </c>
      <c r="L516" s="1">
        <f t="shared" si="25"/>
        <v>0.89782499658227899</v>
      </c>
      <c r="M516" s="1">
        <f t="shared" si="26"/>
        <v>527.86166441642661</v>
      </c>
      <c r="N516"/>
      <c r="P516" s="1"/>
    </row>
    <row r="517" spans="1:19" x14ac:dyDescent="0.3">
      <c r="A517" s="1">
        <v>517</v>
      </c>
      <c r="C517" s="1" t="s">
        <v>15</v>
      </c>
      <c r="D517" s="6">
        <v>19.7</v>
      </c>
      <c r="E517" s="1">
        <v>645</v>
      </c>
      <c r="F517" s="1">
        <v>0</v>
      </c>
      <c r="G517" s="1">
        <v>0.40008007307444504</v>
      </c>
      <c r="H517" s="1">
        <v>1.8781579258069845</v>
      </c>
      <c r="I517" s="1">
        <v>394.75164230586319</v>
      </c>
      <c r="K517" s="1">
        <f t="shared" si="24"/>
        <v>0.46649379504551414</v>
      </c>
      <c r="L517" s="1">
        <f t="shared" si="25"/>
        <v>0.93854321115379202</v>
      </c>
      <c r="M517" s="1">
        <f t="shared" si="26"/>
        <v>197.02294484941692</v>
      </c>
      <c r="N517" s="1">
        <f>SLOPE(K517:K520,F517:F520)</f>
        <v>1.4159691667755909E-3</v>
      </c>
      <c r="O517" s="1">
        <f>SLOPE(L517:L520,F517:F520)</f>
        <v>-2.7145476381008839E-4</v>
      </c>
      <c r="P517" s="1">
        <f>SLOPE(M517:M520,F517:F520)</f>
        <v>2.6119414875584974</v>
      </c>
      <c r="Q517" s="1">
        <f>(N517*41.35/0.31*60)/1000</f>
        <v>1.1332320976678197E-2</v>
      </c>
      <c r="R517" s="1">
        <f>O517*41.35/0.31*60/1000</f>
        <v>-2.1725137710091273E-3</v>
      </c>
      <c r="S517" s="1">
        <f>(O517*41.35/0.31*60)/1000</f>
        <v>-2.1725137710091273E-3</v>
      </c>
    </row>
    <row r="518" spans="1:19" x14ac:dyDescent="0.3">
      <c r="A518" s="1">
        <v>518</v>
      </c>
      <c r="C518" s="1" t="s">
        <v>15</v>
      </c>
      <c r="D518" s="6">
        <v>19.7</v>
      </c>
      <c r="E518" s="1">
        <v>646</v>
      </c>
      <c r="F518" s="1">
        <v>15</v>
      </c>
      <c r="G518" s="1">
        <v>0.42734181038590879</v>
      </c>
      <c r="H518" s="1">
        <v>1.8606236274764454</v>
      </c>
      <c r="I518" s="1">
        <v>567.07366810536041</v>
      </c>
      <c r="K518" s="1">
        <f t="shared" si="24"/>
        <v>0.49828101004032899</v>
      </c>
      <c r="L518" s="1">
        <f t="shared" si="25"/>
        <v>0.92978106371435254</v>
      </c>
      <c r="M518" s="1">
        <f t="shared" si="26"/>
        <v>283.02991568078278</v>
      </c>
      <c r="N518"/>
      <c r="P518" s="1"/>
    </row>
    <row r="519" spans="1:19" x14ac:dyDescent="0.3">
      <c r="A519" s="1">
        <v>519</v>
      </c>
      <c r="C519" s="1" t="s">
        <v>15</v>
      </c>
      <c r="D519" s="6">
        <v>19.7</v>
      </c>
      <c r="E519" s="1">
        <v>647</v>
      </c>
      <c r="F519" s="1">
        <v>30</v>
      </c>
      <c r="G519" s="1">
        <v>0.44250639140796777</v>
      </c>
      <c r="H519" s="1">
        <v>1.8595921981628842</v>
      </c>
      <c r="I519" s="1">
        <v>617.07699209549673</v>
      </c>
      <c r="K519" s="1">
        <f t="shared" si="24"/>
        <v>0.51596292780467401</v>
      </c>
      <c r="L519" s="1">
        <f t="shared" si="25"/>
        <v>0.92926564327673844</v>
      </c>
      <c r="M519" s="1">
        <f t="shared" si="26"/>
        <v>307.98687871518291</v>
      </c>
      <c r="N519"/>
      <c r="P519" s="1"/>
    </row>
    <row r="520" spans="1:19" x14ac:dyDescent="0.3">
      <c r="A520" s="1">
        <v>520</v>
      </c>
      <c r="C520" s="1" t="s">
        <v>15</v>
      </c>
      <c r="D520" s="6">
        <v>19.7</v>
      </c>
      <c r="E520" s="1">
        <v>648</v>
      </c>
      <c r="F520" s="1">
        <v>45</v>
      </c>
      <c r="G520" s="1">
        <v>0.45574424626982835</v>
      </c>
      <c r="H520" s="1">
        <v>1.851340763654395</v>
      </c>
      <c r="I520" s="1">
        <v>639.74582600184533</v>
      </c>
      <c r="K520" s="1">
        <f t="shared" si="24"/>
        <v>0.53139828079617868</v>
      </c>
      <c r="L520" s="1">
        <f t="shared" si="25"/>
        <v>0.92514227977582564</v>
      </c>
      <c r="M520" s="1">
        <f t="shared" si="26"/>
        <v>319.3010315492084</v>
      </c>
      <c r="N520"/>
      <c r="P520" s="1"/>
    </row>
    <row r="521" spans="1:19" x14ac:dyDescent="0.3">
      <c r="A521" s="1">
        <v>521</v>
      </c>
      <c r="C521" s="1" t="s">
        <v>15</v>
      </c>
      <c r="D521" s="6">
        <v>19.7</v>
      </c>
      <c r="E521" s="1">
        <v>649</v>
      </c>
      <c r="F521" s="1">
        <v>0</v>
      </c>
      <c r="G521" s="1">
        <v>0.39930363118899193</v>
      </c>
      <c r="H521" s="1">
        <v>2.0411237573496419</v>
      </c>
      <c r="I521" s="1">
        <v>401.72123564031631</v>
      </c>
      <c r="K521" s="1">
        <f t="shared" si="24"/>
        <v>0.46558846297287698</v>
      </c>
      <c r="L521" s="1">
        <f t="shared" si="25"/>
        <v>1.0199796402968184</v>
      </c>
      <c r="M521" s="1">
        <f t="shared" si="26"/>
        <v>200.5015112592632</v>
      </c>
      <c r="N521" s="1">
        <f>SLOPE(K521:K524,F521:F524)</f>
        <v>1.6085105721825328E-3</v>
      </c>
      <c r="O521" s="1">
        <f>SLOPE(L521:L524,F521:F524)</f>
        <v>-2.0204481154472375E-3</v>
      </c>
      <c r="P521" s="1">
        <f>SLOPE(M521:M524,F521:F524)</f>
        <v>1.9429465009072333</v>
      </c>
      <c r="Q521" s="1">
        <f>(N521*41.35/0.31*60)/1000</f>
        <v>1.2873273321241496E-2</v>
      </c>
      <c r="R521" s="1">
        <f>O521*41.35/0.31*60/1000</f>
        <v>-1.6170102498143858E-2</v>
      </c>
      <c r="S521" s="1">
        <f>(O521*41.35/0.31*60)/1000</f>
        <v>-1.6170102498143858E-2</v>
      </c>
    </row>
    <row r="522" spans="1:19" x14ac:dyDescent="0.3">
      <c r="A522" s="1">
        <v>522</v>
      </c>
      <c r="C522" s="1" t="s">
        <v>15</v>
      </c>
      <c r="D522" s="6">
        <v>19.7</v>
      </c>
      <c r="E522" s="1">
        <v>650</v>
      </c>
      <c r="F522" s="1">
        <v>15</v>
      </c>
      <c r="G522" s="1">
        <v>0.45031873877394629</v>
      </c>
      <c r="H522" s="1">
        <v>1.8905350775697178</v>
      </c>
      <c r="I522" s="1">
        <v>548.06710373243357</v>
      </c>
      <c r="K522" s="1">
        <f t="shared" si="24"/>
        <v>0.52507213322688706</v>
      </c>
      <c r="L522" s="1">
        <f t="shared" si="25"/>
        <v>0.94472825640516112</v>
      </c>
      <c r="M522" s="1">
        <f t="shared" si="26"/>
        <v>273.54362383827146</v>
      </c>
      <c r="N522"/>
      <c r="P522" s="1"/>
    </row>
    <row r="523" spans="1:19" x14ac:dyDescent="0.3">
      <c r="A523" s="1">
        <v>523</v>
      </c>
      <c r="C523" s="1" t="s">
        <v>15</v>
      </c>
      <c r="D523" s="6">
        <v>19.7</v>
      </c>
      <c r="E523" s="1">
        <v>651</v>
      </c>
      <c r="F523" s="1">
        <v>30</v>
      </c>
      <c r="G523" s="1">
        <v>0.46149566764355487</v>
      </c>
      <c r="H523" s="1">
        <v>1.8564979102222008</v>
      </c>
      <c r="I523" s="1">
        <v>575.47038174885529</v>
      </c>
      <c r="K523" s="1">
        <f t="shared" si="24"/>
        <v>0.5381044442971944</v>
      </c>
      <c r="L523" s="1">
        <f t="shared" si="25"/>
        <v>0.92771938196389614</v>
      </c>
      <c r="M523" s="1">
        <f t="shared" si="26"/>
        <v>287.22076651406906</v>
      </c>
      <c r="N523"/>
      <c r="P523" s="1"/>
    </row>
    <row r="524" spans="1:19" x14ac:dyDescent="0.3">
      <c r="A524" s="1">
        <v>524</v>
      </c>
      <c r="C524" s="1" t="s">
        <v>15</v>
      </c>
      <c r="D524" s="6">
        <v>19.7</v>
      </c>
      <c r="E524" s="1">
        <v>652</v>
      </c>
      <c r="F524" s="1">
        <v>45</v>
      </c>
      <c r="G524" s="1">
        <v>0.46455350667391948</v>
      </c>
      <c r="H524" s="1">
        <v>1.8503093343408341</v>
      </c>
      <c r="I524" s="1">
        <v>587.22944953948854</v>
      </c>
      <c r="K524" s="1">
        <f t="shared" si="24"/>
        <v>0.54166988789190118</v>
      </c>
      <c r="L524" s="1">
        <f t="shared" si="25"/>
        <v>0.92462685933821154</v>
      </c>
      <c r="M524" s="1">
        <f t="shared" si="26"/>
        <v>293.08978874602565</v>
      </c>
      <c r="N524"/>
      <c r="P524" s="1"/>
    </row>
    <row r="525" spans="1:19" x14ac:dyDescent="0.3">
      <c r="A525" s="1">
        <v>525</v>
      </c>
      <c r="C525" s="1" t="s">
        <v>15</v>
      </c>
      <c r="D525" s="6">
        <v>19.7</v>
      </c>
      <c r="E525" s="1">
        <v>653</v>
      </c>
      <c r="F525" s="1">
        <v>0</v>
      </c>
      <c r="G525" s="1">
        <v>0.39942824531875604</v>
      </c>
      <c r="H525" s="1">
        <v>1.8895036482561569</v>
      </c>
      <c r="I525" s="1">
        <v>397.56185864706129</v>
      </c>
      <c r="K525" s="1">
        <f t="shared" si="24"/>
        <v>0.46573376318206572</v>
      </c>
      <c r="L525" s="1">
        <f t="shared" si="25"/>
        <v>0.94421283596754713</v>
      </c>
      <c r="M525" s="1">
        <f t="shared" si="26"/>
        <v>198.42554091202632</v>
      </c>
      <c r="N525" s="1">
        <f>SLOPE(K525:K528,F525:F528)</f>
        <v>5.5989013940702808E-4</v>
      </c>
      <c r="O525" s="1">
        <f>SLOPE(L525:L528,F525:F528)</f>
        <v>-6.4255747889223531E-4</v>
      </c>
      <c r="P525" s="1">
        <f>SLOPE(M525:M528,F525:F528)</f>
        <v>2.9641255463342002</v>
      </c>
      <c r="Q525" s="1">
        <f>(N525*41.35/0.31*60)/1000</f>
        <v>4.4809272124801186E-3</v>
      </c>
      <c r="R525" s="1">
        <f>O525*41.35/0.31*60/1000</f>
        <v>-5.1425325971988251E-3</v>
      </c>
      <c r="S525" s="1">
        <f>(O525*41.35/0.31*60)/1000</f>
        <v>-5.1425325971988251E-3</v>
      </c>
    </row>
    <row r="526" spans="1:19" x14ac:dyDescent="0.3">
      <c r="A526" s="1">
        <v>526</v>
      </c>
      <c r="C526" s="1" t="s">
        <v>15</v>
      </c>
      <c r="D526" s="6">
        <v>19.7</v>
      </c>
      <c r="E526" s="1">
        <v>654</v>
      </c>
      <c r="F526" s="1">
        <v>15</v>
      </c>
      <c r="G526" s="1">
        <v>0.41916520633292753</v>
      </c>
      <c r="H526" s="1">
        <v>1.8369007532645396</v>
      </c>
      <c r="I526" s="1">
        <v>617.8877725281402</v>
      </c>
      <c r="K526" s="1">
        <f t="shared" si="24"/>
        <v>0.48874708092971814</v>
      </c>
      <c r="L526" s="1">
        <f t="shared" si="25"/>
        <v>0.91792639364922846</v>
      </c>
      <c r="M526" s="1">
        <f t="shared" si="26"/>
        <v>308.39154415883399</v>
      </c>
      <c r="N526"/>
      <c r="P526" s="1"/>
    </row>
    <row r="527" spans="1:19" x14ac:dyDescent="0.3">
      <c r="A527" s="1">
        <v>527</v>
      </c>
      <c r="C527" s="1" t="s">
        <v>15</v>
      </c>
      <c r="D527" s="6">
        <v>19.7</v>
      </c>
      <c r="E527" s="1">
        <v>655</v>
      </c>
      <c r="F527" s="1">
        <v>30</v>
      </c>
      <c r="G527" s="1">
        <v>0.42286528741669166</v>
      </c>
      <c r="H527" s="1">
        <v>1.851340763654395</v>
      </c>
      <c r="I527" s="1">
        <v>670.25373271113767</v>
      </c>
      <c r="K527" s="1">
        <f t="shared" si="24"/>
        <v>0.49306137944870504</v>
      </c>
      <c r="L527" s="1">
        <f t="shared" si="25"/>
        <v>0.92514227977582564</v>
      </c>
      <c r="M527" s="1">
        <f t="shared" si="26"/>
        <v>334.52771328242534</v>
      </c>
      <c r="N527"/>
      <c r="P527" s="1"/>
    </row>
    <row r="528" spans="1:19" x14ac:dyDescent="0.3">
      <c r="A528" s="1">
        <v>528</v>
      </c>
      <c r="C528" s="1" t="s">
        <v>15</v>
      </c>
      <c r="D528" s="6">
        <v>19.7</v>
      </c>
      <c r="E528" s="1">
        <v>656</v>
      </c>
      <c r="F528" s="1">
        <v>45</v>
      </c>
      <c r="G528" s="1">
        <v>0.42220387395871306</v>
      </c>
      <c r="H528" s="1">
        <v>1.8203978842475614</v>
      </c>
      <c r="I528" s="1">
        <v>677.04998045535365</v>
      </c>
      <c r="K528" s="1">
        <f t="shared" si="24"/>
        <v>0.49229017064608815</v>
      </c>
      <c r="L528" s="1">
        <f t="shared" si="25"/>
        <v>0.90967966664740296</v>
      </c>
      <c r="M528" s="1">
        <f t="shared" si="26"/>
        <v>337.91976185420589</v>
      </c>
      <c r="N528"/>
      <c r="P528" s="1"/>
    </row>
    <row r="529" spans="1:19" x14ac:dyDescent="0.3">
      <c r="A529" s="1">
        <v>529</v>
      </c>
      <c r="C529" s="1" t="s">
        <v>15</v>
      </c>
      <c r="D529" s="6">
        <v>19.7</v>
      </c>
      <c r="E529" s="1">
        <v>657</v>
      </c>
      <c r="F529" s="1">
        <v>0</v>
      </c>
      <c r="G529" s="1">
        <v>0.39991711613552272</v>
      </c>
      <c r="H529" s="1">
        <v>1.8925979361968401</v>
      </c>
      <c r="I529" s="1">
        <v>396.29891220390533</v>
      </c>
      <c r="K529" s="1">
        <f t="shared" si="24"/>
        <v>0.46630378707965192</v>
      </c>
      <c r="L529" s="1">
        <f t="shared" si="25"/>
        <v>0.94575909728038932</v>
      </c>
      <c r="M529" s="1">
        <f t="shared" si="26"/>
        <v>197.79519666326226</v>
      </c>
      <c r="N529" s="1">
        <f>SLOPE(K529:K532,F529:F532)</f>
        <v>6.0497046071941686E-4</v>
      </c>
      <c r="O529" s="1">
        <f>SLOPE(L529:L532,F529:F532)</f>
        <v>-3.2299680757149691E-4</v>
      </c>
      <c r="P529" s="1">
        <f>SLOPE(M529:M532,F529:F532)</f>
        <v>0.89706638382935522</v>
      </c>
      <c r="Q529" s="1">
        <f>(N529*41.35/0.31*60)/1000</f>
        <v>4.8417152033705581E-3</v>
      </c>
      <c r="R529" s="1">
        <f>O529*41.35/0.31*60/1000</f>
        <v>-2.5850163857576891E-3</v>
      </c>
      <c r="S529" s="1">
        <f>(O529*41.35/0.31*60)/1000</f>
        <v>-2.5850163857576891E-3</v>
      </c>
    </row>
    <row r="530" spans="1:19" x14ac:dyDescent="0.3">
      <c r="A530" s="1">
        <v>530</v>
      </c>
      <c r="C530" s="1" t="s">
        <v>15</v>
      </c>
      <c r="D530" s="6">
        <v>19.7</v>
      </c>
      <c r="E530" s="1">
        <v>658</v>
      </c>
      <c r="F530" s="1">
        <v>15</v>
      </c>
      <c r="G530" s="1">
        <v>0.46242548076564066</v>
      </c>
      <c r="H530" s="1">
        <v>1.9060065172731349</v>
      </c>
      <c r="I530" s="1">
        <v>471.87942389214578</v>
      </c>
      <c r="K530" s="1">
        <f t="shared" si="24"/>
        <v>0.5391886073965253</v>
      </c>
      <c r="L530" s="1">
        <f t="shared" si="25"/>
        <v>0.95245956296937251</v>
      </c>
      <c r="M530" s="1">
        <f t="shared" si="26"/>
        <v>235.51788959256723</v>
      </c>
      <c r="N530"/>
      <c r="P530" s="1"/>
    </row>
    <row r="531" spans="1:19" x14ac:dyDescent="0.3">
      <c r="A531" s="1">
        <v>531</v>
      </c>
      <c r="C531" s="1" t="s">
        <v>15</v>
      </c>
      <c r="D531" s="6">
        <v>19.7</v>
      </c>
      <c r="E531" s="1">
        <v>659</v>
      </c>
      <c r="F531" s="1">
        <v>30</v>
      </c>
      <c r="G531" s="1">
        <v>0.4324989182176836</v>
      </c>
      <c r="H531" s="1">
        <v>1.8523721929679564</v>
      </c>
      <c r="I531" s="1">
        <v>478.13912576181838</v>
      </c>
      <c r="K531" s="1">
        <f t="shared" si="24"/>
        <v>0.50429420331290653</v>
      </c>
      <c r="L531" s="1">
        <f t="shared" si="25"/>
        <v>0.92565770021343985</v>
      </c>
      <c r="M531" s="1">
        <f t="shared" si="26"/>
        <v>238.64214485604933</v>
      </c>
      <c r="N531"/>
      <c r="P531" s="1"/>
    </row>
    <row r="532" spans="1:19" x14ac:dyDescent="0.3">
      <c r="A532" s="1">
        <v>532</v>
      </c>
      <c r="C532" s="1" t="s">
        <v>15</v>
      </c>
      <c r="D532" s="6">
        <v>19.7</v>
      </c>
      <c r="E532" s="1">
        <v>660</v>
      </c>
      <c r="F532" s="1">
        <v>45</v>
      </c>
      <c r="G532" s="1">
        <v>0.43583474261444499</v>
      </c>
      <c r="H532" s="1">
        <v>1.8781579258069845</v>
      </c>
      <c r="I532" s="1">
        <v>484.07965162407038</v>
      </c>
      <c r="K532" s="1">
        <f t="shared" si="24"/>
        <v>0.50818377814349569</v>
      </c>
      <c r="L532" s="1">
        <f t="shared" si="25"/>
        <v>0.93854321115379202</v>
      </c>
      <c r="M532" s="1">
        <f t="shared" si="26"/>
        <v>241.60709743356932</v>
      </c>
      <c r="N532"/>
      <c r="P532" s="1"/>
    </row>
    <row r="533" spans="1:19" x14ac:dyDescent="0.3">
      <c r="A533" s="1">
        <v>533</v>
      </c>
      <c r="C533" s="1" t="s">
        <v>15</v>
      </c>
      <c r="D533" s="6">
        <v>19.7</v>
      </c>
      <c r="E533" s="1" t="s">
        <v>114</v>
      </c>
      <c r="G533" s="1">
        <v>0.40158502833390347</v>
      </c>
      <c r="H533" s="1">
        <v>1.8441207584594674</v>
      </c>
      <c r="I533" s="1">
        <v>400.97190576082579</v>
      </c>
      <c r="K533" s="1">
        <f t="shared" si="24"/>
        <v>0.46824857449494656</v>
      </c>
      <c r="L533" s="1">
        <f t="shared" si="25"/>
        <v>0.92153433671252705</v>
      </c>
      <c r="M533" s="1">
        <f t="shared" si="26"/>
        <v>200.12751616032327</v>
      </c>
      <c r="N533"/>
      <c r="P533" s="1"/>
    </row>
    <row r="534" spans="1:19" x14ac:dyDescent="0.3">
      <c r="A534" s="1">
        <v>534</v>
      </c>
      <c r="C534" s="1" t="s">
        <v>15</v>
      </c>
      <c r="D534" s="6">
        <v>19.7</v>
      </c>
      <c r="E534" s="1" t="s">
        <v>115</v>
      </c>
      <c r="G534" s="1">
        <v>0.39972540208973184</v>
      </c>
      <c r="H534" s="1">
        <v>1.8173035963068782</v>
      </c>
      <c r="I534" s="1">
        <v>401.86064585045403</v>
      </c>
      <c r="K534" s="1">
        <f t="shared" si="24"/>
        <v>0.46608024829628475</v>
      </c>
      <c r="L534" s="1">
        <f t="shared" si="25"/>
        <v>0.90813340533456077</v>
      </c>
      <c r="M534" s="1">
        <f t="shared" si="26"/>
        <v>200.57109174278685</v>
      </c>
      <c r="N534"/>
      <c r="P534" s="1"/>
    </row>
    <row r="535" spans="1:19" x14ac:dyDescent="0.3">
      <c r="A535" s="1">
        <v>535</v>
      </c>
      <c r="C535" s="1" t="s">
        <v>15</v>
      </c>
      <c r="D535" s="6">
        <v>19.7</v>
      </c>
      <c r="E535" s="1" t="s">
        <v>116</v>
      </c>
      <c r="G535" s="1">
        <v>0.40044432976144767</v>
      </c>
      <c r="H535" s="1">
        <v>1.8276178894424895</v>
      </c>
      <c r="I535" s="1">
        <v>399.4604055877532</v>
      </c>
      <c r="K535" s="1">
        <f t="shared" si="24"/>
        <v>0.46691851873391171</v>
      </c>
      <c r="L535" s="1">
        <f t="shared" si="25"/>
        <v>0.91328760971070166</v>
      </c>
      <c r="M535" s="1">
        <f t="shared" si="26"/>
        <v>199.37311723369783</v>
      </c>
      <c r="N535"/>
      <c r="P535" s="1"/>
    </row>
    <row r="536" spans="1:19" x14ac:dyDescent="0.3">
      <c r="A536" s="1">
        <v>536</v>
      </c>
      <c r="B536" s="1" t="s">
        <v>119</v>
      </c>
      <c r="C536" s="1" t="s">
        <v>15</v>
      </c>
      <c r="D536" s="1">
        <v>18</v>
      </c>
      <c r="E536" s="1">
        <v>1</v>
      </c>
      <c r="F536" s="1">
        <v>0</v>
      </c>
      <c r="G536" s="1">
        <v>0.39794246146387668</v>
      </c>
      <c r="H536" s="1">
        <v>1.7647007013152609</v>
      </c>
      <c r="I536" s="1">
        <v>401.54697287764407</v>
      </c>
      <c r="K536" s="1">
        <f t="shared" si="24"/>
        <v>0.46671060181821244</v>
      </c>
      <c r="L536" s="1">
        <f t="shared" si="25"/>
        <v>0.88699599216660308</v>
      </c>
      <c r="M536" s="1">
        <f t="shared" si="26"/>
        <v>201.58473902292744</v>
      </c>
      <c r="N536" s="1">
        <f>SLOPE(K536:K539,F536:F539)</f>
        <v>2.0158764209470379E-3</v>
      </c>
      <c r="O536" s="1">
        <f>SLOPE(L536:L539,F536:F539)</f>
        <v>-2.5230256766468542E-4</v>
      </c>
      <c r="P536" s="1">
        <f>SLOPE(M536:M539,F536:F539)</f>
        <v>4.5089030251574789</v>
      </c>
      <c r="Q536" s="1">
        <f>(N536*41.35/0.31*60)/1000</f>
        <v>1.6133514194740649E-2</v>
      </c>
      <c r="R536" s="1">
        <f>O536*41.35/0.31*60/1000</f>
        <v>-2.0192344205680144E-3</v>
      </c>
      <c r="S536" s="1">
        <f>(O536*41.35/0.31*60)/1000</f>
        <v>-2.0192344205680144E-3</v>
      </c>
    </row>
    <row r="537" spans="1:19" x14ac:dyDescent="0.3">
      <c r="A537" s="1">
        <v>537</v>
      </c>
      <c r="C537" s="1" t="s">
        <v>15</v>
      </c>
      <c r="D537" s="1">
        <v>18</v>
      </c>
      <c r="E537" s="1">
        <v>2</v>
      </c>
      <c r="F537" s="1">
        <v>15</v>
      </c>
      <c r="G537" s="1">
        <v>0.4018630137003002</v>
      </c>
      <c r="H537" s="1">
        <v>1.7997692979763389</v>
      </c>
      <c r="I537" s="1">
        <v>425.86579999476777</v>
      </c>
      <c r="K537" s="1">
        <f t="shared" si="24"/>
        <v>0.47130866176635156</v>
      </c>
      <c r="L537" s="1">
        <f t="shared" si="25"/>
        <v>0.90462260990756038</v>
      </c>
      <c r="M537" s="1">
        <f t="shared" si="26"/>
        <v>213.79328434607413</v>
      </c>
      <c r="N537"/>
      <c r="P537" s="1"/>
    </row>
    <row r="538" spans="1:19" x14ac:dyDescent="0.3">
      <c r="A538" s="1">
        <v>538</v>
      </c>
      <c r="C538" s="1" t="s">
        <v>15</v>
      </c>
      <c r="D538" s="1">
        <v>18</v>
      </c>
      <c r="E538" s="1">
        <v>3</v>
      </c>
      <c r="F538" s="1">
        <v>30</v>
      </c>
      <c r="G538" s="1">
        <v>0.45939639884214467</v>
      </c>
      <c r="H538" s="1">
        <v>1.7461349736711607</v>
      </c>
      <c r="I538" s="1">
        <v>721.77956294356795</v>
      </c>
      <c r="K538" s="1">
        <f t="shared" si="24"/>
        <v>0.53878434834026767</v>
      </c>
      <c r="L538" s="1">
        <f t="shared" si="25"/>
        <v>0.87766425336256682</v>
      </c>
      <c r="M538" s="1">
        <f t="shared" si="26"/>
        <v>362.34800572733297</v>
      </c>
      <c r="N538"/>
      <c r="P538" s="1"/>
    </row>
    <row r="539" spans="1:19" x14ac:dyDescent="0.3">
      <c r="A539" s="1">
        <v>539</v>
      </c>
      <c r="C539" s="1" t="s">
        <v>15</v>
      </c>
      <c r="D539" s="1">
        <v>18</v>
      </c>
      <c r="E539" s="1">
        <v>4</v>
      </c>
      <c r="F539" s="1">
        <v>45</v>
      </c>
      <c r="G539" s="1">
        <v>0.46470687791055221</v>
      </c>
      <c r="H539" s="1">
        <v>1.7574806961203329</v>
      </c>
      <c r="I539" s="1">
        <v>751.98480274927169</v>
      </c>
      <c r="K539" s="1">
        <f t="shared" si="24"/>
        <v>0.54501252734092565</v>
      </c>
      <c r="L539" s="1">
        <f t="shared" si="25"/>
        <v>0.88336698263169999</v>
      </c>
      <c r="M539" s="1">
        <f t="shared" si="26"/>
        <v>377.51164982038176</v>
      </c>
      <c r="N539"/>
      <c r="P539" s="1"/>
    </row>
    <row r="540" spans="1:19" x14ac:dyDescent="0.3">
      <c r="A540" s="1">
        <v>540</v>
      </c>
      <c r="C540" s="1" t="s">
        <v>15</v>
      </c>
      <c r="D540" s="1">
        <v>18</v>
      </c>
      <c r="E540" s="1">
        <v>5</v>
      </c>
      <c r="F540" s="1">
        <v>0</v>
      </c>
      <c r="G540" s="1">
        <v>0.39983084481491687</v>
      </c>
      <c r="H540" s="1">
        <v>1.7595435547474554</v>
      </c>
      <c r="I540" s="1">
        <v>409.24021526340431</v>
      </c>
      <c r="K540" s="1">
        <f t="shared" si="24"/>
        <v>0.46892531528956549</v>
      </c>
      <c r="L540" s="1">
        <f t="shared" si="25"/>
        <v>0.88440384249881521</v>
      </c>
      <c r="M540" s="1">
        <f t="shared" si="26"/>
        <v>205.44690301201115</v>
      </c>
      <c r="N540" s="1">
        <f>SLOPE(K540:K543,F540:F543)</f>
        <v>3.3279910992204476E-3</v>
      </c>
      <c r="O540" s="1">
        <f>SLOPE(L540:L543,F540:F543)</f>
        <v>-7.3962670520879648E-4</v>
      </c>
      <c r="P540" s="1">
        <f>SLOPE(M540:M543,F540:F543)</f>
        <v>5.3556660574327006</v>
      </c>
      <c r="Q540" s="1">
        <f>(N540*41.35/0.31*60)/1000</f>
        <v>2.6634664248922354E-2</v>
      </c>
      <c r="R540" s="1">
        <f>O540*41.35/0.31*60/1000</f>
        <v>-5.9193995342678198E-3</v>
      </c>
      <c r="S540" s="1">
        <f>(O540*41.35/0.31*60)/1000</f>
        <v>-5.9193995342678198E-3</v>
      </c>
    </row>
    <row r="541" spans="1:19" x14ac:dyDescent="0.3">
      <c r="A541" s="1">
        <v>541</v>
      </c>
      <c r="C541" s="1" t="s">
        <v>15</v>
      </c>
      <c r="D541" s="1">
        <v>18</v>
      </c>
      <c r="E541" s="1">
        <v>6</v>
      </c>
      <c r="F541" s="1">
        <v>15</v>
      </c>
      <c r="G541" s="1">
        <v>0.41094067376849858</v>
      </c>
      <c r="H541" s="1">
        <v>1.7616064133745775</v>
      </c>
      <c r="I541" s="1">
        <v>454.48708300502466</v>
      </c>
      <c r="K541" s="1">
        <f t="shared" si="24"/>
        <v>0.48195502550935365</v>
      </c>
      <c r="L541" s="1">
        <f t="shared" si="25"/>
        <v>0.88544070236593031</v>
      </c>
      <c r="M541" s="1">
        <f t="shared" si="26"/>
        <v>228.16174994494702</v>
      </c>
      <c r="N541"/>
      <c r="P541" s="1"/>
    </row>
    <row r="542" spans="1:19" x14ac:dyDescent="0.3">
      <c r="A542" s="1">
        <v>542</v>
      </c>
      <c r="C542" s="1" t="s">
        <v>15</v>
      </c>
      <c r="D542" s="1">
        <v>18</v>
      </c>
      <c r="E542" s="1">
        <v>7</v>
      </c>
      <c r="F542" s="1">
        <v>30</v>
      </c>
      <c r="G542" s="1">
        <v>0.49529485391648781</v>
      </c>
      <c r="H542" s="1">
        <v>1.7110663770100825</v>
      </c>
      <c r="I542" s="1">
        <v>781.06283763221677</v>
      </c>
      <c r="K542" s="1">
        <f t="shared" si="24"/>
        <v>0.58088638869670151</v>
      </c>
      <c r="L542" s="1">
        <f t="shared" si="25"/>
        <v>0.86003763562160951</v>
      </c>
      <c r="M542" s="1">
        <f t="shared" si="26"/>
        <v>392.10941413963661</v>
      </c>
      <c r="N542"/>
      <c r="P542" s="1"/>
    </row>
    <row r="543" spans="1:19" x14ac:dyDescent="0.3">
      <c r="A543" s="1">
        <v>543</v>
      </c>
      <c r="C543" s="1" t="s">
        <v>15</v>
      </c>
      <c r="D543" s="1">
        <v>18</v>
      </c>
      <c r="E543" s="1">
        <v>8</v>
      </c>
      <c r="F543" s="1">
        <v>45</v>
      </c>
      <c r="G543" s="1">
        <v>0.51359395958722776</v>
      </c>
      <c r="H543" s="1">
        <v>1.7028149425015935</v>
      </c>
      <c r="I543" s="1">
        <v>833.79291527195562</v>
      </c>
      <c r="K543" s="1">
        <f t="shared" si="24"/>
        <v>0.6023477491881386</v>
      </c>
      <c r="L543" s="1">
        <f t="shared" si="25"/>
        <v>0.85589019615314899</v>
      </c>
      <c r="M543" s="1">
        <f t="shared" si="26"/>
        <v>418.58098448541631</v>
      </c>
      <c r="N543"/>
      <c r="P543" s="1"/>
    </row>
    <row r="544" spans="1:19" x14ac:dyDescent="0.3">
      <c r="A544" s="1">
        <v>544</v>
      </c>
      <c r="C544" s="1" t="s">
        <v>15</v>
      </c>
      <c r="D544" s="1">
        <v>18</v>
      </c>
      <c r="E544" s="1">
        <v>9</v>
      </c>
      <c r="F544" s="1">
        <v>0</v>
      </c>
      <c r="G544" s="1">
        <v>0.40411565373834313</v>
      </c>
      <c r="H544" s="1">
        <v>1.7554178374932108</v>
      </c>
      <c r="I544" s="1">
        <v>407.1719914222158</v>
      </c>
      <c r="K544" s="1">
        <f t="shared" si="24"/>
        <v>0.4739505788514683</v>
      </c>
      <c r="L544" s="1">
        <f t="shared" si="25"/>
        <v>0.882330122764585</v>
      </c>
      <c r="M544" s="1">
        <f t="shared" si="26"/>
        <v>204.40861262152666</v>
      </c>
      <c r="N544" s="1">
        <f>SLOPE(K544:K547,F544:F547)</f>
        <v>3.4939259765664988E-3</v>
      </c>
      <c r="O544" s="1">
        <f>SLOPE(L544:L547,F544:F547)</f>
        <v>-1.9354717519482736E-4</v>
      </c>
      <c r="P544" s="1">
        <f>SLOPE(M544:M547,F544:F547)</f>
        <v>1.3772104750200864</v>
      </c>
      <c r="Q544" s="1">
        <f>(N544*41.35/0.31*60)/1000</f>
        <v>2.7962678541488657E-2</v>
      </c>
      <c r="R544" s="1">
        <f>O544*41.35/0.31*60/1000</f>
        <v>-1.5490017472850541E-3</v>
      </c>
      <c r="S544" s="1">
        <f>(O544*41.35/0.31*60)/1000</f>
        <v>-1.5490017472850541E-3</v>
      </c>
    </row>
    <row r="545" spans="1:19" x14ac:dyDescent="0.3">
      <c r="A545" s="1">
        <v>545</v>
      </c>
      <c r="C545" s="1" t="s">
        <v>15</v>
      </c>
      <c r="D545" s="1">
        <v>18</v>
      </c>
      <c r="E545" s="1">
        <v>10</v>
      </c>
      <c r="F545" s="1">
        <v>15</v>
      </c>
      <c r="G545" s="1">
        <v>0.45531288966679889</v>
      </c>
      <c r="H545" s="1">
        <v>1.8678436326713734</v>
      </c>
      <c r="I545" s="1">
        <v>453.42316298028913</v>
      </c>
      <c r="K545" s="1">
        <f t="shared" si="24"/>
        <v>0.53399517098597105</v>
      </c>
      <c r="L545" s="1">
        <f t="shared" si="25"/>
        <v>0.93883898552236011</v>
      </c>
      <c r="M545" s="1">
        <f t="shared" si="26"/>
        <v>227.62764047578432</v>
      </c>
      <c r="N545"/>
      <c r="P545" s="1"/>
    </row>
    <row r="546" spans="1:19" x14ac:dyDescent="0.3">
      <c r="A546" s="1">
        <v>546</v>
      </c>
      <c r="C546" s="1" t="s">
        <v>15</v>
      </c>
      <c r="D546" s="1">
        <v>18</v>
      </c>
      <c r="E546" s="1">
        <v>11</v>
      </c>
      <c r="F546" s="1">
        <v>30</v>
      </c>
      <c r="G546" s="1">
        <v>0.48649517921468627</v>
      </c>
      <c r="H546" s="1">
        <v>1.7977064393492168</v>
      </c>
      <c r="I546" s="1">
        <v>474.57682802382453</v>
      </c>
      <c r="K546" s="1">
        <f t="shared" si="24"/>
        <v>0.57056604876420325</v>
      </c>
      <c r="L546" s="1">
        <f t="shared" si="25"/>
        <v>0.90358575004044539</v>
      </c>
      <c r="M546" s="1">
        <f t="shared" si="26"/>
        <v>238.24721012817184</v>
      </c>
      <c r="N546"/>
      <c r="P546" s="1"/>
    </row>
    <row r="547" spans="1:19" x14ac:dyDescent="0.3">
      <c r="A547" s="1">
        <v>547</v>
      </c>
      <c r="C547" s="1" t="s">
        <v>15</v>
      </c>
      <c r="D547" s="1">
        <v>18</v>
      </c>
      <c r="E547" s="1">
        <v>12</v>
      </c>
      <c r="F547" s="1">
        <v>45</v>
      </c>
      <c r="G547" s="1">
        <v>0.54267698033370493</v>
      </c>
      <c r="H547" s="1">
        <v>1.7595435547474554</v>
      </c>
      <c r="I547" s="1">
        <v>537.287576102505</v>
      </c>
      <c r="K547" s="1">
        <f t="shared" si="24"/>
        <v>0.63645658508704916</v>
      </c>
      <c r="L547" s="1">
        <f t="shared" si="25"/>
        <v>0.88440384249881521</v>
      </c>
      <c r="M547" s="1">
        <f t="shared" si="26"/>
        <v>269.72927982173513</v>
      </c>
      <c r="N547"/>
      <c r="P547" s="1"/>
    </row>
    <row r="548" spans="1:19" x14ac:dyDescent="0.3">
      <c r="A548" s="1">
        <v>548</v>
      </c>
      <c r="C548" s="1" t="s">
        <v>15</v>
      </c>
      <c r="D548" s="1">
        <v>18</v>
      </c>
      <c r="E548" s="1">
        <v>13</v>
      </c>
      <c r="F548" s="1">
        <v>0</v>
      </c>
      <c r="G548" s="1">
        <v>0.39803831848677212</v>
      </c>
      <c r="H548" s="1">
        <v>1.7873921462136055</v>
      </c>
      <c r="I548" s="1">
        <v>405.48531131403587</v>
      </c>
      <c r="K548" s="1">
        <f t="shared" si="24"/>
        <v>0.46682302382183438</v>
      </c>
      <c r="L548" s="1">
        <f t="shared" si="25"/>
        <v>0.89840145070486965</v>
      </c>
      <c r="M548" s="1">
        <f t="shared" si="26"/>
        <v>203.56186493722467</v>
      </c>
      <c r="N548" s="1">
        <f>SLOPE(K548:K551,F548:F551)</f>
        <v>5.4254858947970226E-4</v>
      </c>
      <c r="O548" s="1">
        <f>SLOPE(L548:L551,F548:F551)</f>
        <v>-4.0783154773195532E-4</v>
      </c>
      <c r="P548" s="1">
        <f>SLOPE(M548:M551,F548:F551)</f>
        <v>2.567691368269438</v>
      </c>
      <c r="Q548" s="1">
        <f>(N548*41.35/0.31*60)/1000</f>
        <v>4.3421388725778751E-3</v>
      </c>
      <c r="R548" s="1">
        <f>O548*41.35/0.31*60/1000</f>
        <v>-3.2639679674934881E-3</v>
      </c>
      <c r="S548" s="1">
        <f>(O548*41.35/0.31*60)/1000</f>
        <v>-3.2639679674934881E-3</v>
      </c>
    </row>
    <row r="549" spans="1:19" x14ac:dyDescent="0.3">
      <c r="A549" s="1">
        <v>549</v>
      </c>
      <c r="C549" s="1" t="s">
        <v>15</v>
      </c>
      <c r="D549" s="1">
        <v>18</v>
      </c>
      <c r="E549" s="1">
        <v>14</v>
      </c>
      <c r="F549" s="1">
        <v>15</v>
      </c>
      <c r="G549" s="1">
        <v>0.40295578376130831</v>
      </c>
      <c r="H549" s="1">
        <v>1.7791407117051166</v>
      </c>
      <c r="I549" s="1">
        <v>452.16847108904921</v>
      </c>
      <c r="K549" s="1">
        <f t="shared" si="24"/>
        <v>0.47259027260764225</v>
      </c>
      <c r="L549" s="1">
        <f t="shared" si="25"/>
        <v>0.89425401123640913</v>
      </c>
      <c r="M549" s="1">
        <f t="shared" si="26"/>
        <v>226.99775965353027</v>
      </c>
      <c r="N549"/>
      <c r="P549" s="1"/>
    </row>
    <row r="550" spans="1:19" x14ac:dyDescent="0.3">
      <c r="A550" s="1">
        <v>550</v>
      </c>
      <c r="C550" s="1" t="s">
        <v>15</v>
      </c>
      <c r="D550" s="1">
        <v>18</v>
      </c>
      <c r="E550" s="1">
        <v>15</v>
      </c>
      <c r="F550" s="1">
        <v>30</v>
      </c>
      <c r="G550" s="1">
        <v>0.41897349228713665</v>
      </c>
      <c r="H550" s="1">
        <v>1.7719207065101887</v>
      </c>
      <c r="I550" s="1">
        <v>612.09124273820157</v>
      </c>
      <c r="K550" s="1">
        <f t="shared" si="24"/>
        <v>0.49137598941287608</v>
      </c>
      <c r="L550" s="1">
        <f t="shared" si="25"/>
        <v>0.89062500170150605</v>
      </c>
      <c r="M550" s="1">
        <f t="shared" si="26"/>
        <v>307.28224033504915</v>
      </c>
      <c r="N550"/>
      <c r="P550" s="1"/>
    </row>
    <row r="551" spans="1:19" x14ac:dyDescent="0.3">
      <c r="A551" s="1">
        <v>551</v>
      </c>
      <c r="C551" s="1" t="s">
        <v>15</v>
      </c>
      <c r="D551" s="1">
        <v>18</v>
      </c>
      <c r="E551" s="1">
        <v>16</v>
      </c>
      <c r="F551" s="1">
        <v>45</v>
      </c>
      <c r="G551" s="1">
        <v>0.41582938193616614</v>
      </c>
      <c r="H551" s="1">
        <v>1.7492292616118441</v>
      </c>
      <c r="I551" s="1">
        <v>607.91352229624431</v>
      </c>
      <c r="K551" s="1">
        <f t="shared" si="24"/>
        <v>0.48768854769407488</v>
      </c>
      <c r="L551" s="1">
        <f t="shared" si="25"/>
        <v>0.87921954316323958</v>
      </c>
      <c r="M551" s="1">
        <f t="shared" si="26"/>
        <v>305.1849397901903</v>
      </c>
      <c r="N551"/>
      <c r="P551" s="1"/>
    </row>
    <row r="552" spans="1:19" x14ac:dyDescent="0.3">
      <c r="A552" s="1">
        <v>552</v>
      </c>
      <c r="C552" s="1" t="s">
        <v>15</v>
      </c>
      <c r="D552" s="1">
        <v>18</v>
      </c>
      <c r="E552" s="1">
        <v>17</v>
      </c>
      <c r="F552" s="1">
        <v>0</v>
      </c>
      <c r="G552" s="1">
        <v>0.39892020309741016</v>
      </c>
      <c r="H552" s="1">
        <v>1.7698578478830667</v>
      </c>
      <c r="I552" s="1">
        <v>405.13495144382125</v>
      </c>
      <c r="K552" s="1">
        <f t="shared" si="24"/>
        <v>0.46785730625515659</v>
      </c>
      <c r="L552" s="1">
        <f t="shared" si="25"/>
        <v>0.88958814183439094</v>
      </c>
      <c r="M552" s="1">
        <f t="shared" si="26"/>
        <v>203.38597716375907</v>
      </c>
      <c r="N552" s="1">
        <f>SLOPE(K552:K555,F552:F555)</f>
        <v>9.3520117413009726E-4</v>
      </c>
      <c r="O552" s="1">
        <f>SLOPE(L552:L555,F552:F555)</f>
        <v>3.801819512755373E-5</v>
      </c>
      <c r="P552" s="1">
        <f>SLOPE(M552:M555,F552:F555)</f>
        <v>2.2743701122649274</v>
      </c>
      <c r="Q552" s="1">
        <f>(N552*41.35/0.31*60)/1000</f>
        <v>7.4846261710218437E-3</v>
      </c>
      <c r="R552" s="1">
        <f>O552*41.35/0.31*60/1000</f>
        <v>3.0426820035955106E-4</v>
      </c>
      <c r="S552" s="1">
        <f>(O552*41.35/0.31*60)/1000</f>
        <v>3.0426820035955106E-4</v>
      </c>
    </row>
    <row r="553" spans="1:19" x14ac:dyDescent="0.3">
      <c r="A553" s="1">
        <v>553</v>
      </c>
      <c r="C553" s="1" t="s">
        <v>15</v>
      </c>
      <c r="D553" s="1">
        <v>18</v>
      </c>
      <c r="E553" s="1">
        <v>18</v>
      </c>
      <c r="F553" s="1">
        <v>15</v>
      </c>
      <c r="G553" s="1">
        <v>0.40060728670036999</v>
      </c>
      <c r="H553" s="1">
        <v>1.7750149944508722</v>
      </c>
      <c r="I553" s="1">
        <v>424.40749582293193</v>
      </c>
      <c r="K553" s="1">
        <f t="shared" si="24"/>
        <v>0.46983593351890363</v>
      </c>
      <c r="L553" s="1">
        <f t="shared" si="25"/>
        <v>0.89218029150217881</v>
      </c>
      <c r="M553" s="1">
        <f t="shared" si="26"/>
        <v>213.06118602196312</v>
      </c>
      <c r="N553"/>
      <c r="P553" s="1"/>
    </row>
    <row r="554" spans="1:19" x14ac:dyDescent="0.3">
      <c r="A554" s="1">
        <v>554</v>
      </c>
      <c r="C554" s="1" t="s">
        <v>15</v>
      </c>
      <c r="D554" s="1">
        <v>18</v>
      </c>
      <c r="E554" s="1">
        <v>19</v>
      </c>
      <c r="F554" s="1">
        <v>30</v>
      </c>
      <c r="G554" s="1">
        <v>0.41401768420344232</v>
      </c>
      <c r="H554" s="1">
        <v>1.873000779239179</v>
      </c>
      <c r="I554" s="1">
        <v>503.16784434372255</v>
      </c>
      <c r="K554" s="1">
        <f t="shared" si="24"/>
        <v>0.48556377182561944</v>
      </c>
      <c r="L554" s="1">
        <f t="shared" si="25"/>
        <v>0.94143113519014787</v>
      </c>
      <c r="M554" s="1">
        <f t="shared" si="26"/>
        <v>252.60048123352544</v>
      </c>
      <c r="N554"/>
      <c r="P554" s="1"/>
    </row>
    <row r="555" spans="1:19" x14ac:dyDescent="0.3">
      <c r="A555" s="1">
        <v>555</v>
      </c>
      <c r="C555" s="1" t="s">
        <v>15</v>
      </c>
      <c r="D555" s="1">
        <v>18</v>
      </c>
      <c r="E555" s="1">
        <v>20</v>
      </c>
      <c r="F555" s="1">
        <v>45</v>
      </c>
      <c r="G555" s="1">
        <v>0.43432020165269702</v>
      </c>
      <c r="H555" s="1">
        <v>1.7409778271033551</v>
      </c>
      <c r="I555" s="1">
        <v>605.4032213413293</v>
      </c>
      <c r="K555" s="1">
        <f t="shared" si="24"/>
        <v>0.50937475219275619</v>
      </c>
      <c r="L555" s="1">
        <f t="shared" si="25"/>
        <v>0.87507210369477895</v>
      </c>
      <c r="M555" s="1">
        <f t="shared" si="26"/>
        <v>303.92471770648467</v>
      </c>
      <c r="N555"/>
      <c r="P555" s="1"/>
    </row>
    <row r="556" spans="1:19" x14ac:dyDescent="0.3">
      <c r="A556" s="1">
        <v>556</v>
      </c>
      <c r="C556" s="1" t="s">
        <v>15</v>
      </c>
      <c r="D556" s="1">
        <v>18</v>
      </c>
      <c r="E556" s="1">
        <v>21</v>
      </c>
      <c r="F556" s="1">
        <v>0</v>
      </c>
      <c r="G556" s="1">
        <v>0.40822792002055763</v>
      </c>
      <c r="H556" s="1">
        <v>1.7812035703322389</v>
      </c>
      <c r="I556" s="1">
        <v>413.12260618125401</v>
      </c>
      <c r="K556" s="1">
        <f t="shared" si="24"/>
        <v>0.4787734828068515</v>
      </c>
      <c r="L556" s="1">
        <f t="shared" si="25"/>
        <v>0.89529087110352423</v>
      </c>
      <c r="M556" s="1">
        <f t="shared" si="26"/>
        <v>207.3959421352576</v>
      </c>
      <c r="N556" s="1">
        <f>SLOPE(K556:K559,F556:F559)</f>
        <v>1.0946080804658304E-2</v>
      </c>
      <c r="O556" s="1">
        <f>SLOPE(L556:L559,F556:F559)</f>
        <v>-6.3594071849728683E-4</v>
      </c>
      <c r="P556" s="1">
        <f>SLOPE(M556:M559,F556:F559)</f>
        <v>10.301602620935268</v>
      </c>
      <c r="Q556" s="1">
        <f>(N556*41.35/0.31*60)/1000</f>
        <v>8.7603956375345987E-2</v>
      </c>
      <c r="R556" s="1">
        <f>O556*41.35/0.31*60/1000</f>
        <v>-5.0895771696508668E-3</v>
      </c>
      <c r="S556" s="1">
        <f>(O556*41.35/0.31*60)/1000</f>
        <v>-5.0895771696508668E-3</v>
      </c>
    </row>
    <row r="557" spans="1:19" x14ac:dyDescent="0.3">
      <c r="A557" s="1">
        <v>557</v>
      </c>
      <c r="C557" s="1" t="s">
        <v>15</v>
      </c>
      <c r="D557" s="1">
        <v>18</v>
      </c>
      <c r="E557" s="1">
        <v>22</v>
      </c>
      <c r="F557" s="1">
        <v>15</v>
      </c>
      <c r="G557" s="1">
        <v>0.46802353090273446</v>
      </c>
      <c r="H557" s="1">
        <v>1.7543864081796499</v>
      </c>
      <c r="I557" s="1">
        <v>489.56525995850433</v>
      </c>
      <c r="K557" s="1">
        <f t="shared" si="24"/>
        <v>0.54890232866624644</v>
      </c>
      <c r="L557" s="1">
        <f t="shared" si="25"/>
        <v>0.88181169283102745</v>
      </c>
      <c r="M557" s="1">
        <f t="shared" si="26"/>
        <v>245.77170749460075</v>
      </c>
      <c r="N557"/>
      <c r="P557" s="1"/>
    </row>
    <row r="558" spans="1:19" x14ac:dyDescent="0.3">
      <c r="A558" s="1">
        <v>558</v>
      </c>
      <c r="C558" s="1" t="s">
        <v>15</v>
      </c>
      <c r="D558" s="1">
        <v>18</v>
      </c>
      <c r="E558" s="1">
        <v>23</v>
      </c>
      <c r="F558" s="1">
        <v>30</v>
      </c>
      <c r="G558" s="1">
        <v>0.7664360288785359</v>
      </c>
      <c r="H558" s="1">
        <v>1.7255063873999381</v>
      </c>
      <c r="I558" s="1">
        <v>1175.1094652763461</v>
      </c>
      <c r="K558" s="1">
        <f t="shared" si="24"/>
        <v>0.8988832681418516</v>
      </c>
      <c r="L558" s="1">
        <f t="shared" si="25"/>
        <v>0.86729565469141545</v>
      </c>
      <c r="M558" s="1">
        <f t="shared" si="26"/>
        <v>589.92882746319526</v>
      </c>
      <c r="N558"/>
      <c r="P558" s="1"/>
    </row>
    <row r="559" spans="1:19" x14ac:dyDescent="0.3">
      <c r="A559" s="1">
        <v>559</v>
      </c>
      <c r="C559" s="1" t="s">
        <v>15</v>
      </c>
      <c r="D559" s="1">
        <v>18</v>
      </c>
      <c r="E559" s="1">
        <v>24</v>
      </c>
      <c r="F559" s="1">
        <v>45</v>
      </c>
      <c r="G559" s="1">
        <v>0.77541783192383884</v>
      </c>
      <c r="H559" s="1">
        <v>1.7275692460270604</v>
      </c>
      <c r="I559" s="1">
        <v>1210.6223819640709</v>
      </c>
      <c r="K559" s="1">
        <f t="shared" si="24"/>
        <v>0.90941720988123165</v>
      </c>
      <c r="L559" s="1">
        <f t="shared" si="25"/>
        <v>0.86833251455853055</v>
      </c>
      <c r="M559" s="1">
        <f t="shared" si="26"/>
        <v>607.75703319248953</v>
      </c>
      <c r="N559"/>
      <c r="P559" s="1"/>
    </row>
    <row r="560" spans="1:19" x14ac:dyDescent="0.3">
      <c r="A560" s="1">
        <v>560</v>
      </c>
      <c r="C560" s="1" t="s">
        <v>15</v>
      </c>
      <c r="D560" s="1">
        <v>18</v>
      </c>
      <c r="E560" s="1">
        <v>25</v>
      </c>
      <c r="F560" s="1">
        <v>0</v>
      </c>
      <c r="G560" s="1">
        <v>0.39872848905161928</v>
      </c>
      <c r="H560" s="1">
        <v>1.7616064133745775</v>
      </c>
      <c r="I560" s="1">
        <v>409.32918098961068</v>
      </c>
      <c r="K560" s="1">
        <f t="shared" si="24"/>
        <v>0.46763246224791261</v>
      </c>
      <c r="L560" s="1">
        <f t="shared" si="25"/>
        <v>0.88544070236593031</v>
      </c>
      <c r="M560" s="1">
        <f t="shared" si="26"/>
        <v>205.49156561417388</v>
      </c>
      <c r="N560" s="1">
        <f>SLOPE(K560:K563,F560:F563)</f>
        <v>3.2725295774336041E-3</v>
      </c>
      <c r="O560" s="1">
        <f>SLOPE(L560:L563,F560:F563)</f>
        <v>-3.2488275836274562E-4</v>
      </c>
      <c r="P560" s="1">
        <f>SLOPE(M560:M563,F560:F563)</f>
        <v>8.1854731824910818</v>
      </c>
      <c r="Q560" s="1">
        <f>(N560*41.35/0.31*60)/1000</f>
        <v>2.619079316649281E-2</v>
      </c>
      <c r="R560" s="1">
        <f>O560*41.35/0.31*60/1000</f>
        <v>-2.6001100757999094E-3</v>
      </c>
      <c r="S560" s="1">
        <f>(O560*41.35/0.31*60)/1000</f>
        <v>-2.6001100757999094E-3</v>
      </c>
    </row>
    <row r="561" spans="1:19" x14ac:dyDescent="0.3">
      <c r="A561" s="1">
        <v>561</v>
      </c>
      <c r="C561" s="1" t="s">
        <v>15</v>
      </c>
      <c r="D561" s="1">
        <v>18</v>
      </c>
      <c r="E561" s="1">
        <v>26</v>
      </c>
      <c r="F561" s="1">
        <v>15</v>
      </c>
      <c r="G561" s="1">
        <v>0.40887974777624658</v>
      </c>
      <c r="H561" s="1">
        <v>1.7574806961203329</v>
      </c>
      <c r="I561" s="1">
        <v>466.62402583892612</v>
      </c>
      <c r="K561" s="1">
        <f t="shared" si="24"/>
        <v>0.47953795243148095</v>
      </c>
      <c r="L561" s="1">
        <f t="shared" si="25"/>
        <v>0.88336698263169999</v>
      </c>
      <c r="M561" s="1">
        <f t="shared" si="26"/>
        <v>234.25474184618028</v>
      </c>
      <c r="N561"/>
      <c r="P561" s="1"/>
    </row>
    <row r="562" spans="1:19" x14ac:dyDescent="0.3">
      <c r="A562" s="1">
        <v>562</v>
      </c>
      <c r="C562" s="1" t="s">
        <v>15</v>
      </c>
      <c r="D562" s="1">
        <v>18</v>
      </c>
      <c r="E562" s="1">
        <v>27</v>
      </c>
      <c r="F562" s="1">
        <v>30</v>
      </c>
      <c r="G562" s="1">
        <v>0.49252458595480952</v>
      </c>
      <c r="H562" s="1">
        <v>1.7316949632813048</v>
      </c>
      <c r="I562" s="1">
        <v>965.87766917044087</v>
      </c>
      <c r="K562" s="1">
        <f t="shared" si="24"/>
        <v>0.57763739279202608</v>
      </c>
      <c r="L562" s="1">
        <f t="shared" si="25"/>
        <v>0.87040623429276087</v>
      </c>
      <c r="M562" s="1">
        <f t="shared" si="26"/>
        <v>484.89021464277351</v>
      </c>
      <c r="N562"/>
      <c r="P562" s="1"/>
    </row>
    <row r="563" spans="1:19" x14ac:dyDescent="0.3">
      <c r="A563" s="1">
        <v>563</v>
      </c>
      <c r="C563" s="1" t="s">
        <v>15</v>
      </c>
      <c r="D563" s="1">
        <v>18</v>
      </c>
      <c r="E563" s="1">
        <v>28</v>
      </c>
      <c r="F563" s="1">
        <v>45</v>
      </c>
      <c r="G563" s="1">
        <v>0.51036357791565135</v>
      </c>
      <c r="H563" s="1">
        <v>1.7378835391626715</v>
      </c>
      <c r="I563" s="1">
        <v>1058.1644767643349</v>
      </c>
      <c r="K563" s="1">
        <f t="shared" si="24"/>
        <v>0.59855912766607777</v>
      </c>
      <c r="L563" s="1">
        <f t="shared" si="25"/>
        <v>0.87351681389410607</v>
      </c>
      <c r="M563" s="1">
        <f t="shared" si="26"/>
        <v>531.22006713986354</v>
      </c>
      <c r="N563"/>
      <c r="P563" s="1"/>
    </row>
    <row r="564" spans="1:19" x14ac:dyDescent="0.3">
      <c r="A564" s="1">
        <v>564</v>
      </c>
      <c r="C564" s="1" t="s">
        <v>15</v>
      </c>
      <c r="D564" s="1">
        <v>18</v>
      </c>
      <c r="E564" s="1">
        <v>29</v>
      </c>
      <c r="F564" s="1">
        <v>0</v>
      </c>
      <c r="G564" s="1">
        <v>0.3985847035172761</v>
      </c>
      <c r="H564" s="1">
        <v>1.7616064133745775</v>
      </c>
      <c r="I564" s="1">
        <v>400.78938844623752</v>
      </c>
      <c r="K564" s="1">
        <f t="shared" si="24"/>
        <v>0.46746382924247964</v>
      </c>
      <c r="L564" s="1">
        <f t="shared" si="25"/>
        <v>0.88544070236593031</v>
      </c>
      <c r="M564" s="1">
        <f t="shared" si="26"/>
        <v>201.20441624574775</v>
      </c>
      <c r="N564" s="1">
        <f>SLOPE(K564:K567,F564:F567)</f>
        <v>5.8334278719400345E-3</v>
      </c>
      <c r="O564" s="1">
        <f>SLOPE(L564:L567,F564:F567)</f>
        <v>-2.0391577386597988E-4</v>
      </c>
      <c r="P564" s="1">
        <f>SLOPE(M564:M567,F564:F567)</f>
        <v>7.9133259903847595</v>
      </c>
      <c r="Q564" s="1">
        <f>(N564*41.35/0.31*60)/1000</f>
        <v>4.6686240484784598E-2</v>
      </c>
      <c r="R564" s="1">
        <f>O564*41.35/0.31*60/1000</f>
        <v>-1.6319839837467616E-3</v>
      </c>
      <c r="S564" s="1">
        <f>(O564*41.35/0.31*60)/1000</f>
        <v>-1.6319839837467616E-3</v>
      </c>
    </row>
    <row r="565" spans="1:19" x14ac:dyDescent="0.3">
      <c r="A565" s="1">
        <v>565</v>
      </c>
      <c r="C565" s="1" t="s">
        <v>15</v>
      </c>
      <c r="D565" s="1">
        <v>18</v>
      </c>
      <c r="E565" s="1">
        <v>30</v>
      </c>
      <c r="F565" s="1">
        <v>15</v>
      </c>
      <c r="G565" s="1">
        <v>0.41238811481421978</v>
      </c>
      <c r="H565" s="1">
        <v>1.7616064133745775</v>
      </c>
      <c r="I565" s="1">
        <v>449.23718798641573</v>
      </c>
      <c r="K565" s="1">
        <f t="shared" si="24"/>
        <v>0.48365259776404562</v>
      </c>
      <c r="L565" s="1">
        <f t="shared" si="25"/>
        <v>0.88544070236593031</v>
      </c>
      <c r="M565" s="1">
        <f t="shared" si="26"/>
        <v>225.52619597814743</v>
      </c>
      <c r="N565"/>
      <c r="P565" s="1"/>
    </row>
    <row r="566" spans="1:19" x14ac:dyDescent="0.3">
      <c r="A566" s="1">
        <v>566</v>
      </c>
      <c r="C566" s="1" t="s">
        <v>15</v>
      </c>
      <c r="D566" s="1">
        <v>18</v>
      </c>
      <c r="E566" s="1">
        <v>31</v>
      </c>
      <c r="F566" s="1">
        <v>30</v>
      </c>
      <c r="G566" s="1">
        <v>0.55831126076795157</v>
      </c>
      <c r="H566" s="1">
        <v>1.7719207065101887</v>
      </c>
      <c r="I566" s="1">
        <v>950.74982702562329</v>
      </c>
      <c r="K566" s="1">
        <f t="shared" si="24"/>
        <v>0.65479261387779519</v>
      </c>
      <c r="L566" s="1">
        <f t="shared" si="25"/>
        <v>0.89062500170150605</v>
      </c>
      <c r="M566" s="1">
        <f t="shared" si="26"/>
        <v>477.2957305183163</v>
      </c>
      <c r="N566"/>
      <c r="P566" s="1"/>
    </row>
    <row r="567" spans="1:19" x14ac:dyDescent="0.3">
      <c r="A567" s="1">
        <v>567</v>
      </c>
      <c r="C567" s="1" t="s">
        <v>15</v>
      </c>
      <c r="D567" s="1">
        <v>18</v>
      </c>
      <c r="E567" s="1">
        <v>32</v>
      </c>
      <c r="F567" s="1">
        <v>45</v>
      </c>
      <c r="G567" s="1">
        <v>0.5986383103000642</v>
      </c>
      <c r="H567" s="1">
        <v>1.7378835391626715</v>
      </c>
      <c r="I567" s="1">
        <v>1021.7664886767222</v>
      </c>
      <c r="K567" s="1">
        <f t="shared" si="24"/>
        <v>0.70208855080156485</v>
      </c>
      <c r="L567" s="1">
        <f t="shared" si="25"/>
        <v>0.87351681389410607</v>
      </c>
      <c r="M567" s="1">
        <f t="shared" si="26"/>
        <v>512.94753758492948</v>
      </c>
      <c r="N567"/>
      <c r="P567" s="1"/>
    </row>
    <row r="568" spans="1:19" x14ac:dyDescent="0.3">
      <c r="A568" s="1">
        <v>568</v>
      </c>
      <c r="C568" s="1" t="s">
        <v>15</v>
      </c>
      <c r="D568" s="1">
        <v>18</v>
      </c>
      <c r="E568" s="1">
        <v>33</v>
      </c>
      <c r="F568" s="1">
        <v>0</v>
      </c>
      <c r="G568" s="1">
        <v>0.40317625491396775</v>
      </c>
      <c r="H568" s="1">
        <v>1.7925492927814113</v>
      </c>
      <c r="I568" s="1">
        <v>416.28868542727741</v>
      </c>
      <c r="K568" s="1">
        <f t="shared" si="24"/>
        <v>0.4728488432159727</v>
      </c>
      <c r="L568" s="1">
        <f t="shared" si="25"/>
        <v>0.90099360037265763</v>
      </c>
      <c r="M568" s="1">
        <f t="shared" si="26"/>
        <v>208.98537824521429</v>
      </c>
      <c r="N568" s="1">
        <f>SLOPE(K568:K571,F568:F571)</f>
        <v>1.8392239792556953E-3</v>
      </c>
      <c r="O568" s="1">
        <f>SLOPE(L568:L571,F568:F571)</f>
        <v>-2.4884636810763584E-4</v>
      </c>
      <c r="P568" s="1">
        <f>SLOPE(M568:M571,F568:F571)</f>
        <v>3.2045156136225481</v>
      </c>
      <c r="Q568" s="1">
        <f>(N568*41.35/0.31*60)/1000</f>
        <v>1.4719724814623806E-2</v>
      </c>
      <c r="R568" s="1">
        <f>O568*41.35/0.31*60/1000</f>
        <v>-1.991573675080789E-3</v>
      </c>
      <c r="S568" s="1">
        <f>(O568*41.35/0.31*60)/1000</f>
        <v>-1.991573675080789E-3</v>
      </c>
    </row>
    <row r="569" spans="1:19" x14ac:dyDescent="0.3">
      <c r="A569" s="1">
        <v>569</v>
      </c>
      <c r="C569" s="1" t="s">
        <v>15</v>
      </c>
      <c r="D569" s="1">
        <v>18</v>
      </c>
      <c r="E569" s="1">
        <v>34</v>
      </c>
      <c r="F569" s="1">
        <v>15</v>
      </c>
      <c r="G569" s="1">
        <v>0.40458535315053085</v>
      </c>
      <c r="H569" s="1">
        <v>1.7616064133745775</v>
      </c>
      <c r="I569" s="1">
        <v>429.93162539964078</v>
      </c>
      <c r="K569" s="1">
        <f t="shared" si="24"/>
        <v>0.47450144666921601</v>
      </c>
      <c r="L569" s="1">
        <f t="shared" si="25"/>
        <v>0.88544070236593031</v>
      </c>
      <c r="M569" s="1">
        <f t="shared" si="26"/>
        <v>215.83441130883136</v>
      </c>
      <c r="N569"/>
      <c r="P569" s="1"/>
    </row>
    <row r="570" spans="1:19" x14ac:dyDescent="0.3">
      <c r="A570" s="1">
        <v>570</v>
      </c>
      <c r="C570" s="1" t="s">
        <v>15</v>
      </c>
      <c r="D570" s="1">
        <v>18</v>
      </c>
      <c r="E570" s="1">
        <v>35</v>
      </c>
      <c r="F570" s="1">
        <v>30</v>
      </c>
      <c r="G570" s="1">
        <v>0.45327113507912592</v>
      </c>
      <c r="H570" s="1">
        <v>1.7770778530779943</v>
      </c>
      <c r="I570" s="1">
        <v>635.84325729042303</v>
      </c>
      <c r="K570" s="1">
        <f t="shared" si="24"/>
        <v>0.53160058230882268</v>
      </c>
      <c r="L570" s="1">
        <f t="shared" si="25"/>
        <v>0.89321715136929392</v>
      </c>
      <c r="M570" s="1">
        <f t="shared" si="26"/>
        <v>319.2062342341074</v>
      </c>
      <c r="N570"/>
      <c r="P570" s="1"/>
    </row>
    <row r="571" spans="1:19" x14ac:dyDescent="0.3">
      <c r="A571" s="1">
        <v>571</v>
      </c>
      <c r="C571" s="1" t="s">
        <v>15</v>
      </c>
      <c r="D571" s="1">
        <v>18</v>
      </c>
      <c r="E571" s="1">
        <v>36</v>
      </c>
      <c r="F571" s="1">
        <v>45</v>
      </c>
      <c r="G571" s="1">
        <v>0.46535870566624121</v>
      </c>
      <c r="H571" s="1">
        <v>1.7626378426881386</v>
      </c>
      <c r="I571" s="1">
        <v>666.81341890701424</v>
      </c>
      <c r="K571" s="1">
        <f t="shared" si="24"/>
        <v>0.54577699696555526</v>
      </c>
      <c r="L571" s="1">
        <f t="shared" si="25"/>
        <v>0.88595913229948797</v>
      </c>
      <c r="M571" s="1">
        <f t="shared" si="26"/>
        <v>334.75388461791636</v>
      </c>
      <c r="N571"/>
      <c r="P571" s="1"/>
    </row>
    <row r="572" spans="1:19" x14ac:dyDescent="0.3">
      <c r="A572" s="1">
        <v>572</v>
      </c>
      <c r="C572" s="1" t="s">
        <v>15</v>
      </c>
      <c r="D572" s="1">
        <v>18</v>
      </c>
      <c r="E572" s="1">
        <v>37</v>
      </c>
      <c r="F572" s="1">
        <v>0</v>
      </c>
      <c r="G572" s="1">
        <v>0.3985847035172761</v>
      </c>
      <c r="H572" s="1">
        <v>1.7626378426881386</v>
      </c>
      <c r="I572" s="1">
        <v>409.34660726587788</v>
      </c>
      <c r="K572" s="1">
        <f t="shared" si="24"/>
        <v>0.46746382924247964</v>
      </c>
      <c r="L572" s="1">
        <f t="shared" si="25"/>
        <v>0.88595913229948797</v>
      </c>
      <c r="M572" s="1">
        <f t="shared" si="26"/>
        <v>205.50031395892739</v>
      </c>
      <c r="N572" s="1">
        <f>SLOPE(K572:K575,F572:F575)</f>
        <v>2.6703598520330368E-2</v>
      </c>
      <c r="O572" s="1">
        <f>SLOPE(L572:L575,F572:F575)</f>
        <v>-1.8663477608072521E-4</v>
      </c>
      <c r="P572" s="1">
        <f>SLOPE(M572:M575,F572:F575)</f>
        <v>13.968270265926813</v>
      </c>
      <c r="Q572" s="1">
        <f>(N572*41.35/0.31*60)/1000</f>
        <v>0.21371492880303111</v>
      </c>
      <c r="R572" s="1">
        <f>O572*41.35/0.31*60/1000</f>
        <v>-1.4936802563105785E-3</v>
      </c>
      <c r="S572" s="1">
        <f>(O572*41.35/0.31*60)/1000</f>
        <v>-1.4936802563105785E-3</v>
      </c>
    </row>
    <row r="573" spans="1:19" x14ac:dyDescent="0.3">
      <c r="A573" s="1">
        <v>573</v>
      </c>
      <c r="C573" s="1" t="s">
        <v>15</v>
      </c>
      <c r="D573" s="1">
        <v>18</v>
      </c>
      <c r="E573" s="1">
        <v>38</v>
      </c>
      <c r="F573" s="1">
        <v>15</v>
      </c>
      <c r="G573" s="1">
        <v>0.75603554189438038</v>
      </c>
      <c r="H573" s="1">
        <v>1.7409778271033551</v>
      </c>
      <c r="I573" s="1">
        <v>836.82508734245198</v>
      </c>
      <c r="K573" s="1">
        <f t="shared" si="24"/>
        <v>0.886685480748866</v>
      </c>
      <c r="L573" s="1">
        <f t="shared" si="25"/>
        <v>0.87507210369477895</v>
      </c>
      <c r="M573" s="1">
        <f t="shared" si="26"/>
        <v>420.1031964725301</v>
      </c>
      <c r="N573"/>
      <c r="P573" s="1"/>
    </row>
    <row r="574" spans="1:19" x14ac:dyDescent="0.3">
      <c r="A574" s="1">
        <v>574</v>
      </c>
      <c r="C574" s="1" t="s">
        <v>15</v>
      </c>
      <c r="D574" s="1">
        <v>18</v>
      </c>
      <c r="E574" s="1">
        <v>39</v>
      </c>
      <c r="F574" s="1">
        <v>30</v>
      </c>
      <c r="G574" s="1">
        <v>1.2548563176376828</v>
      </c>
      <c r="H574" s="1">
        <v>1.7564492668067719</v>
      </c>
      <c r="I574" s="1">
        <v>1451.5883443250198</v>
      </c>
      <c r="K574" s="1">
        <f t="shared" si="24"/>
        <v>1.4717071031969573</v>
      </c>
      <c r="L574" s="1">
        <f t="shared" si="25"/>
        <v>0.88284855269814255</v>
      </c>
      <c r="M574" s="1">
        <f t="shared" si="26"/>
        <v>728.72684224828288</v>
      </c>
      <c r="N574"/>
      <c r="P574" s="1"/>
    </row>
    <row r="575" spans="1:19" x14ac:dyDescent="0.3">
      <c r="A575" s="1">
        <v>575</v>
      </c>
      <c r="C575" s="1" t="s">
        <v>15</v>
      </c>
      <c r="D575" s="1">
        <v>18</v>
      </c>
      <c r="E575" s="1">
        <v>40</v>
      </c>
      <c r="F575" s="1">
        <v>45</v>
      </c>
      <c r="G575" s="1">
        <v>1.3707570440205621</v>
      </c>
      <c r="H575" s="1">
        <v>1.7389149684762328</v>
      </c>
      <c r="I575" s="1">
        <v>1595.6311924325591</v>
      </c>
      <c r="K575" s="1">
        <f t="shared" si="24"/>
        <v>1.6076365477763008</v>
      </c>
      <c r="L575" s="1">
        <f t="shared" si="25"/>
        <v>0.87403524382766384</v>
      </c>
      <c r="M575" s="1">
        <f t="shared" si="26"/>
        <v>801.03927866335039</v>
      </c>
      <c r="N575"/>
      <c r="P575" s="1"/>
    </row>
    <row r="576" spans="1:19" x14ac:dyDescent="0.3">
      <c r="A576" s="1">
        <v>576</v>
      </c>
      <c r="C576" s="1" t="s">
        <v>15</v>
      </c>
      <c r="D576" s="1">
        <v>18</v>
      </c>
      <c r="E576" s="1">
        <v>41</v>
      </c>
      <c r="F576" s="1">
        <v>0</v>
      </c>
      <c r="G576" s="1">
        <v>0.40179591378427343</v>
      </c>
      <c r="H576" s="1">
        <v>1.7966750100356557</v>
      </c>
      <c r="I576" s="1">
        <v>408.42851765832586</v>
      </c>
      <c r="K576" s="1">
        <f t="shared" si="24"/>
        <v>0.4712299663638162</v>
      </c>
      <c r="L576" s="1">
        <f t="shared" si="25"/>
        <v>0.90306732010688773</v>
      </c>
      <c r="M576" s="1">
        <f t="shared" si="26"/>
        <v>205.03941432217576</v>
      </c>
      <c r="N576" s="1">
        <f>SLOPE(K576:K579,F576:F579)</f>
        <v>4.8419407479965287E-3</v>
      </c>
      <c r="O576" s="1">
        <f>SLOPE(L576:L579,F576:F579)</f>
        <v>-5.8755392469857898E-4</v>
      </c>
      <c r="P576" s="1">
        <f>SLOPE(M576:M579,F576:F579)</f>
        <v>6.1249463815435208</v>
      </c>
      <c r="Q576" s="1">
        <f>(N576*41.35/0.31*60)/1000</f>
        <v>3.8751145147675442E-2</v>
      </c>
      <c r="R576" s="1">
        <f>O576*41.35/0.31*60/1000</f>
        <v>-4.7023267328295953E-3</v>
      </c>
      <c r="S576" s="1">
        <f>(O576*41.35/0.31*60)/1000</f>
        <v>-4.7023267328295953E-3</v>
      </c>
    </row>
    <row r="577" spans="1:19" x14ac:dyDescent="0.3">
      <c r="A577" s="1">
        <v>577</v>
      </c>
      <c r="C577" s="1" t="s">
        <v>15</v>
      </c>
      <c r="D577" s="1">
        <v>18</v>
      </c>
      <c r="E577" s="1">
        <v>42</v>
      </c>
      <c r="F577" s="1">
        <v>15</v>
      </c>
      <c r="G577" s="1">
        <v>0.49526609680961925</v>
      </c>
      <c r="H577" s="1">
        <v>1.7512921202389662</v>
      </c>
      <c r="I577" s="1">
        <v>809.2200313903046</v>
      </c>
      <c r="K577" s="1">
        <f t="shared" si="24"/>
        <v>0.58085266209561492</v>
      </c>
      <c r="L577" s="1">
        <f t="shared" si="25"/>
        <v>0.88025640303035457</v>
      </c>
      <c r="M577" s="1">
        <f t="shared" si="26"/>
        <v>406.24489750454723</v>
      </c>
      <c r="N577"/>
      <c r="P577" s="1"/>
    </row>
    <row r="578" spans="1:19" x14ac:dyDescent="0.3">
      <c r="A578" s="1">
        <v>578</v>
      </c>
      <c r="C578" s="1" t="s">
        <v>15</v>
      </c>
      <c r="D578" s="1">
        <v>18</v>
      </c>
      <c r="E578" s="1">
        <v>43</v>
      </c>
      <c r="F578" s="1">
        <v>30</v>
      </c>
      <c r="G578" s="1">
        <v>0.55958615917246102</v>
      </c>
      <c r="H578" s="1">
        <v>1.7368521098491105</v>
      </c>
      <c r="I578" s="1">
        <v>949.72901410533825</v>
      </c>
      <c r="K578" s="1">
        <f t="shared" si="24"/>
        <v>0.65628782652596773</v>
      </c>
      <c r="L578" s="1">
        <f t="shared" si="25"/>
        <v>0.87299838396054874</v>
      </c>
      <c r="M578" s="1">
        <f t="shared" si="26"/>
        <v>476.78326169143867</v>
      </c>
      <c r="N578"/>
      <c r="P578" s="1"/>
    </row>
    <row r="579" spans="1:19" x14ac:dyDescent="0.3">
      <c r="A579" s="1">
        <v>579</v>
      </c>
      <c r="C579" s="1" t="s">
        <v>15</v>
      </c>
      <c r="D579" s="1">
        <v>18</v>
      </c>
      <c r="E579" s="1">
        <v>44</v>
      </c>
      <c r="F579" s="1">
        <v>45</v>
      </c>
      <c r="G579" s="1">
        <v>0.58678079656789794</v>
      </c>
      <c r="H579" s="1">
        <v>1.7430406857304772</v>
      </c>
      <c r="I579" s="1">
        <v>971.62192013157778</v>
      </c>
      <c r="K579" s="1">
        <f t="shared" ref="K579:K642" si="27">(G579*28*1)/(0.082*(D579+273.15))</f>
        <v>0.68818194895352502</v>
      </c>
      <c r="L579" s="1">
        <f t="shared" ref="L579:L642" si="28">(H579*12*1)/(0.082*(D579+273.15))</f>
        <v>0.87610896356189405</v>
      </c>
      <c r="M579" s="1">
        <f t="shared" ref="M579:M642" si="29">(I579*12*1)/(0.0821*(D579+273.15))</f>
        <v>487.77394533705467</v>
      </c>
      <c r="N579"/>
      <c r="P579" s="1"/>
    </row>
    <row r="580" spans="1:19" x14ac:dyDescent="0.3">
      <c r="A580" s="1">
        <v>580</v>
      </c>
      <c r="C580" s="1" t="s">
        <v>15</v>
      </c>
      <c r="D580" s="1">
        <v>18</v>
      </c>
      <c r="E580" s="1">
        <v>45</v>
      </c>
      <c r="F580" s="1">
        <v>0</v>
      </c>
      <c r="G580" s="1">
        <v>0.39942824531875604</v>
      </c>
      <c r="H580" s="1">
        <v>1.7853292875864835</v>
      </c>
      <c r="I580" s="1">
        <v>408.63488145622716</v>
      </c>
      <c r="K580" s="1">
        <f t="shared" si="27"/>
        <v>0.46845314287435319</v>
      </c>
      <c r="L580" s="1">
        <f t="shared" si="28"/>
        <v>0.89736459083775455</v>
      </c>
      <c r="M580" s="1">
        <f t="shared" si="29"/>
        <v>205.14301314162543</v>
      </c>
      <c r="N580" s="1">
        <f>SLOPE(K580:K583,F580:F583)</f>
        <v>1.6970476186750866E-3</v>
      </c>
      <c r="O580" s="1">
        <f>SLOPE(L580:L583,F580:F583)</f>
        <v>-5.979225233697286E-4</v>
      </c>
      <c r="P580" s="1">
        <f>SLOPE(M580:M583,F580:F583)</f>
        <v>4.3673056935309944</v>
      </c>
      <c r="Q580" s="1">
        <f>(N580*41.35/0.31*60)/1000</f>
        <v>1.3581855296557709E-2</v>
      </c>
      <c r="R580" s="1">
        <f>O580*41.35/0.31*60/1000</f>
        <v>-4.7853089692912786E-3</v>
      </c>
      <c r="S580" s="1">
        <f>(O580*41.35/0.31*60)/1000</f>
        <v>-4.7853089692912786E-3</v>
      </c>
    </row>
    <row r="581" spans="1:19" x14ac:dyDescent="0.3">
      <c r="A581" s="1">
        <v>581</v>
      </c>
      <c r="C581" s="1" t="s">
        <v>15</v>
      </c>
      <c r="D581" s="1">
        <v>18</v>
      </c>
      <c r="E581" s="1">
        <v>46</v>
      </c>
      <c r="F581" s="1">
        <v>15</v>
      </c>
      <c r="G581" s="1">
        <v>0.44385797543079353</v>
      </c>
      <c r="H581" s="1">
        <v>1.7492292616118441</v>
      </c>
      <c r="I581" s="1">
        <v>708.3007968370905</v>
      </c>
      <c r="K581" s="1">
        <f t="shared" si="27"/>
        <v>0.5205607415531438</v>
      </c>
      <c r="L581" s="1">
        <f t="shared" si="28"/>
        <v>0.87921954316323958</v>
      </c>
      <c r="M581" s="1">
        <f t="shared" si="29"/>
        <v>355.58139128007809</v>
      </c>
      <c r="N581"/>
      <c r="P581" s="1"/>
    </row>
    <row r="582" spans="1:19" x14ac:dyDescent="0.3">
      <c r="A582" s="1">
        <v>582</v>
      </c>
      <c r="C582" s="1" t="s">
        <v>15</v>
      </c>
      <c r="D582" s="1">
        <v>18</v>
      </c>
      <c r="E582" s="1">
        <v>47</v>
      </c>
      <c r="F582" s="1">
        <v>30</v>
      </c>
      <c r="G582" s="1">
        <v>0.45371207738444502</v>
      </c>
      <c r="H582" s="1">
        <v>1.7224120994592547</v>
      </c>
      <c r="I582" s="1">
        <v>759.52946320054298</v>
      </c>
      <c r="K582" s="1">
        <f t="shared" si="27"/>
        <v>0.53211772352548392</v>
      </c>
      <c r="L582" s="1">
        <f t="shared" si="28"/>
        <v>0.86574036489074269</v>
      </c>
      <c r="M582" s="1">
        <f t="shared" si="29"/>
        <v>381.29922265946169</v>
      </c>
      <c r="N582"/>
      <c r="P582" s="1"/>
    </row>
    <row r="583" spans="1:19" x14ac:dyDescent="0.3">
      <c r="A583" s="1">
        <v>583</v>
      </c>
      <c r="C583" s="1" t="s">
        <v>15</v>
      </c>
      <c r="D583" s="1">
        <v>18</v>
      </c>
      <c r="E583" s="1">
        <v>48</v>
      </c>
      <c r="F583" s="1">
        <v>45</v>
      </c>
      <c r="G583" s="1">
        <v>0.46849323031492218</v>
      </c>
      <c r="H583" s="1">
        <v>1.7347892512219885</v>
      </c>
      <c r="I583" s="1">
        <v>826.53166110313543</v>
      </c>
      <c r="K583" s="1">
        <f t="shared" si="27"/>
        <v>0.54945319648399416</v>
      </c>
      <c r="L583" s="1">
        <f t="shared" si="28"/>
        <v>0.87196152409343375</v>
      </c>
      <c r="M583" s="1">
        <f t="shared" si="29"/>
        <v>414.93568735838062</v>
      </c>
      <c r="N583"/>
      <c r="P583" s="1"/>
    </row>
    <row r="584" spans="1:19" x14ac:dyDescent="0.3">
      <c r="A584" s="1">
        <v>584</v>
      </c>
      <c r="C584" s="1" t="s">
        <v>15</v>
      </c>
      <c r="D584" s="1">
        <v>18</v>
      </c>
      <c r="E584" s="1">
        <v>49</v>
      </c>
      <c r="F584" s="1">
        <v>0</v>
      </c>
      <c r="G584" s="1">
        <v>0.39763571899061129</v>
      </c>
      <c r="H584" s="1">
        <v>1.7946121514085334</v>
      </c>
      <c r="I584" s="1">
        <v>412.24762367815254</v>
      </c>
      <c r="K584" s="1">
        <f t="shared" si="27"/>
        <v>0.46635085140662208</v>
      </c>
      <c r="L584" s="1">
        <f t="shared" si="28"/>
        <v>0.90203046023977251</v>
      </c>
      <c r="M584" s="1">
        <f t="shared" si="29"/>
        <v>206.95668314079097</v>
      </c>
      <c r="N584" s="1">
        <f>SLOPE(K584:K587,F584:F587)</f>
        <v>1.1836538021346816E-3</v>
      </c>
      <c r="O584" s="1">
        <f>SLOPE(L584:L587,F584:F587)</f>
        <v>-5.495357295710238E-4</v>
      </c>
      <c r="P584" s="1">
        <f>SLOPE(M584:M587,F584:F587)</f>
        <v>5.47736627653555</v>
      </c>
      <c r="Q584" s="1">
        <f>(N584*41.35/0.31*60)/1000</f>
        <v>9.4730486551488566E-3</v>
      </c>
      <c r="R584" s="1">
        <f>O584*41.35/0.31*60/1000</f>
        <v>-4.3980585324700332E-3</v>
      </c>
      <c r="S584" s="1">
        <f>(O584*41.35/0.31*60)/1000</f>
        <v>-4.3980585324700332E-3</v>
      </c>
    </row>
    <row r="585" spans="1:19" x14ac:dyDescent="0.3">
      <c r="A585" s="1">
        <v>585</v>
      </c>
      <c r="C585" s="1" t="s">
        <v>15</v>
      </c>
      <c r="D585" s="1">
        <v>18</v>
      </c>
      <c r="E585" s="1">
        <v>50</v>
      </c>
      <c r="F585" s="1">
        <v>15</v>
      </c>
      <c r="G585" s="1">
        <v>0.41527341120337263</v>
      </c>
      <c r="H585" s="1">
        <v>1.7853292875864835</v>
      </c>
      <c r="I585" s="1">
        <v>671.48182660175905</v>
      </c>
      <c r="K585" s="1">
        <f t="shared" si="27"/>
        <v>0.48703650007306748</v>
      </c>
      <c r="L585" s="1">
        <f t="shared" si="28"/>
        <v>0.89736459083775455</v>
      </c>
      <c r="M585" s="1">
        <f t="shared" si="29"/>
        <v>337.09752013346662</v>
      </c>
      <c r="N585"/>
      <c r="P585" s="1"/>
    </row>
    <row r="586" spans="1:19" x14ac:dyDescent="0.3">
      <c r="A586" s="1">
        <v>586</v>
      </c>
      <c r="C586" s="1" t="s">
        <v>15</v>
      </c>
      <c r="D586" s="1">
        <v>18</v>
      </c>
      <c r="E586" s="1">
        <v>51</v>
      </c>
      <c r="F586" s="1">
        <v>30</v>
      </c>
      <c r="G586" s="1">
        <v>0.43239347549249857</v>
      </c>
      <c r="H586" s="1">
        <v>1.7636692720016995</v>
      </c>
      <c r="I586" s="1">
        <v>847.83207373628954</v>
      </c>
      <c r="K586" s="1">
        <f t="shared" si="27"/>
        <v>0.50711506991995414</v>
      </c>
      <c r="L586" s="1">
        <f t="shared" si="28"/>
        <v>0.88647756223304541</v>
      </c>
      <c r="M586" s="1">
        <f t="shared" si="29"/>
        <v>425.62892728237676</v>
      </c>
      <c r="N586"/>
      <c r="P586" s="1"/>
    </row>
    <row r="587" spans="1:19" x14ac:dyDescent="0.3">
      <c r="A587" s="1">
        <v>587</v>
      </c>
      <c r="C587" s="1" t="s">
        <v>15</v>
      </c>
      <c r="D587" s="1">
        <v>18</v>
      </c>
      <c r="E587" s="1">
        <v>52</v>
      </c>
      <c r="F587" s="1">
        <v>45</v>
      </c>
      <c r="G587" s="1">
        <v>0.44239136298049325</v>
      </c>
      <c r="H587" s="1">
        <v>1.7471664029847218</v>
      </c>
      <c r="I587" s="1">
        <v>898.9965380292839</v>
      </c>
      <c r="K587" s="1">
        <f t="shared" si="27"/>
        <v>0.51884068489772728</v>
      </c>
      <c r="L587" s="1">
        <f t="shared" si="28"/>
        <v>0.87818268329612437</v>
      </c>
      <c r="M587" s="1">
        <f t="shared" si="29"/>
        <v>451.31452791793174</v>
      </c>
      <c r="N587"/>
      <c r="P587" s="1"/>
    </row>
    <row r="588" spans="1:19" x14ac:dyDescent="0.3">
      <c r="A588" s="1">
        <v>588</v>
      </c>
      <c r="C588" s="1" t="s">
        <v>15</v>
      </c>
      <c r="D588" s="1">
        <v>18</v>
      </c>
      <c r="E588" s="1">
        <v>53</v>
      </c>
      <c r="F588" s="1">
        <v>0</v>
      </c>
      <c r="G588" s="1">
        <v>0.39614993513573188</v>
      </c>
      <c r="H588" s="1">
        <v>1.7677949892559441</v>
      </c>
      <c r="I588" s="1">
        <v>408.55233593706669</v>
      </c>
      <c r="K588" s="1">
        <f t="shared" si="27"/>
        <v>0.46460831035048122</v>
      </c>
      <c r="L588" s="1">
        <f t="shared" si="28"/>
        <v>0.88855128196727573</v>
      </c>
      <c r="M588" s="1">
        <f t="shared" si="29"/>
        <v>205.10157361384555</v>
      </c>
      <c r="N588" s="1">
        <f>SLOPE(K588:K591,F588:F591)</f>
        <v>2.4162486498461406E-3</v>
      </c>
      <c r="O588" s="1">
        <f>SLOPE(L588:L591,F588:F591)</f>
        <v>2.2119677165123011E-4</v>
      </c>
      <c r="P588" s="1">
        <f>SLOPE(M588:M591,F588:F591)</f>
        <v>3.1344797420799209</v>
      </c>
      <c r="Q588" s="1">
        <f>(N588*41.35/0.31*60)/1000</f>
        <v>1.9337783549252498E-2</v>
      </c>
      <c r="R588" s="1">
        <f>O588*41.35/0.31*60/1000</f>
        <v>1.7702877111829094E-3</v>
      </c>
      <c r="S588" s="1">
        <f>(O588*41.35/0.31*60)/1000</f>
        <v>1.7702877111829094E-3</v>
      </c>
    </row>
    <row r="589" spans="1:19" x14ac:dyDescent="0.3">
      <c r="A589" s="1">
        <v>589</v>
      </c>
      <c r="C589" s="1" t="s">
        <v>15</v>
      </c>
      <c r="D589" s="1">
        <v>18</v>
      </c>
      <c r="E589" s="1">
        <v>54</v>
      </c>
      <c r="F589" s="1">
        <v>15</v>
      </c>
      <c r="G589" s="1">
        <v>0.45943474165130288</v>
      </c>
      <c r="H589" s="1">
        <v>1.7502606909254053</v>
      </c>
      <c r="I589" s="1">
        <v>599.11325278129789</v>
      </c>
      <c r="K589" s="1">
        <f t="shared" si="27"/>
        <v>0.53882931714171645</v>
      </c>
      <c r="L589" s="1">
        <f t="shared" si="28"/>
        <v>0.87973797309679724</v>
      </c>
      <c r="M589" s="1">
        <f t="shared" si="29"/>
        <v>300.76702568965879</v>
      </c>
      <c r="N589"/>
      <c r="P589" s="1"/>
    </row>
    <row r="590" spans="1:19" x14ac:dyDescent="0.3">
      <c r="A590" s="1">
        <v>590</v>
      </c>
      <c r="C590" s="1" t="s">
        <v>15</v>
      </c>
      <c r="D590" s="1">
        <v>18</v>
      </c>
      <c r="E590" s="1">
        <v>55</v>
      </c>
      <c r="F590" s="1">
        <v>30</v>
      </c>
      <c r="G590" s="1">
        <v>0.48912166164202137</v>
      </c>
      <c r="H590" s="1">
        <v>1.7698578478830667</v>
      </c>
      <c r="I590" s="1">
        <v>675.07805971985238</v>
      </c>
      <c r="K590" s="1">
        <f t="shared" si="27"/>
        <v>0.57364641166344554</v>
      </c>
      <c r="L590" s="1">
        <f t="shared" si="28"/>
        <v>0.88958814183439094</v>
      </c>
      <c r="M590" s="1">
        <f t="shared" si="29"/>
        <v>338.90290222707631</v>
      </c>
      <c r="N590"/>
      <c r="P590" s="1"/>
    </row>
    <row r="591" spans="1:19" x14ac:dyDescent="0.3">
      <c r="A591" s="1">
        <v>591</v>
      </c>
      <c r="C591" s="1" t="s">
        <v>15</v>
      </c>
      <c r="D591" s="1">
        <v>18</v>
      </c>
      <c r="E591" s="1">
        <v>56</v>
      </c>
      <c r="F591" s="1">
        <v>45</v>
      </c>
      <c r="G591" s="1">
        <v>0.4892654471763645</v>
      </c>
      <c r="H591" s="1">
        <v>1.7832664289593609</v>
      </c>
      <c r="I591" s="1">
        <v>695.41727564100393</v>
      </c>
      <c r="K591" s="1">
        <f t="shared" si="27"/>
        <v>0.57381504466887856</v>
      </c>
      <c r="L591" s="1">
        <f t="shared" si="28"/>
        <v>0.89632773097063934</v>
      </c>
      <c r="M591" s="1">
        <f t="shared" si="29"/>
        <v>349.11360187203576</v>
      </c>
      <c r="N591"/>
      <c r="P591" s="1"/>
    </row>
    <row r="592" spans="1:19" x14ac:dyDescent="0.3">
      <c r="A592" s="1">
        <v>592</v>
      </c>
      <c r="C592" s="1" t="s">
        <v>15</v>
      </c>
      <c r="D592" s="1">
        <v>18</v>
      </c>
      <c r="E592" s="1">
        <v>57</v>
      </c>
      <c r="F592" s="1">
        <v>0</v>
      </c>
      <c r="G592" s="1">
        <v>0.39591029257849331</v>
      </c>
      <c r="H592" s="1">
        <v>1.7739835651373108</v>
      </c>
      <c r="I592" s="1">
        <v>410.1307896979028</v>
      </c>
      <c r="K592" s="1">
        <f t="shared" si="27"/>
        <v>0.46432725534142633</v>
      </c>
      <c r="L592" s="1">
        <f t="shared" si="28"/>
        <v>0.89166186156862115</v>
      </c>
      <c r="M592" s="1">
        <f t="shared" si="29"/>
        <v>205.89398947283615</v>
      </c>
      <c r="N592" s="1">
        <f>SLOPE(K592:K595,F592:F595)</f>
        <v>3.8254209912465266E-3</v>
      </c>
      <c r="O592" s="1">
        <f>SLOPE(L592:L595,F592:F595)</f>
        <v>-5.5299192912806972E-5</v>
      </c>
      <c r="P592" s="1">
        <f>SLOPE(M592:M595,F592:F595)</f>
        <v>4.1610596289732671</v>
      </c>
      <c r="Q592" s="1">
        <f>(N592*41.35/0.31*60)/1000</f>
        <v>3.0615707997685909E-2</v>
      </c>
      <c r="R592" s="1">
        <f>O592*41.35/0.31*60/1000</f>
        <v>-4.4257192779572285E-4</v>
      </c>
      <c r="S592" s="1">
        <f>(O592*41.35/0.31*60)/1000</f>
        <v>-4.4257192779572285E-4</v>
      </c>
    </row>
    <row r="593" spans="1:19" x14ac:dyDescent="0.3">
      <c r="A593" s="1">
        <v>593</v>
      </c>
      <c r="C593" s="1" t="s">
        <v>15</v>
      </c>
      <c r="D593" s="1">
        <v>18</v>
      </c>
      <c r="E593" s="1">
        <v>58</v>
      </c>
      <c r="F593" s="1">
        <v>15</v>
      </c>
      <c r="G593" s="1">
        <v>0.47511695059699721</v>
      </c>
      <c r="H593" s="1">
        <v>1.7770778530779943</v>
      </c>
      <c r="I593" s="1">
        <v>693.02528993021906</v>
      </c>
      <c r="K593" s="1">
        <f t="shared" si="27"/>
        <v>0.55722155693427333</v>
      </c>
      <c r="L593" s="1">
        <f t="shared" si="28"/>
        <v>0.89321715136929392</v>
      </c>
      <c r="M593" s="1">
        <f t="shared" si="29"/>
        <v>347.91277644481465</v>
      </c>
      <c r="N593"/>
      <c r="P593" s="1"/>
    </row>
    <row r="594" spans="1:19" x14ac:dyDescent="0.3">
      <c r="A594" s="1">
        <v>594</v>
      </c>
      <c r="C594" s="1" t="s">
        <v>15</v>
      </c>
      <c r="D594" s="1">
        <v>18</v>
      </c>
      <c r="E594" s="1">
        <v>59</v>
      </c>
      <c r="F594" s="1">
        <v>30</v>
      </c>
      <c r="G594" s="1">
        <v>0.52781914178491141</v>
      </c>
      <c r="H594" s="1">
        <v>1.7605749840610165</v>
      </c>
      <c r="I594" s="1">
        <v>768.86444424516253</v>
      </c>
      <c r="K594" s="1">
        <f t="shared" si="27"/>
        <v>0.61903117452564138</v>
      </c>
      <c r="L594" s="1">
        <f t="shared" si="28"/>
        <v>0.88492227243237287</v>
      </c>
      <c r="M594" s="1">
        <f t="shared" si="29"/>
        <v>385.98557281216728</v>
      </c>
      <c r="N594"/>
      <c r="P594" s="1"/>
    </row>
    <row r="595" spans="1:19" x14ac:dyDescent="0.3">
      <c r="A595" s="1">
        <v>595</v>
      </c>
      <c r="C595" s="1" t="s">
        <v>15</v>
      </c>
      <c r="D595" s="1">
        <v>18</v>
      </c>
      <c r="E595" s="1">
        <v>60</v>
      </c>
      <c r="F595" s="1">
        <v>45</v>
      </c>
      <c r="G595" s="1">
        <v>0.54143083903606415</v>
      </c>
      <c r="H595" s="1">
        <v>1.7739835651373108</v>
      </c>
      <c r="I595" s="1">
        <v>799.2824680558133</v>
      </c>
      <c r="K595" s="1">
        <f t="shared" si="27"/>
        <v>0.63499509903996332</v>
      </c>
      <c r="L595" s="1">
        <f t="shared" si="28"/>
        <v>0.89166186156862115</v>
      </c>
      <c r="M595" s="1">
        <f t="shared" si="29"/>
        <v>401.25603879904861</v>
      </c>
      <c r="N595"/>
      <c r="P595" s="1"/>
    </row>
    <row r="596" spans="1:19" x14ac:dyDescent="0.3">
      <c r="A596" s="1">
        <v>596</v>
      </c>
      <c r="C596" s="1" t="s">
        <v>15</v>
      </c>
      <c r="D596" s="1">
        <v>18</v>
      </c>
      <c r="E596" s="1">
        <v>61</v>
      </c>
      <c r="F596" s="1">
        <v>0</v>
      </c>
      <c r="G596" s="1">
        <v>0.39905440292946376</v>
      </c>
      <c r="H596" s="1">
        <v>1.8049264445441446</v>
      </c>
      <c r="I596" s="1">
        <v>443.2187024671789</v>
      </c>
      <c r="K596" s="1">
        <f t="shared" si="27"/>
        <v>0.46801469706022741</v>
      </c>
      <c r="L596" s="1">
        <f t="shared" si="28"/>
        <v>0.90721475957534825</v>
      </c>
      <c r="M596" s="1">
        <f t="shared" si="29"/>
        <v>222.50479396379751</v>
      </c>
      <c r="N596" s="1">
        <f>SLOPE(K596:K599,F596:F599)</f>
        <v>5.3768446412299394E-3</v>
      </c>
      <c r="O596" s="1">
        <f>SLOPE(L596:L599,F596:F599)</f>
        <v>-5.2188613311461812E-4</v>
      </c>
      <c r="P596" s="1">
        <f>SLOPE(M596:M599,F596:F599)</f>
        <v>1.2426854894680335</v>
      </c>
      <c r="Q596" s="1">
        <f>(N596*41.35/0.31*60)/1000</f>
        <v>4.3032101789972514E-2</v>
      </c>
      <c r="R596" s="1">
        <f>O596*41.35/0.31*60/1000</f>
        <v>-4.1767725685721534E-3</v>
      </c>
      <c r="S596" s="1">
        <f>(O596*41.35/0.31*60)/1000</f>
        <v>-4.1767725685721534E-3</v>
      </c>
    </row>
    <row r="597" spans="1:19" x14ac:dyDescent="0.3">
      <c r="A597" s="1">
        <v>597</v>
      </c>
      <c r="C597" s="1" t="s">
        <v>15</v>
      </c>
      <c r="D597" s="1">
        <v>18</v>
      </c>
      <c r="E597" s="1">
        <v>62</v>
      </c>
      <c r="F597" s="1">
        <v>15</v>
      </c>
      <c r="G597" s="1">
        <v>0.5746548831716245</v>
      </c>
      <c r="H597" s="1">
        <v>1.7729521358237499</v>
      </c>
      <c r="I597" s="1">
        <v>528.94405846024699</v>
      </c>
      <c r="K597" s="1">
        <f t="shared" si="27"/>
        <v>0.67396056549534378</v>
      </c>
      <c r="L597" s="1">
        <f t="shared" si="28"/>
        <v>0.89114343163506371</v>
      </c>
      <c r="M597" s="1">
        <f t="shared" si="29"/>
        <v>265.54066444158559</v>
      </c>
      <c r="N597"/>
      <c r="P597" s="1"/>
    </row>
    <row r="598" spans="1:19" x14ac:dyDescent="0.3">
      <c r="A598" s="1">
        <v>598</v>
      </c>
      <c r="C598" s="1" t="s">
        <v>15</v>
      </c>
      <c r="D598" s="1">
        <v>18</v>
      </c>
      <c r="E598" s="1">
        <v>63</v>
      </c>
      <c r="F598" s="1">
        <v>30</v>
      </c>
      <c r="G598" s="1">
        <v>0.63457510818356544</v>
      </c>
      <c r="H598" s="1">
        <v>1.7688264185695053</v>
      </c>
      <c r="I598" s="1">
        <v>553.78934255512775</v>
      </c>
      <c r="K598" s="1">
        <f t="shared" si="27"/>
        <v>0.74423555995944735</v>
      </c>
      <c r="L598" s="1">
        <f t="shared" si="28"/>
        <v>0.88906971190083339</v>
      </c>
      <c r="M598" s="1">
        <f t="shared" si="29"/>
        <v>278.01350186412833</v>
      </c>
      <c r="N598"/>
      <c r="P598" s="1"/>
    </row>
    <row r="599" spans="1:19" x14ac:dyDescent="0.3">
      <c r="A599" s="1">
        <v>599</v>
      </c>
      <c r="C599" s="1" t="s">
        <v>15</v>
      </c>
      <c r="D599" s="1">
        <v>18</v>
      </c>
      <c r="E599" s="1">
        <v>64</v>
      </c>
      <c r="F599" s="1">
        <v>45</v>
      </c>
      <c r="G599" s="1">
        <v>0.60831028391021424</v>
      </c>
      <c r="H599" s="1">
        <v>1.7543864081796499</v>
      </c>
      <c r="I599" s="1">
        <v>558.7053868073541</v>
      </c>
      <c r="K599" s="1">
        <f t="shared" si="27"/>
        <v>0.71343193096702318</v>
      </c>
      <c r="L599" s="1">
        <f t="shared" si="28"/>
        <v>0.88181169283102745</v>
      </c>
      <c r="M599" s="1">
        <f t="shared" si="29"/>
        <v>280.48145596301828</v>
      </c>
      <c r="N599"/>
      <c r="P599" s="1"/>
    </row>
    <row r="600" spans="1:19" x14ac:dyDescent="0.3">
      <c r="A600" s="1">
        <v>600</v>
      </c>
      <c r="C600" s="1" t="s">
        <v>15</v>
      </c>
      <c r="D600" s="1">
        <v>18</v>
      </c>
      <c r="E600" s="1">
        <v>65</v>
      </c>
      <c r="F600" s="1">
        <v>0</v>
      </c>
      <c r="G600" s="1">
        <v>0.39753027626542625</v>
      </c>
      <c r="H600" s="1">
        <v>1.7894550048407276</v>
      </c>
      <c r="I600" s="1">
        <v>456.76809085116031</v>
      </c>
      <c r="K600" s="1">
        <f t="shared" si="27"/>
        <v>0.46622718720263784</v>
      </c>
      <c r="L600" s="1">
        <f t="shared" si="28"/>
        <v>0.89943831057198476</v>
      </c>
      <c r="M600" s="1">
        <f t="shared" si="29"/>
        <v>229.30686222926408</v>
      </c>
      <c r="N600" s="1">
        <f>SLOPE(K600:K603,F600:F603)</f>
        <v>1.7161893384917914E-2</v>
      </c>
      <c r="O600" s="1">
        <f>SLOPE(L600:L603,F600:F603)</f>
        <v>-2.7995216412108741E-4</v>
      </c>
      <c r="P600" s="1">
        <f>SLOPE(M600:M603,F600:F603)</f>
        <v>10.576426499576705</v>
      </c>
      <c r="Q600" s="1">
        <f>(N600*41.35/0.31*60)/1000</f>
        <v>0.13735050802574628</v>
      </c>
      <c r="R600" s="1">
        <f>O600*41.35/0.31*60/1000</f>
        <v>-2.2405203844658643E-3</v>
      </c>
      <c r="S600" s="1">
        <f>(O600*41.35/0.31*60)/1000</f>
        <v>-2.2405203844658643E-3</v>
      </c>
    </row>
    <row r="601" spans="1:19" x14ac:dyDescent="0.3">
      <c r="A601" s="1">
        <v>601</v>
      </c>
      <c r="C601" s="1" t="s">
        <v>15</v>
      </c>
      <c r="D601" s="1">
        <v>18</v>
      </c>
      <c r="E601" s="1">
        <v>66</v>
      </c>
      <c r="F601" s="1">
        <v>15</v>
      </c>
      <c r="G601" s="1">
        <v>0.72839037649133487</v>
      </c>
      <c r="H601" s="1">
        <v>1.7667635599423832</v>
      </c>
      <c r="I601" s="1">
        <v>939.1310866175628</v>
      </c>
      <c r="K601" s="1">
        <f t="shared" si="27"/>
        <v>0.85426297490428527</v>
      </c>
      <c r="L601" s="1">
        <f t="shared" si="28"/>
        <v>0.88803285203371829</v>
      </c>
      <c r="M601" s="1">
        <f t="shared" si="29"/>
        <v>471.46288676370114</v>
      </c>
      <c r="N601"/>
      <c r="P601" s="1"/>
    </row>
    <row r="602" spans="1:19" x14ac:dyDescent="0.3">
      <c r="A602" s="1">
        <v>602</v>
      </c>
      <c r="C602" s="1" t="s">
        <v>15</v>
      </c>
      <c r="D602" s="1">
        <v>18</v>
      </c>
      <c r="E602" s="1">
        <v>67</v>
      </c>
      <c r="F602" s="1">
        <v>30</v>
      </c>
      <c r="G602" s="1">
        <v>0.98013009001934526</v>
      </c>
      <c r="H602" s="1">
        <v>1.8441207584594674</v>
      </c>
      <c r="I602" s="1">
        <v>1310.1374255191213</v>
      </c>
      <c r="K602" s="1">
        <f t="shared" si="27"/>
        <v>1.1495056408163451</v>
      </c>
      <c r="L602" s="1">
        <f t="shared" si="28"/>
        <v>0.92691509705053587</v>
      </c>
      <c r="M602" s="1">
        <f t="shared" si="29"/>
        <v>657.71560700550344</v>
      </c>
      <c r="N602"/>
      <c r="P602" s="1"/>
    </row>
    <row r="603" spans="1:19" x14ac:dyDescent="0.3">
      <c r="A603" s="1">
        <v>603</v>
      </c>
      <c r="C603" s="1" t="s">
        <v>15</v>
      </c>
      <c r="D603" s="1">
        <v>18</v>
      </c>
      <c r="E603" s="1">
        <v>68</v>
      </c>
      <c r="F603" s="1">
        <v>45</v>
      </c>
      <c r="G603" s="1">
        <v>1.0452745227790878</v>
      </c>
      <c r="H603" s="1">
        <v>1.7358206805355494</v>
      </c>
      <c r="I603" s="1">
        <v>1386.4856105355543</v>
      </c>
      <c r="K603" s="1">
        <f t="shared" si="27"/>
        <v>1.225907634477847</v>
      </c>
      <c r="L603" s="1">
        <f t="shared" si="28"/>
        <v>0.87247995402699119</v>
      </c>
      <c r="M603" s="1">
        <f t="shared" si="29"/>
        <v>696.04394712749854</v>
      </c>
      <c r="N603"/>
      <c r="P603" s="1"/>
    </row>
    <row r="604" spans="1:19" x14ac:dyDescent="0.3">
      <c r="A604" s="1">
        <v>604</v>
      </c>
      <c r="C604" s="1" t="s">
        <v>15</v>
      </c>
      <c r="D604" s="1">
        <v>18</v>
      </c>
      <c r="E604" s="1">
        <v>69</v>
      </c>
      <c r="F604" s="1">
        <v>0</v>
      </c>
      <c r="G604" s="1">
        <v>0.39799997567761386</v>
      </c>
      <c r="H604" s="1">
        <v>1.7812035703322389</v>
      </c>
      <c r="I604" s="1">
        <v>410.07942804153623</v>
      </c>
      <c r="K604" s="1">
        <f t="shared" si="27"/>
        <v>0.4667780550203855</v>
      </c>
      <c r="L604" s="1">
        <f t="shared" si="28"/>
        <v>0.89529087110352423</v>
      </c>
      <c r="M604" s="1">
        <f t="shared" si="29"/>
        <v>205.86820487777311</v>
      </c>
      <c r="N604" s="1">
        <f>SLOPE(K604:K607,F604:F607)</f>
        <v>1.8521899836734294E-2</v>
      </c>
      <c r="O604" s="1">
        <f>SLOPE(L604:L607,F604:F607)</f>
        <v>-6.9123991141009319E-4</v>
      </c>
      <c r="P604" s="1">
        <f>SLOPE(M604:M607,F604:F607)</f>
        <v>16.869672616610195</v>
      </c>
      <c r="Q604" s="1">
        <f>(N604*41.35/0.31*60)/1000</f>
        <v>0.14823494675786381</v>
      </c>
      <c r="R604" s="1">
        <f>O604*41.35/0.31*60/1000</f>
        <v>-5.5321490974465847E-3</v>
      </c>
      <c r="S604" s="1">
        <f>(O604*41.35/0.31*60)/1000</f>
        <v>-5.5321490974465847E-3</v>
      </c>
    </row>
    <row r="605" spans="1:19" x14ac:dyDescent="0.3">
      <c r="A605" s="1">
        <v>605</v>
      </c>
      <c r="C605" s="1" t="s">
        <v>15</v>
      </c>
      <c r="D605" s="1">
        <v>18</v>
      </c>
      <c r="E605" s="1">
        <v>70</v>
      </c>
      <c r="F605" s="1">
        <v>15</v>
      </c>
      <c r="G605" s="1">
        <v>0.80452960977718457</v>
      </c>
      <c r="H605" s="1">
        <v>1.7760464237644333</v>
      </c>
      <c r="I605" s="1">
        <v>1312.3578999845395</v>
      </c>
      <c r="K605" s="1">
        <f t="shared" si="27"/>
        <v>0.94355977238122868</v>
      </c>
      <c r="L605" s="1">
        <f t="shared" si="28"/>
        <v>0.89269872143573636</v>
      </c>
      <c r="M605" s="1">
        <f t="shared" si="29"/>
        <v>658.83033030278204</v>
      </c>
      <c r="N605"/>
      <c r="P605" s="1"/>
    </row>
    <row r="606" spans="1:19" x14ac:dyDescent="0.3">
      <c r="A606" s="1">
        <v>606</v>
      </c>
      <c r="C606" s="1" t="s">
        <v>15</v>
      </c>
      <c r="D606" s="1">
        <v>18</v>
      </c>
      <c r="E606" s="1">
        <v>71</v>
      </c>
      <c r="F606" s="1">
        <v>30</v>
      </c>
      <c r="G606" s="1">
        <v>1.0132678628342997</v>
      </c>
      <c r="H606" s="1">
        <v>1.7616064133745775</v>
      </c>
      <c r="I606" s="1">
        <v>1755.7621622244824</v>
      </c>
      <c r="K606" s="1">
        <f t="shared" si="27"/>
        <v>1.1883699274684658</v>
      </c>
      <c r="L606" s="1">
        <f t="shared" si="28"/>
        <v>0.88544070236593031</v>
      </c>
      <c r="M606" s="1">
        <f t="shared" si="29"/>
        <v>881.42827904271371</v>
      </c>
      <c r="N606"/>
      <c r="P606" s="1"/>
    </row>
    <row r="607" spans="1:19" x14ac:dyDescent="0.3">
      <c r="A607" s="1">
        <v>607</v>
      </c>
      <c r="C607" s="1" t="s">
        <v>15</v>
      </c>
      <c r="D607" s="1">
        <v>18</v>
      </c>
      <c r="E607" s="1">
        <v>72</v>
      </c>
      <c r="F607" s="1">
        <v>45</v>
      </c>
      <c r="G607" s="1">
        <v>1.1180587602635974</v>
      </c>
      <c r="H607" s="1">
        <v>1.7172549528914491</v>
      </c>
      <c r="I607" s="1">
        <v>1942.4562800822612</v>
      </c>
      <c r="K607" s="1">
        <f t="shared" si="27"/>
        <v>1.3112696618280213</v>
      </c>
      <c r="L607" s="1">
        <f t="shared" si="28"/>
        <v>0.86314821522295493</v>
      </c>
      <c r="M607" s="1">
        <f t="shared" si="29"/>
        <v>975.15251946163903</v>
      </c>
      <c r="N607"/>
      <c r="P607" s="1"/>
    </row>
    <row r="608" spans="1:19" x14ac:dyDescent="0.3">
      <c r="A608" s="1">
        <v>608</v>
      </c>
      <c r="C608" s="1" t="s">
        <v>15</v>
      </c>
      <c r="D608" s="1">
        <v>18</v>
      </c>
      <c r="E608" s="1">
        <v>73</v>
      </c>
      <c r="F608" s="1">
        <v>0</v>
      </c>
      <c r="G608" s="1">
        <v>0.39834506096003752</v>
      </c>
      <c r="H608" s="1">
        <v>1.7853292875864835</v>
      </c>
      <c r="I608" s="1">
        <v>425.05410238968938</v>
      </c>
      <c r="K608" s="1">
        <f t="shared" si="27"/>
        <v>0.46718277423342475</v>
      </c>
      <c r="L608" s="1">
        <f t="shared" si="28"/>
        <v>0.89736459083775455</v>
      </c>
      <c r="M608" s="1">
        <f t="shared" si="29"/>
        <v>213.38579565623877</v>
      </c>
      <c r="N608" s="1">
        <f>SLOPE(K608:K611,F608:F611)</f>
        <v>1.0604093069640224E-2</v>
      </c>
      <c r="O608" s="1">
        <f>SLOPE(L608:L611,F608:F611)</f>
        <v>-1.3133558316791896E-4</v>
      </c>
      <c r="P608" s="1">
        <f>SLOPE(M608:M611,F608:F611)</f>
        <v>12.141499236793509</v>
      </c>
      <c r="Q608" s="1">
        <f>(N608*41.35/0.31*60)/1000</f>
        <v>8.486695130895934E-2</v>
      </c>
      <c r="R608" s="1">
        <f>O608*41.35/0.31*60/1000</f>
        <v>-1.051108328514861E-3</v>
      </c>
      <c r="S608" s="1">
        <f>(O608*41.35/0.31*60)/1000</f>
        <v>-1.051108328514861E-3</v>
      </c>
    </row>
    <row r="609" spans="1:19" x14ac:dyDescent="0.3">
      <c r="A609" s="1">
        <v>609</v>
      </c>
      <c r="C609" s="1" t="s">
        <v>15</v>
      </c>
      <c r="D609" s="1">
        <v>18</v>
      </c>
      <c r="E609" s="1">
        <v>74</v>
      </c>
      <c r="F609" s="1">
        <v>15</v>
      </c>
      <c r="G609" s="1">
        <v>0.62451970648183353</v>
      </c>
      <c r="H609" s="1">
        <v>1.7492292616118441</v>
      </c>
      <c r="I609" s="1">
        <v>1021.3785247366677</v>
      </c>
      <c r="K609" s="1">
        <f t="shared" si="27"/>
        <v>0.73244249177950105</v>
      </c>
      <c r="L609" s="1">
        <f t="shared" si="28"/>
        <v>0.87921954316323958</v>
      </c>
      <c r="M609" s="1">
        <f t="shared" si="29"/>
        <v>512.7527718043641</v>
      </c>
      <c r="N609"/>
      <c r="P609" s="1"/>
    </row>
    <row r="610" spans="1:19" x14ac:dyDescent="0.3">
      <c r="A610" s="1">
        <v>610</v>
      </c>
      <c r="C610" s="1" t="s">
        <v>15</v>
      </c>
      <c r="D610" s="1">
        <v>18</v>
      </c>
      <c r="E610" s="1">
        <v>75</v>
      </c>
      <c r="F610" s="1">
        <v>30</v>
      </c>
      <c r="G610" s="1">
        <v>0.74903797922301307</v>
      </c>
      <c r="H610" s="1">
        <v>1.7595435547474554</v>
      </c>
      <c r="I610" s="1">
        <v>1359.4803853559738</v>
      </c>
      <c r="K610" s="1">
        <f t="shared" si="27"/>
        <v>0.87847867448446093</v>
      </c>
      <c r="L610" s="1">
        <f t="shared" si="28"/>
        <v>0.88440384249881521</v>
      </c>
      <c r="M610" s="1">
        <f t="shared" si="29"/>
        <v>682.48677539471601</v>
      </c>
      <c r="N610"/>
      <c r="P610" s="1"/>
    </row>
    <row r="611" spans="1:19" x14ac:dyDescent="0.3">
      <c r="A611" s="1">
        <v>611</v>
      </c>
      <c r="C611" s="1" t="s">
        <v>15</v>
      </c>
      <c r="D611" s="1">
        <v>18</v>
      </c>
      <c r="E611" s="1">
        <v>76</v>
      </c>
      <c r="F611" s="1">
        <v>45</v>
      </c>
      <c r="G611" s="1">
        <v>0.80891986142579597</v>
      </c>
      <c r="H611" s="1">
        <v>1.7688264185695053</v>
      </c>
      <c r="I611" s="1">
        <v>1521.6172112634979</v>
      </c>
      <c r="K611" s="1">
        <f t="shared" si="27"/>
        <v>0.94870870014711595</v>
      </c>
      <c r="L611" s="1">
        <f t="shared" si="28"/>
        <v>0.88906971190083339</v>
      </c>
      <c r="M611" s="1">
        <f t="shared" si="29"/>
        <v>763.88275629913028</v>
      </c>
      <c r="N611"/>
      <c r="P611" s="1"/>
    </row>
    <row r="612" spans="1:19" x14ac:dyDescent="0.3">
      <c r="A612" s="1">
        <v>612</v>
      </c>
      <c r="C612" s="1" t="s">
        <v>15</v>
      </c>
      <c r="D612" s="1">
        <v>18</v>
      </c>
      <c r="E612" s="1">
        <v>77</v>
      </c>
      <c r="F612" s="1">
        <v>0</v>
      </c>
      <c r="G612" s="1">
        <v>0.39727146230360855</v>
      </c>
      <c r="H612" s="1">
        <v>1.7853292875864835</v>
      </c>
      <c r="I612" s="1">
        <v>405.91271366880034</v>
      </c>
      <c r="K612" s="1">
        <f t="shared" si="27"/>
        <v>0.46592364779285844</v>
      </c>
      <c r="L612" s="1">
        <f t="shared" si="28"/>
        <v>0.89736459083775455</v>
      </c>
      <c r="M612" s="1">
        <f t="shared" si="29"/>
        <v>203.7764296032849</v>
      </c>
      <c r="N612" s="1">
        <f>SLOPE(K612:K615,F612:F615)</f>
        <v>4.2280491550183118E-2</v>
      </c>
      <c r="O612" s="1">
        <f>SLOPE(L612:L615,F612:F615)</f>
        <v>-5.7372912647038433E-4</v>
      </c>
      <c r="P612" s="1">
        <f>SLOPE(M612:M615,F612:F615)</f>
        <v>8.115044402833206</v>
      </c>
      <c r="Q612" s="1">
        <f>(N612*41.35/0.31*60)/1000</f>
        <v>0.33838032108388488</v>
      </c>
      <c r="R612" s="1">
        <f>O612*41.35/0.31*60/1000</f>
        <v>-4.5916837508807205E-3</v>
      </c>
      <c r="S612" s="1">
        <f>(O612*41.35/0.31*60)/1000</f>
        <v>-4.5916837508807205E-3</v>
      </c>
    </row>
    <row r="613" spans="1:19" x14ac:dyDescent="0.3">
      <c r="A613" s="1">
        <v>613</v>
      </c>
      <c r="C613" s="1" t="s">
        <v>15</v>
      </c>
      <c r="D613" s="1">
        <v>18</v>
      </c>
      <c r="E613" s="1">
        <v>78</v>
      </c>
      <c r="F613" s="1">
        <v>15</v>
      </c>
      <c r="G613" s="1">
        <v>1.2430179753100958</v>
      </c>
      <c r="H613" s="1">
        <v>1.7801721410186779</v>
      </c>
      <c r="I613" s="1">
        <v>775.61208185031728</v>
      </c>
      <c r="K613" s="1">
        <f t="shared" si="27"/>
        <v>1.4578229857496423</v>
      </c>
      <c r="L613" s="1">
        <f t="shared" si="28"/>
        <v>0.89477244116996679</v>
      </c>
      <c r="M613" s="1">
        <f t="shared" si="29"/>
        <v>389.3730239885727</v>
      </c>
      <c r="N613"/>
      <c r="P613" s="1"/>
    </row>
    <row r="614" spans="1:19" x14ac:dyDescent="0.3">
      <c r="A614" s="1">
        <v>614</v>
      </c>
      <c r="C614" s="1" t="s">
        <v>15</v>
      </c>
      <c r="D614" s="1">
        <v>18</v>
      </c>
      <c r="E614" s="1">
        <v>79</v>
      </c>
      <c r="F614" s="1">
        <v>30</v>
      </c>
      <c r="G614" s="1">
        <v>1.9188291581275432</v>
      </c>
      <c r="H614" s="1">
        <v>1.7512921202389662</v>
      </c>
      <c r="I614" s="1">
        <v>1076.9628429944903</v>
      </c>
      <c r="K614" s="1">
        <f t="shared" si="27"/>
        <v>2.2504205956853691</v>
      </c>
      <c r="L614" s="1">
        <f t="shared" si="28"/>
        <v>0.88025640303035457</v>
      </c>
      <c r="M614" s="1">
        <f t="shared" si="29"/>
        <v>540.65722893293207</v>
      </c>
      <c r="N614"/>
      <c r="P614" s="1"/>
    </row>
    <row r="615" spans="1:19" x14ac:dyDescent="0.3">
      <c r="A615" s="1">
        <v>615</v>
      </c>
      <c r="C615" s="1" t="s">
        <v>15</v>
      </c>
      <c r="D615" s="1">
        <v>18</v>
      </c>
      <c r="E615" s="1">
        <v>80</v>
      </c>
      <c r="F615" s="1">
        <v>45</v>
      </c>
      <c r="G615" s="1">
        <v>1.9745316741320846</v>
      </c>
      <c r="H615" s="1">
        <v>1.7378835391626715</v>
      </c>
      <c r="I615" s="1">
        <v>1113.7011020555315</v>
      </c>
      <c r="K615" s="1">
        <f t="shared" si="27"/>
        <v>2.3157490219901056</v>
      </c>
      <c r="L615" s="1">
        <f t="shared" si="28"/>
        <v>0.87351681389410607</v>
      </c>
      <c r="M615" s="1">
        <f t="shared" si="29"/>
        <v>559.10058143015874</v>
      </c>
      <c r="N615"/>
      <c r="P615" s="1"/>
    </row>
    <row r="616" spans="1:19" x14ac:dyDescent="0.3">
      <c r="A616" s="1">
        <v>616</v>
      </c>
      <c r="C616" s="1" t="s">
        <v>15</v>
      </c>
      <c r="D616" s="1">
        <v>18</v>
      </c>
      <c r="E616" s="1">
        <v>81</v>
      </c>
      <c r="F616" s="1">
        <v>0</v>
      </c>
      <c r="G616" s="1">
        <v>0.40100030049424124</v>
      </c>
      <c r="H616" s="1">
        <v>1.7966750100356557</v>
      </c>
      <c r="I616" s="1">
        <v>419.35204136056774</v>
      </c>
      <c r="K616" s="1">
        <f t="shared" si="27"/>
        <v>0.47029686373375368</v>
      </c>
      <c r="L616" s="1">
        <f t="shared" si="28"/>
        <v>0.90306732010688773</v>
      </c>
      <c r="M616" s="1">
        <f t="shared" si="29"/>
        <v>210.52324516504495</v>
      </c>
      <c r="N616" s="1">
        <f>SLOPE(K616:K619,F616:F619)</f>
        <v>2.9241712622102749E-3</v>
      </c>
      <c r="O616" s="1">
        <f>SLOPE(L616:L619,F616:F619)</f>
        <v>-1.1025276586990936E-3</v>
      </c>
      <c r="P616" s="1">
        <f>SLOPE(M616:M619,F616:F619)</f>
        <v>5.994820125125436</v>
      </c>
      <c r="Q616" s="1">
        <f>(N616*41.35/0.31*60)/1000</f>
        <v>2.3402802908205459E-2</v>
      </c>
      <c r="R616" s="1">
        <f>O616*41.35/0.31*60/1000</f>
        <v>-8.8237778104272614E-3</v>
      </c>
      <c r="S616" s="1">
        <f>(O616*41.35/0.31*60)/1000</f>
        <v>-8.8237778104272614E-3</v>
      </c>
    </row>
    <row r="617" spans="1:19" x14ac:dyDescent="0.3">
      <c r="A617" s="1">
        <v>617</v>
      </c>
      <c r="C617" s="1" t="s">
        <v>15</v>
      </c>
      <c r="D617" s="1">
        <v>18</v>
      </c>
      <c r="E617" s="1">
        <v>82</v>
      </c>
      <c r="F617" s="1">
        <v>15</v>
      </c>
      <c r="G617" s="1">
        <v>0.46349907942206958</v>
      </c>
      <c r="H617" s="1">
        <v>1.7378835391626715</v>
      </c>
      <c r="I617" s="1">
        <v>753.02762780799958</v>
      </c>
      <c r="K617" s="1">
        <f t="shared" si="27"/>
        <v>0.54359601009528868</v>
      </c>
      <c r="L617" s="1">
        <f t="shared" si="28"/>
        <v>0.87351681389410607</v>
      </c>
      <c r="M617" s="1">
        <f t="shared" si="29"/>
        <v>378.03516918800079</v>
      </c>
      <c r="N617"/>
      <c r="P617" s="1"/>
    </row>
    <row r="618" spans="1:19" x14ac:dyDescent="0.3">
      <c r="A618" s="1">
        <v>618</v>
      </c>
      <c r="C618" s="1" t="s">
        <v>15</v>
      </c>
      <c r="D618" s="1">
        <v>18</v>
      </c>
      <c r="E618" s="1">
        <v>83</v>
      </c>
      <c r="F618" s="1">
        <v>30</v>
      </c>
      <c r="G618" s="1">
        <v>0.49798843625984973</v>
      </c>
      <c r="H618" s="1">
        <v>1.7151920942643271</v>
      </c>
      <c r="I618" s="1">
        <v>904.0098025596327</v>
      </c>
      <c r="K618" s="1">
        <f t="shared" si="27"/>
        <v>0.58404544699847927</v>
      </c>
      <c r="L618" s="1">
        <f t="shared" si="28"/>
        <v>0.86211135535583983</v>
      </c>
      <c r="M618" s="1">
        <f t="shared" si="29"/>
        <v>453.8312885717624</v>
      </c>
      <c r="N618"/>
      <c r="P618" s="1"/>
    </row>
    <row r="619" spans="1:19" x14ac:dyDescent="0.3">
      <c r="A619" s="1">
        <v>619</v>
      </c>
      <c r="C619" s="1" t="s">
        <v>15</v>
      </c>
      <c r="D619" s="1">
        <v>18</v>
      </c>
      <c r="E619" s="1">
        <v>84</v>
      </c>
      <c r="F619" s="1">
        <v>45</v>
      </c>
      <c r="G619" s="1">
        <v>0.5141691017246004</v>
      </c>
      <c r="H619" s="1">
        <v>1.6945635079931045</v>
      </c>
      <c r="I619" s="1">
        <v>966.0941218651285</v>
      </c>
      <c r="K619" s="1">
        <f t="shared" si="27"/>
        <v>0.60302228120987056</v>
      </c>
      <c r="L619" s="1">
        <f t="shared" si="28"/>
        <v>0.85174275668468846</v>
      </c>
      <c r="M619" s="1">
        <f t="shared" si="29"/>
        <v>484.99887829339622</v>
      </c>
      <c r="N619"/>
      <c r="P619" s="1"/>
    </row>
    <row r="620" spans="1:19" x14ac:dyDescent="0.3">
      <c r="A620" s="1">
        <v>620</v>
      </c>
      <c r="C620" s="1" t="s">
        <v>15</v>
      </c>
      <c r="D620" s="1">
        <v>18</v>
      </c>
      <c r="E620" s="1">
        <v>85</v>
      </c>
      <c r="F620" s="1">
        <v>0</v>
      </c>
      <c r="G620" s="1">
        <v>0.39616910654031096</v>
      </c>
      <c r="H620" s="1">
        <v>1.7781092823915554</v>
      </c>
      <c r="I620" s="1">
        <v>424.66705562207</v>
      </c>
      <c r="K620" s="1">
        <f t="shared" si="27"/>
        <v>0.46463079475120561</v>
      </c>
      <c r="L620" s="1">
        <f t="shared" si="28"/>
        <v>0.89373558130285147</v>
      </c>
      <c r="M620" s="1">
        <f t="shared" si="29"/>
        <v>213.19149031487092</v>
      </c>
      <c r="N620" s="1">
        <f>SLOPE(K620:K623,F620:F623)</f>
        <v>1.0618632982108685E-3</v>
      </c>
      <c r="O620" s="1">
        <f>SLOPE(L620:L623,F620:F623)</f>
        <v>-6.1520352115498119E-4</v>
      </c>
      <c r="P620" s="1">
        <f>SLOPE(M620:M623,F620:F623)</f>
        <v>3.8428040556238798</v>
      </c>
      <c r="Q620" s="1">
        <f>(N620*41.35/0.31*60)/1000</f>
        <v>8.4983317511650464E-3</v>
      </c>
      <c r="R620" s="1">
        <f>O620*41.35/0.31*60/1000</f>
        <v>-4.9236126967274465E-3</v>
      </c>
      <c r="S620" s="1">
        <f>(O620*41.35/0.31*60)/1000</f>
        <v>-4.9236126967274465E-3</v>
      </c>
    </row>
    <row r="621" spans="1:19" x14ac:dyDescent="0.3">
      <c r="A621" s="1">
        <v>621</v>
      </c>
      <c r="C621" s="1" t="s">
        <v>15</v>
      </c>
      <c r="D621" s="1">
        <v>18</v>
      </c>
      <c r="E621" s="1">
        <v>86</v>
      </c>
      <c r="F621" s="1">
        <v>15</v>
      </c>
      <c r="G621" s="1">
        <v>0.41909810641690076</v>
      </c>
      <c r="H621" s="1">
        <v>1.8038950152305835</v>
      </c>
      <c r="I621" s="1">
        <v>622.58461256837359</v>
      </c>
      <c r="K621" s="1">
        <f t="shared" si="27"/>
        <v>0.49152213801758471</v>
      </c>
      <c r="L621" s="1">
        <f t="shared" si="28"/>
        <v>0.9066963296417907</v>
      </c>
      <c r="M621" s="1">
        <f t="shared" si="29"/>
        <v>312.55012519426549</v>
      </c>
      <c r="N621"/>
      <c r="P621" s="1"/>
    </row>
    <row r="622" spans="1:19" x14ac:dyDescent="0.3">
      <c r="A622" s="1">
        <v>622</v>
      </c>
      <c r="C622" s="1" t="s">
        <v>15</v>
      </c>
      <c r="D622" s="1">
        <v>18</v>
      </c>
      <c r="E622" s="1">
        <v>87</v>
      </c>
      <c r="F622" s="1">
        <v>30</v>
      </c>
      <c r="G622" s="1">
        <v>0.42440858548530824</v>
      </c>
      <c r="H622" s="1">
        <v>1.7842978582729221</v>
      </c>
      <c r="I622" s="1">
        <v>674.85977268029444</v>
      </c>
      <c r="K622" s="1">
        <f t="shared" si="27"/>
        <v>0.49775031701824268</v>
      </c>
      <c r="L622" s="1">
        <f t="shared" si="28"/>
        <v>0.89684616090419689</v>
      </c>
      <c r="M622" s="1">
        <f t="shared" si="29"/>
        <v>338.79331769805833</v>
      </c>
      <c r="N622"/>
      <c r="P622" s="1"/>
    </row>
    <row r="623" spans="1:19" x14ac:dyDescent="0.3">
      <c r="A623" s="1">
        <v>623</v>
      </c>
      <c r="C623" s="1" t="s">
        <v>15</v>
      </c>
      <c r="D623" s="1">
        <v>18</v>
      </c>
      <c r="E623" s="1">
        <v>88</v>
      </c>
      <c r="F623" s="1">
        <v>45</v>
      </c>
      <c r="G623" s="1">
        <v>0.43966902353026271</v>
      </c>
      <c r="H623" s="1">
        <v>1.723443528772816</v>
      </c>
      <c r="I623" s="1">
        <v>789.97591935668254</v>
      </c>
      <c r="K623" s="1">
        <f t="shared" si="27"/>
        <v>0.51564789999486305</v>
      </c>
      <c r="L623" s="1">
        <f t="shared" si="28"/>
        <v>0.86625879482430035</v>
      </c>
      <c r="M623" s="1">
        <f t="shared" si="29"/>
        <v>396.58396226146732</v>
      </c>
      <c r="N623"/>
      <c r="P623" s="1"/>
    </row>
    <row r="624" spans="1:19" x14ac:dyDescent="0.3">
      <c r="A624" s="1">
        <v>624</v>
      </c>
      <c r="C624" s="1" t="s">
        <v>15</v>
      </c>
      <c r="D624" s="1">
        <v>18</v>
      </c>
      <c r="E624" s="1">
        <v>89</v>
      </c>
      <c r="F624" s="1">
        <v>0</v>
      </c>
      <c r="G624" s="1">
        <v>0.40079900074616087</v>
      </c>
      <c r="H624" s="1">
        <v>1.7739835651373108</v>
      </c>
      <c r="I624" s="1">
        <v>420.12613489580639</v>
      </c>
      <c r="K624" s="1">
        <f t="shared" si="27"/>
        <v>0.47006077752614756</v>
      </c>
      <c r="L624" s="1">
        <f t="shared" si="28"/>
        <v>0.89166186156862115</v>
      </c>
      <c r="M624" s="1">
        <f t="shared" si="29"/>
        <v>210.9118558477806</v>
      </c>
      <c r="N624" s="1">
        <f>SLOPE(K624:K627,F624:F627)</f>
        <v>5.1413580176430853E-3</v>
      </c>
      <c r="O624" s="1">
        <f>SLOPE(L624:L627,F624:F627)</f>
        <v>-3.6290095349029566E-4</v>
      </c>
      <c r="P624" s="1">
        <f>SLOPE(M624:M627,F624:F627)</f>
        <v>3.6102761216697643</v>
      </c>
      <c r="Q624" s="1">
        <f>(N624*41.35/0.31*60)/1000</f>
        <v>4.1147449167008049E-2</v>
      </c>
      <c r="R624" s="1">
        <f>O624*41.35/0.31*60/1000</f>
        <v>-2.9043782761594308E-3</v>
      </c>
      <c r="S624" s="1">
        <f>(O624*41.35/0.31*60)/1000</f>
        <v>-2.9043782761594308E-3</v>
      </c>
    </row>
    <row r="625" spans="1:19" x14ac:dyDescent="0.3">
      <c r="A625" s="1">
        <v>625</v>
      </c>
      <c r="C625" s="1" t="s">
        <v>15</v>
      </c>
      <c r="D625" s="1">
        <v>18</v>
      </c>
      <c r="E625" s="1">
        <v>90</v>
      </c>
      <c r="F625" s="1">
        <v>15</v>
      </c>
      <c r="G625" s="1">
        <v>0.48489436693233229</v>
      </c>
      <c r="H625" s="1">
        <v>1.7708892771966276</v>
      </c>
      <c r="I625" s="1">
        <v>577.5798783496241</v>
      </c>
      <c r="K625" s="1">
        <f t="shared" si="27"/>
        <v>0.5686886013037159</v>
      </c>
      <c r="L625" s="1">
        <f t="shared" si="28"/>
        <v>0.8901065717679485</v>
      </c>
      <c r="M625" s="1">
        <f t="shared" si="29"/>
        <v>289.95683420948387</v>
      </c>
      <c r="N625"/>
      <c r="P625" s="1"/>
    </row>
    <row r="626" spans="1:19" x14ac:dyDescent="0.3">
      <c r="A626" s="1">
        <v>626</v>
      </c>
      <c r="C626" s="1" t="s">
        <v>15</v>
      </c>
      <c r="D626" s="1">
        <v>18</v>
      </c>
      <c r="E626" s="1">
        <v>91</v>
      </c>
      <c r="F626" s="1">
        <v>30</v>
      </c>
      <c r="G626" s="1">
        <v>0.54052019731855749</v>
      </c>
      <c r="H626" s="1">
        <v>1.7647007013152609</v>
      </c>
      <c r="I626" s="1">
        <v>667.23531822716791</v>
      </c>
      <c r="K626" s="1">
        <f t="shared" si="27"/>
        <v>0.63392709000555458</v>
      </c>
      <c r="L626" s="1">
        <f t="shared" si="28"/>
        <v>0.88699599216660308</v>
      </c>
      <c r="M626" s="1">
        <f t="shared" si="29"/>
        <v>334.96568664879118</v>
      </c>
      <c r="N626"/>
      <c r="P626" s="1"/>
    </row>
    <row r="627" spans="1:19" x14ac:dyDescent="0.3">
      <c r="A627" s="1">
        <v>627</v>
      </c>
      <c r="C627" s="1" t="s">
        <v>15</v>
      </c>
      <c r="D627" s="1">
        <v>18</v>
      </c>
      <c r="E627" s="1">
        <v>92</v>
      </c>
      <c r="F627" s="1">
        <v>45</v>
      </c>
      <c r="G627" s="1">
        <v>0.60144692107090059</v>
      </c>
      <c r="H627" s="1">
        <v>1.739946397789794</v>
      </c>
      <c r="I627" s="1">
        <v>749.8156899402203</v>
      </c>
      <c r="K627" s="1">
        <f t="shared" si="27"/>
        <v>0.70538251550768893</v>
      </c>
      <c r="L627" s="1">
        <f t="shared" si="28"/>
        <v>0.87455367376122151</v>
      </c>
      <c r="M627" s="1">
        <f t="shared" si="29"/>
        <v>376.42271111816638</v>
      </c>
      <c r="N627"/>
      <c r="P627" s="1"/>
    </row>
    <row r="628" spans="1:19" x14ac:dyDescent="0.3">
      <c r="A628" s="1">
        <v>628</v>
      </c>
      <c r="C628" s="1" t="s">
        <v>15</v>
      </c>
      <c r="D628" s="1">
        <v>18</v>
      </c>
      <c r="E628" s="1">
        <v>93</v>
      </c>
      <c r="F628" s="1">
        <v>0</v>
      </c>
      <c r="G628" s="1">
        <v>0.39903523152488468</v>
      </c>
      <c r="H628" s="1">
        <v>1.7708892771966276</v>
      </c>
      <c r="I628" s="1">
        <v>416.72525950639306</v>
      </c>
      <c r="K628" s="1">
        <f t="shared" si="27"/>
        <v>0.46799221265950297</v>
      </c>
      <c r="L628" s="1">
        <f t="shared" si="28"/>
        <v>0.8901065717679485</v>
      </c>
      <c r="M628" s="1">
        <f t="shared" si="29"/>
        <v>209.20454730325005</v>
      </c>
      <c r="N628" s="1">
        <f>SLOPE(K628:K631,F628:F631)</f>
        <v>2.1944025626987576E-3</v>
      </c>
      <c r="O628" s="1">
        <f>SLOPE(L628:L631,F628:F631)</f>
        <v>-4.7349933931591407E-4</v>
      </c>
      <c r="P628" s="1">
        <f>SLOPE(M628:M631,F628:F631)</f>
        <v>3.825902867478995</v>
      </c>
      <c r="Q628" s="1">
        <f>(N628*41.35/0.31*60)/1000</f>
        <v>1.7562299219534248E-2</v>
      </c>
      <c r="R628" s="1">
        <f>O628*41.35/0.31*60/1000</f>
        <v>-3.7895221317509127E-3</v>
      </c>
      <c r="S628" s="1">
        <f>(O628*41.35/0.31*60)/1000</f>
        <v>-3.7895221317509127E-3</v>
      </c>
    </row>
    <row r="629" spans="1:19" x14ac:dyDescent="0.3">
      <c r="A629" s="1">
        <v>629</v>
      </c>
      <c r="C629" s="1" t="s">
        <v>15</v>
      </c>
      <c r="D629" s="1">
        <v>18</v>
      </c>
      <c r="E629" s="1">
        <v>94</v>
      </c>
      <c r="F629" s="1">
        <v>15</v>
      </c>
      <c r="G629" s="1">
        <v>0.43067763478267018</v>
      </c>
      <c r="H629" s="1">
        <v>1.7492292616118441</v>
      </c>
      <c r="I629" s="1">
        <v>620.80438087181176</v>
      </c>
      <c r="K629" s="1">
        <f t="shared" si="27"/>
        <v>0.50510271605512058</v>
      </c>
      <c r="L629" s="1">
        <f t="shared" si="28"/>
        <v>0.87921954316323958</v>
      </c>
      <c r="M629" s="1">
        <f t="shared" si="29"/>
        <v>311.656412711813</v>
      </c>
      <c r="N629"/>
      <c r="P629" s="1"/>
    </row>
    <row r="630" spans="1:19" x14ac:dyDescent="0.3">
      <c r="A630" s="1">
        <v>630</v>
      </c>
      <c r="C630" s="1" t="s">
        <v>15</v>
      </c>
      <c r="D630" s="1">
        <v>18</v>
      </c>
      <c r="E630" s="1">
        <v>95</v>
      </c>
      <c r="F630" s="1">
        <v>30</v>
      </c>
      <c r="G630" s="1">
        <v>0.45033791017852537</v>
      </c>
      <c r="H630" s="1">
        <v>1.7409778271033551</v>
      </c>
      <c r="I630" s="1">
        <v>686.24463411740021</v>
      </c>
      <c r="K630" s="1">
        <f t="shared" si="27"/>
        <v>0.52816046899798996</v>
      </c>
      <c r="L630" s="1">
        <f t="shared" si="28"/>
        <v>0.87507210369477895</v>
      </c>
      <c r="M630" s="1">
        <f t="shared" si="29"/>
        <v>344.50874945729737</v>
      </c>
      <c r="N630"/>
      <c r="P630" s="1"/>
    </row>
    <row r="631" spans="1:19" x14ac:dyDescent="0.3">
      <c r="A631" s="1">
        <v>631</v>
      </c>
      <c r="C631" s="1" t="s">
        <v>15</v>
      </c>
      <c r="D631" s="1">
        <v>18</v>
      </c>
      <c r="E631" s="1">
        <v>96</v>
      </c>
      <c r="F631" s="1">
        <v>45</v>
      </c>
      <c r="G631" s="1">
        <v>0.48603506550478814</v>
      </c>
      <c r="H631" s="1">
        <v>1.7265378167134993</v>
      </c>
      <c r="I631" s="1">
        <v>775.96244172053196</v>
      </c>
      <c r="K631" s="1">
        <f t="shared" si="27"/>
        <v>0.57002642314681773</v>
      </c>
      <c r="L631" s="1">
        <f t="shared" si="28"/>
        <v>0.867814084624973</v>
      </c>
      <c r="M631" s="1">
        <f t="shared" si="29"/>
        <v>389.54891176203836</v>
      </c>
      <c r="N631"/>
      <c r="P631" s="1"/>
    </row>
    <row r="632" spans="1:19" x14ac:dyDescent="0.3">
      <c r="A632" s="1">
        <v>632</v>
      </c>
      <c r="C632" s="1" t="s">
        <v>15</v>
      </c>
      <c r="D632" s="1">
        <v>18</v>
      </c>
      <c r="E632" s="1">
        <v>97</v>
      </c>
      <c r="F632" s="1">
        <v>0</v>
      </c>
      <c r="G632" s="1">
        <v>0.39854636070811794</v>
      </c>
      <c r="H632" s="1">
        <v>1.7842978582729221</v>
      </c>
      <c r="I632" s="1">
        <v>413.81231985246188</v>
      </c>
      <c r="K632" s="1">
        <f t="shared" si="27"/>
        <v>0.46741886044103081</v>
      </c>
      <c r="L632" s="1">
        <f t="shared" si="28"/>
        <v>0.89684616090419689</v>
      </c>
      <c r="M632" s="1">
        <f t="shared" si="29"/>
        <v>207.74219241181828</v>
      </c>
      <c r="N632" s="1">
        <f>SLOPE(K632:K635,F632:F635)</f>
        <v>1.6711156098396178E-3</v>
      </c>
      <c r="O632" s="1">
        <f>SLOPE(L632:L635,F632:F635)</f>
        <v>-1.2787938361086715E-4</v>
      </c>
      <c r="P632" s="1">
        <f>SLOPE(M632:M635,F632:F635)</f>
        <v>2.7785663815599095</v>
      </c>
      <c r="Q632" s="1">
        <f>(N632*41.35/0.31*60)/1000</f>
        <v>1.3374315574232552E-2</v>
      </c>
      <c r="R632" s="1">
        <f>O632*41.35/0.31*60/1000</f>
        <v>-1.0234475830276173E-3</v>
      </c>
      <c r="S632" s="1">
        <f>(O632*41.35/0.31*60)/1000</f>
        <v>-1.0234475830276173E-3</v>
      </c>
    </row>
    <row r="633" spans="1:19" x14ac:dyDescent="0.3">
      <c r="A633" s="1">
        <v>633</v>
      </c>
      <c r="C633" s="1" t="s">
        <v>15</v>
      </c>
      <c r="D633" s="1">
        <v>18</v>
      </c>
      <c r="E633" s="1">
        <v>98</v>
      </c>
      <c r="F633" s="1">
        <v>15</v>
      </c>
      <c r="G633" s="1">
        <v>0.42900013688199995</v>
      </c>
      <c r="H633" s="1">
        <v>1.7574806961203329</v>
      </c>
      <c r="I633" s="1">
        <v>542.61543077809893</v>
      </c>
      <c r="K633" s="1">
        <f t="shared" si="27"/>
        <v>0.50313533099173591</v>
      </c>
      <c r="L633" s="1">
        <f t="shared" si="28"/>
        <v>0.88336698263169999</v>
      </c>
      <c r="M633" s="1">
        <f t="shared" si="29"/>
        <v>272.40397112032684</v>
      </c>
      <c r="N633"/>
      <c r="P633" s="1"/>
    </row>
    <row r="634" spans="1:19" x14ac:dyDescent="0.3">
      <c r="A634" s="1">
        <v>634</v>
      </c>
      <c r="C634" s="1" t="s">
        <v>15</v>
      </c>
      <c r="D634" s="1">
        <v>18</v>
      </c>
      <c r="E634" s="1">
        <v>99</v>
      </c>
      <c r="F634" s="1">
        <v>30</v>
      </c>
      <c r="G634" s="1">
        <v>0.44338827601860581</v>
      </c>
      <c r="H634" s="1">
        <v>1.7688264185695053</v>
      </c>
      <c r="I634" s="1">
        <v>602.85164762683416</v>
      </c>
      <c r="K634" s="1">
        <f t="shared" si="27"/>
        <v>0.52000987373539598</v>
      </c>
      <c r="L634" s="1">
        <f t="shared" si="28"/>
        <v>0.88906971190083339</v>
      </c>
      <c r="M634" s="1">
        <f t="shared" si="29"/>
        <v>302.64377585888923</v>
      </c>
      <c r="N634"/>
      <c r="P634" s="1"/>
    </row>
    <row r="635" spans="1:19" x14ac:dyDescent="0.3">
      <c r="A635" s="1">
        <v>635</v>
      </c>
      <c r="C635" s="1" t="s">
        <v>15</v>
      </c>
      <c r="D635" s="1">
        <v>18</v>
      </c>
      <c r="E635" s="1">
        <v>100</v>
      </c>
      <c r="F635" s="1">
        <v>45</v>
      </c>
      <c r="G635" s="1">
        <v>0.46499444897923853</v>
      </c>
      <c r="H635" s="1">
        <v>1.7677949892559441</v>
      </c>
      <c r="I635" s="1">
        <v>670.47201975069538</v>
      </c>
      <c r="K635" s="1">
        <f t="shared" si="27"/>
        <v>0.54534979335179168</v>
      </c>
      <c r="L635" s="1">
        <f t="shared" si="28"/>
        <v>0.88855128196727573</v>
      </c>
      <c r="M635" s="1">
        <f t="shared" si="29"/>
        <v>336.59057657695962</v>
      </c>
      <c r="N635"/>
      <c r="P635" s="1"/>
    </row>
    <row r="636" spans="1:19" x14ac:dyDescent="0.3">
      <c r="A636" s="1">
        <v>636</v>
      </c>
      <c r="C636" s="1" t="s">
        <v>15</v>
      </c>
      <c r="D636" s="1">
        <v>18</v>
      </c>
      <c r="E636" s="1">
        <v>101</v>
      </c>
      <c r="F636" s="1">
        <v>0</v>
      </c>
      <c r="G636" s="1">
        <v>0.40297495516588738</v>
      </c>
      <c r="H636" s="1">
        <v>1.8822836430612289</v>
      </c>
      <c r="I636" s="1">
        <v>417.26180538093638</v>
      </c>
      <c r="K636" s="1">
        <f t="shared" si="27"/>
        <v>0.47261275700836669</v>
      </c>
      <c r="L636" s="1">
        <f t="shared" si="28"/>
        <v>0.94609700459216606</v>
      </c>
      <c r="M636" s="1">
        <f t="shared" si="29"/>
        <v>209.47390423381916</v>
      </c>
      <c r="N636" s="1">
        <f>SLOPE(K636:K639,F636:F639)</f>
        <v>3.1255565446984554E-3</v>
      </c>
      <c r="O636" s="1">
        <f>SLOPE(L636:L639,F636:F639)</f>
        <v>-1.3340930290214801E-3</v>
      </c>
      <c r="P636" s="1">
        <f>SLOPE(M636:M639,F636:F639)</f>
        <v>2.7831707735354514</v>
      </c>
      <c r="Q636" s="1">
        <f>(N636*41.35/0.31*60)/1000</f>
        <v>2.5014534798054412E-2</v>
      </c>
      <c r="R636" s="1">
        <f>O636*41.35/0.31*60/1000</f>
        <v>-1.0677047758071911E-2</v>
      </c>
      <c r="S636" s="1">
        <f>(O636*41.35/0.31*60)/1000</f>
        <v>-1.0677047758071911E-2</v>
      </c>
    </row>
    <row r="637" spans="1:19" x14ac:dyDescent="0.3">
      <c r="A637" s="1">
        <v>637</v>
      </c>
      <c r="C637" s="1" t="s">
        <v>15</v>
      </c>
      <c r="D637" s="1">
        <v>18</v>
      </c>
      <c r="E637" s="1">
        <v>102</v>
      </c>
      <c r="F637" s="1">
        <v>15</v>
      </c>
      <c r="G637" s="1">
        <v>0.46504237749068628</v>
      </c>
      <c r="H637" s="1">
        <v>1.7719207065101887</v>
      </c>
      <c r="I637" s="1">
        <v>558.49168562997193</v>
      </c>
      <c r="K637" s="1">
        <f t="shared" si="27"/>
        <v>0.54540600435360276</v>
      </c>
      <c r="L637" s="1">
        <f t="shared" si="28"/>
        <v>0.89062500170150605</v>
      </c>
      <c r="M637" s="1">
        <f t="shared" si="29"/>
        <v>280.37417362998815</v>
      </c>
      <c r="N637"/>
      <c r="P637" s="1"/>
    </row>
    <row r="638" spans="1:19" x14ac:dyDescent="0.3">
      <c r="A638" s="1">
        <v>638</v>
      </c>
      <c r="C638" s="1" t="s">
        <v>15</v>
      </c>
      <c r="D638" s="1">
        <v>18</v>
      </c>
      <c r="E638" s="1">
        <v>103</v>
      </c>
      <c r="F638" s="1">
        <v>30</v>
      </c>
      <c r="G638" s="1">
        <v>0.49509355416840739</v>
      </c>
      <c r="H638" s="1">
        <v>1.7451035443575995</v>
      </c>
      <c r="I638" s="1">
        <v>613.57706208309094</v>
      </c>
      <c r="K638" s="1">
        <f t="shared" si="27"/>
        <v>0.58065030248909533</v>
      </c>
      <c r="L638" s="1">
        <f t="shared" si="28"/>
        <v>0.87714582342900926</v>
      </c>
      <c r="M638" s="1">
        <f t="shared" si="29"/>
        <v>308.02815183508682</v>
      </c>
      <c r="N638"/>
      <c r="P638" s="1"/>
    </row>
    <row r="639" spans="1:19" x14ac:dyDescent="0.3">
      <c r="A639" s="1">
        <v>639</v>
      </c>
      <c r="C639" s="1" t="s">
        <v>15</v>
      </c>
      <c r="D639" s="1">
        <v>18</v>
      </c>
      <c r="E639" s="1">
        <v>104</v>
      </c>
      <c r="F639" s="1">
        <v>45</v>
      </c>
      <c r="G639" s="1">
        <v>0.52620874380026794</v>
      </c>
      <c r="H639" s="1">
        <v>1.758512125433894</v>
      </c>
      <c r="I639" s="1">
        <v>676.09703829526711</v>
      </c>
      <c r="K639" s="1">
        <f t="shared" si="27"/>
        <v>0.61714248486479195</v>
      </c>
      <c r="L639" s="1">
        <f t="shared" si="28"/>
        <v>0.88388541256525766</v>
      </c>
      <c r="M639" s="1">
        <f t="shared" si="29"/>
        <v>339.41445017555884</v>
      </c>
      <c r="N639"/>
      <c r="P639" s="1"/>
    </row>
    <row r="640" spans="1:19" x14ac:dyDescent="0.3">
      <c r="A640" s="1">
        <v>640</v>
      </c>
      <c r="C640" s="1" t="s">
        <v>15</v>
      </c>
      <c r="D640" s="1">
        <v>18</v>
      </c>
      <c r="E640" s="1">
        <v>105</v>
      </c>
      <c r="F640" s="1">
        <v>0</v>
      </c>
      <c r="G640" s="1">
        <v>0.4041348251429222</v>
      </c>
      <c r="H640" s="1">
        <v>1.7812035703322389</v>
      </c>
      <c r="I640" s="1">
        <v>421.60645120608501</v>
      </c>
      <c r="K640" s="1">
        <f t="shared" si="27"/>
        <v>0.47397306325219268</v>
      </c>
      <c r="L640" s="1">
        <f t="shared" si="28"/>
        <v>0.89529087110352423</v>
      </c>
      <c r="M640" s="1">
        <f t="shared" si="29"/>
        <v>211.65500471263292</v>
      </c>
      <c r="N640" s="1">
        <f>SLOPE(K640:K643,F640:F643)</f>
        <v>5.8707519771425305E-3</v>
      </c>
      <c r="O640" s="1">
        <f>SLOPE(L640:L643,F640:F643)</f>
        <v>-3.6981335260439856E-4</v>
      </c>
      <c r="P640" s="1">
        <f>SLOPE(M640:M643,F640:F643)</f>
        <v>4.4502000970639815</v>
      </c>
      <c r="Q640" s="1">
        <f>(N640*41.35/0.31*60)/1000</f>
        <v>4.6984953726743925E-2</v>
      </c>
      <c r="R640" s="1">
        <f>O640*41.35/0.31*60/1000</f>
        <v>-2.9596997671339125E-3</v>
      </c>
      <c r="S640" s="1">
        <f>(O640*41.35/0.31*60)/1000</f>
        <v>-2.9596997671339125E-3</v>
      </c>
    </row>
    <row r="641" spans="1:19" x14ac:dyDescent="0.3">
      <c r="A641" s="1">
        <v>641</v>
      </c>
      <c r="C641" s="1" t="s">
        <v>15</v>
      </c>
      <c r="D641" s="1">
        <v>18</v>
      </c>
      <c r="E641" s="1">
        <v>106</v>
      </c>
      <c r="F641" s="1">
        <v>15</v>
      </c>
      <c r="G641" s="1">
        <v>0.51307633166359234</v>
      </c>
      <c r="H641" s="1">
        <v>1.7636692720016995</v>
      </c>
      <c r="I641" s="1">
        <v>682.06507933057253</v>
      </c>
      <c r="K641" s="1">
        <f t="shared" si="27"/>
        <v>0.60174067036857992</v>
      </c>
      <c r="L641" s="1">
        <f t="shared" si="28"/>
        <v>0.88647756223304541</v>
      </c>
      <c r="M641" s="1">
        <f t="shared" si="29"/>
        <v>342.41052803404324</v>
      </c>
      <c r="N641"/>
      <c r="P641" s="1"/>
    </row>
    <row r="642" spans="1:19" x14ac:dyDescent="0.3">
      <c r="A642" s="1">
        <v>642</v>
      </c>
      <c r="C642" s="1" t="s">
        <v>15</v>
      </c>
      <c r="D642" s="1">
        <v>18</v>
      </c>
      <c r="E642" s="1">
        <v>107</v>
      </c>
      <c r="F642" s="1">
        <v>30</v>
      </c>
      <c r="G642" s="1">
        <v>0.56599899400416609</v>
      </c>
      <c r="H642" s="1">
        <v>1.7492292616118441</v>
      </c>
      <c r="I642" s="1">
        <v>766.96589730447056</v>
      </c>
      <c r="K642" s="1">
        <f t="shared" si="27"/>
        <v>0.66380885856827854</v>
      </c>
      <c r="L642" s="1">
        <f t="shared" si="28"/>
        <v>0.87921954316323958</v>
      </c>
      <c r="M642" s="1">
        <f t="shared" si="29"/>
        <v>385.03246367323021</v>
      </c>
      <c r="N642"/>
      <c r="P642" s="1"/>
    </row>
    <row r="643" spans="1:19" x14ac:dyDescent="0.3">
      <c r="A643" s="1">
        <v>643</v>
      </c>
      <c r="C643" s="1" t="s">
        <v>15</v>
      </c>
      <c r="D643" s="1">
        <v>18</v>
      </c>
      <c r="E643" s="1">
        <v>108</v>
      </c>
      <c r="F643" s="1">
        <v>45</v>
      </c>
      <c r="G643" s="1">
        <v>0.63677981971016062</v>
      </c>
      <c r="H643" s="1">
        <v>1.7492292616118441</v>
      </c>
      <c r="I643" s="1">
        <v>836.53526085295505</v>
      </c>
      <c r="K643" s="1">
        <f t="shared" ref="K643:K706" si="30">(G643*28*1)/(0.082*(D643+273.15))</f>
        <v>0.74682126604275301</v>
      </c>
      <c r="L643" s="1">
        <f t="shared" ref="L643:L706" si="31">(H643*12*1)/(0.082*(D643+273.15))</f>
        <v>0.87921954316323958</v>
      </c>
      <c r="M643" s="1">
        <f t="shared" ref="M643:M706" si="32">(I643*12*1)/(0.0821*(D643+273.15))</f>
        <v>419.95769768610302</v>
      </c>
      <c r="N643"/>
      <c r="P643" s="1"/>
    </row>
    <row r="644" spans="1:19" x14ac:dyDescent="0.3">
      <c r="A644" s="1">
        <v>644</v>
      </c>
      <c r="C644" s="1" t="s">
        <v>15</v>
      </c>
      <c r="D644" s="1">
        <v>18</v>
      </c>
      <c r="E644" s="1">
        <v>109</v>
      </c>
      <c r="F644" s="1">
        <v>0</v>
      </c>
      <c r="G644" s="1">
        <v>0.39919818846380689</v>
      </c>
      <c r="H644" s="1">
        <v>1.8224607428746837</v>
      </c>
      <c r="I644" s="1">
        <v>406.26765940119054</v>
      </c>
      <c r="K644" s="1">
        <f t="shared" si="30"/>
        <v>0.46818333006566032</v>
      </c>
      <c r="L644" s="1">
        <f t="shared" si="31"/>
        <v>0.91602806844582696</v>
      </c>
      <c r="M644" s="1">
        <f t="shared" si="32"/>
        <v>203.95461957273832</v>
      </c>
      <c r="N644" s="1">
        <f>SLOPE(K644:K647,F644:F647)</f>
        <v>3.0660478307812213E-3</v>
      </c>
      <c r="O644" s="1">
        <f>SLOPE(L644:L647,F644:F647)</f>
        <v>-7.7073250122225011E-4</v>
      </c>
      <c r="P644" s="1">
        <f>SLOPE(M644:M647,F644:F647)</f>
        <v>5.1770555535121687</v>
      </c>
      <c r="Q644" s="1">
        <f>(N644*41.35/0.31*60)/1000</f>
        <v>2.4538273123123261E-2</v>
      </c>
      <c r="R644" s="1">
        <f>O644*41.35/0.31*60/1000</f>
        <v>-6.168346243652912E-3</v>
      </c>
      <c r="S644" s="1">
        <f>(O644*41.35/0.31*60)/1000</f>
        <v>-6.168346243652912E-3</v>
      </c>
    </row>
    <row r="645" spans="1:19" x14ac:dyDescent="0.3">
      <c r="A645" s="1">
        <v>645</v>
      </c>
      <c r="C645" s="1" t="s">
        <v>15</v>
      </c>
      <c r="D645" s="1">
        <v>18</v>
      </c>
      <c r="E645" s="1">
        <v>110</v>
      </c>
      <c r="F645" s="1">
        <v>15</v>
      </c>
      <c r="G645" s="1">
        <v>0.44735675676647718</v>
      </c>
      <c r="H645" s="1">
        <v>1.7657321306288221</v>
      </c>
      <c r="I645" s="1">
        <v>605.88932273194121</v>
      </c>
      <c r="K645" s="1">
        <f t="shared" si="30"/>
        <v>0.52466414468534628</v>
      </c>
      <c r="L645" s="1">
        <f t="shared" si="31"/>
        <v>0.88751442210016063</v>
      </c>
      <c r="M645" s="1">
        <f t="shared" si="32"/>
        <v>304.16875048118834</v>
      </c>
      <c r="N645"/>
      <c r="P645" s="1"/>
    </row>
    <row r="646" spans="1:19" x14ac:dyDescent="0.3">
      <c r="A646" s="1">
        <v>646</v>
      </c>
      <c r="C646" s="1" t="s">
        <v>15</v>
      </c>
      <c r="D646" s="1">
        <v>18</v>
      </c>
      <c r="E646" s="1">
        <v>111</v>
      </c>
      <c r="F646" s="1">
        <v>30</v>
      </c>
      <c r="G646" s="1">
        <v>0.47698616254345833</v>
      </c>
      <c r="H646" s="1">
        <v>1.7523235495525273</v>
      </c>
      <c r="I646" s="1">
        <v>721.39710203812422</v>
      </c>
      <c r="K646" s="1">
        <f t="shared" si="30"/>
        <v>0.5594137860049021</v>
      </c>
      <c r="L646" s="1">
        <f t="shared" si="31"/>
        <v>0.88077483296391224</v>
      </c>
      <c r="M646" s="1">
        <f t="shared" si="32"/>
        <v>362.15600258195286</v>
      </c>
      <c r="N646"/>
      <c r="P646" s="1"/>
    </row>
    <row r="647" spans="1:19" x14ac:dyDescent="0.3">
      <c r="A647" s="1">
        <v>647</v>
      </c>
      <c r="C647" s="1" t="s">
        <v>15</v>
      </c>
      <c r="D647" s="1">
        <v>18</v>
      </c>
      <c r="E647" s="1">
        <v>112</v>
      </c>
      <c r="F647" s="1">
        <v>45</v>
      </c>
      <c r="G647" s="1">
        <v>0.5200355515258015</v>
      </c>
      <c r="H647" s="1">
        <v>1.7502606909254053</v>
      </c>
      <c r="I647" s="1">
        <v>883.38718035602994</v>
      </c>
      <c r="K647" s="1">
        <f t="shared" si="30"/>
        <v>0.6099025078315361</v>
      </c>
      <c r="L647" s="1">
        <f t="shared" si="31"/>
        <v>0.87973797309679724</v>
      </c>
      <c r="M647" s="1">
        <f t="shared" si="32"/>
        <v>443.4783132147586</v>
      </c>
      <c r="N647"/>
      <c r="P647" s="1"/>
    </row>
    <row r="648" spans="1:19" x14ac:dyDescent="0.3">
      <c r="A648" s="1">
        <v>648</v>
      </c>
      <c r="C648" s="1" t="s">
        <v>15</v>
      </c>
      <c r="D648" s="1">
        <v>18</v>
      </c>
      <c r="E648" s="1">
        <v>113</v>
      </c>
      <c r="F648" s="1">
        <v>0</v>
      </c>
      <c r="G648" s="1">
        <v>0.40069355802097584</v>
      </c>
      <c r="H648" s="1">
        <v>1.7915178634678501</v>
      </c>
      <c r="I648" s="1">
        <v>414.12966151501229</v>
      </c>
      <c r="K648" s="1">
        <f t="shared" si="30"/>
        <v>0.46993711332216337</v>
      </c>
      <c r="L648" s="1">
        <f t="shared" si="31"/>
        <v>0.90047517043909997</v>
      </c>
      <c r="M648" s="1">
        <f t="shared" si="32"/>
        <v>207.90150437417196</v>
      </c>
      <c r="N648" s="1">
        <f>SLOPE(K648:K651,F648:F651)</f>
        <v>3.7687603014210473E-3</v>
      </c>
      <c r="O648" s="1">
        <f>SLOPE(L648:L651,F648:F651)</f>
        <v>-7.7764490033635546E-4</v>
      </c>
      <c r="P648" s="1">
        <f>SLOPE(M648:M651,F648:F651)</f>
        <v>6.4029227338908772</v>
      </c>
      <c r="Q648" s="1">
        <f>(N648*41.35/0.31*60)/1000</f>
        <v>3.0162239702663282E-2</v>
      </c>
      <c r="R648" s="1">
        <f>O648*41.35/0.31*60/1000</f>
        <v>-6.2236677346274123E-3</v>
      </c>
      <c r="S648" s="1">
        <f>(O648*41.35/0.31*60)/1000</f>
        <v>-6.2236677346274123E-3</v>
      </c>
    </row>
    <row r="649" spans="1:19" x14ac:dyDescent="0.3">
      <c r="A649" s="1">
        <v>649</v>
      </c>
      <c r="C649" s="1" t="s">
        <v>15</v>
      </c>
      <c r="D649" s="1">
        <v>18</v>
      </c>
      <c r="E649" s="1">
        <v>114</v>
      </c>
      <c r="F649" s="1">
        <v>15</v>
      </c>
      <c r="G649" s="1">
        <v>0.45583051759043425</v>
      </c>
      <c r="H649" s="1">
        <v>1.7719207065101887</v>
      </c>
      <c r="I649" s="1">
        <v>680.33254060063678</v>
      </c>
      <c r="K649" s="1">
        <f t="shared" si="30"/>
        <v>0.53460224980552984</v>
      </c>
      <c r="L649" s="1">
        <f t="shared" si="31"/>
        <v>0.89062500170150605</v>
      </c>
      <c r="M649" s="1">
        <f t="shared" si="32"/>
        <v>341.54075838986358</v>
      </c>
      <c r="N649"/>
      <c r="P649" s="1"/>
    </row>
    <row r="650" spans="1:19" x14ac:dyDescent="0.3">
      <c r="A650" s="1">
        <v>650</v>
      </c>
      <c r="C650" s="1" t="s">
        <v>15</v>
      </c>
      <c r="D650" s="1">
        <v>18</v>
      </c>
      <c r="E650" s="1">
        <v>115</v>
      </c>
      <c r="F650" s="1">
        <v>30</v>
      </c>
      <c r="G650" s="1">
        <v>0.49846772137432699</v>
      </c>
      <c r="H650" s="1">
        <v>1.7564492668067719</v>
      </c>
      <c r="I650" s="1">
        <v>828.98326302220278</v>
      </c>
      <c r="K650" s="1">
        <f t="shared" si="30"/>
        <v>0.58460755701658917</v>
      </c>
      <c r="L650" s="1">
        <f t="shared" si="31"/>
        <v>0.88284855269814255</v>
      </c>
      <c r="M650" s="1">
        <f t="shared" si="32"/>
        <v>416.16644133344272</v>
      </c>
      <c r="N650"/>
      <c r="P650" s="1"/>
    </row>
    <row r="651" spans="1:19" x14ac:dyDescent="0.3">
      <c r="A651" s="1">
        <v>651</v>
      </c>
      <c r="C651" s="1" t="s">
        <v>15</v>
      </c>
      <c r="D651" s="1">
        <v>18</v>
      </c>
      <c r="E651" s="1">
        <v>116</v>
      </c>
      <c r="F651" s="1">
        <v>45</v>
      </c>
      <c r="G651" s="1">
        <v>0.54715350330292212</v>
      </c>
      <c r="H651" s="1">
        <v>1.7193178115185714</v>
      </c>
      <c r="I651" s="1">
        <v>1002.2949178791912</v>
      </c>
      <c r="K651" s="1">
        <f t="shared" si="30"/>
        <v>0.64170669265619595</v>
      </c>
      <c r="L651" s="1">
        <f t="shared" si="31"/>
        <v>0.86418507509007003</v>
      </c>
      <c r="M651" s="1">
        <f t="shared" si="32"/>
        <v>503.17241342085612</v>
      </c>
      <c r="N651"/>
      <c r="P651" s="1"/>
    </row>
    <row r="652" spans="1:19" x14ac:dyDescent="0.3">
      <c r="A652" s="1">
        <v>652</v>
      </c>
      <c r="C652" s="1" t="s">
        <v>15</v>
      </c>
      <c r="D652" s="1">
        <v>18</v>
      </c>
      <c r="E652" s="1">
        <v>117</v>
      </c>
      <c r="F652" s="1">
        <v>0</v>
      </c>
      <c r="G652" s="1">
        <v>0.39789453295242894</v>
      </c>
      <c r="H652" s="1">
        <v>1.8049264445441446</v>
      </c>
      <c r="I652" s="1">
        <v>397.79390327314582</v>
      </c>
      <c r="K652" s="1">
        <f t="shared" si="30"/>
        <v>0.46665439081640137</v>
      </c>
      <c r="L652" s="1">
        <f t="shared" si="31"/>
        <v>0.90721475957534825</v>
      </c>
      <c r="M652" s="1">
        <f t="shared" si="32"/>
        <v>199.70062182653609</v>
      </c>
      <c r="N652" s="1">
        <f>SLOPE(K652:K655,F652:F655)</f>
        <v>6.8985139342547311E-3</v>
      </c>
      <c r="O652" s="1">
        <f>SLOPE(L652:L655,F652:F655)</f>
        <v>-4.5967454108770972E-4</v>
      </c>
      <c r="P652" s="1">
        <f>SLOPE(M652:M655,F652:F655)</f>
        <v>7.2284932847000096</v>
      </c>
      <c r="Q652" s="1">
        <f>(N652*41.35/0.31*60)/1000</f>
        <v>5.5210364744793509E-2</v>
      </c>
      <c r="R652" s="1">
        <f>O652*41.35/0.31*60/1000</f>
        <v>-3.6788791498019611E-3</v>
      </c>
      <c r="S652" s="1">
        <f>(O652*41.35/0.31*60)/1000</f>
        <v>-3.6788791498019611E-3</v>
      </c>
    </row>
    <row r="653" spans="1:19" x14ac:dyDescent="0.3">
      <c r="A653" s="1">
        <v>653</v>
      </c>
      <c r="C653" s="1" t="s">
        <v>15</v>
      </c>
      <c r="D653" s="1">
        <v>18</v>
      </c>
      <c r="E653" s="1">
        <v>118</v>
      </c>
      <c r="F653" s="1">
        <v>15</v>
      </c>
      <c r="G653" s="1">
        <v>0.5094433504958551</v>
      </c>
      <c r="H653" s="1">
        <v>1.7719207065101887</v>
      </c>
      <c r="I653" s="1">
        <v>675.3119386908071</v>
      </c>
      <c r="K653" s="1">
        <f t="shared" si="30"/>
        <v>0.59747987643130662</v>
      </c>
      <c r="L653" s="1">
        <f t="shared" si="31"/>
        <v>0.89062500170150605</v>
      </c>
      <c r="M653" s="1">
        <f t="shared" si="32"/>
        <v>339.02031422245255</v>
      </c>
      <c r="N653"/>
      <c r="P653" s="1"/>
    </row>
    <row r="654" spans="1:19" x14ac:dyDescent="0.3">
      <c r="A654" s="1">
        <v>654</v>
      </c>
      <c r="C654" s="1" t="s">
        <v>15</v>
      </c>
      <c r="D654" s="1">
        <v>18</v>
      </c>
      <c r="E654" s="1">
        <v>119</v>
      </c>
      <c r="F654" s="1">
        <v>30</v>
      </c>
      <c r="G654" s="1">
        <v>0.59106560549132425</v>
      </c>
      <c r="H654" s="1">
        <v>1.7677949892559441</v>
      </c>
      <c r="I654" s="1">
        <v>872.12338568035977</v>
      </c>
      <c r="K654" s="1">
        <f t="shared" si="30"/>
        <v>0.69320721251542794</v>
      </c>
      <c r="L654" s="1">
        <f t="shared" si="31"/>
        <v>0.88855128196727573</v>
      </c>
      <c r="M654" s="1">
        <f t="shared" si="32"/>
        <v>437.82365942959689</v>
      </c>
      <c r="N654"/>
      <c r="P654" s="1"/>
    </row>
    <row r="655" spans="1:19" x14ac:dyDescent="0.3">
      <c r="A655" s="1">
        <v>655</v>
      </c>
      <c r="C655" s="1" t="s">
        <v>15</v>
      </c>
      <c r="D655" s="1">
        <v>18</v>
      </c>
      <c r="E655" s="1">
        <v>120</v>
      </c>
      <c r="F655" s="1">
        <v>45</v>
      </c>
      <c r="G655" s="1">
        <v>0.66478924180020893</v>
      </c>
      <c r="H655" s="1">
        <v>1.7605749840610165</v>
      </c>
      <c r="I655" s="1">
        <v>1052.130399313701</v>
      </c>
      <c r="K655" s="1">
        <f t="shared" si="30"/>
        <v>0.77967097550109743</v>
      </c>
      <c r="L655" s="1">
        <f t="shared" si="31"/>
        <v>0.88492227243237287</v>
      </c>
      <c r="M655" s="1">
        <f t="shared" si="32"/>
        <v>528.19083765915514</v>
      </c>
      <c r="N655"/>
      <c r="P655" s="1"/>
    </row>
    <row r="656" spans="1:19" x14ac:dyDescent="0.3">
      <c r="A656" s="1">
        <v>656</v>
      </c>
      <c r="C656" s="1" t="s">
        <v>15</v>
      </c>
      <c r="D656" s="1">
        <v>18</v>
      </c>
      <c r="E656" s="1">
        <v>121</v>
      </c>
      <c r="F656" s="1">
        <v>0</v>
      </c>
      <c r="G656" s="1">
        <v>0.39694554842576402</v>
      </c>
      <c r="H656" s="1">
        <v>1.798737868662778</v>
      </c>
      <c r="I656" s="1">
        <v>404.9652745433246</v>
      </c>
      <c r="K656" s="1">
        <f t="shared" si="30"/>
        <v>0.46554141298054363</v>
      </c>
      <c r="L656" s="1">
        <f t="shared" si="31"/>
        <v>0.90410417997400283</v>
      </c>
      <c r="M656" s="1">
        <f t="shared" si="32"/>
        <v>203.30079591221153</v>
      </c>
      <c r="N656" s="1">
        <f>SLOPE(K656:K659,F656:F659)</f>
        <v>6.3435239763741944E-3</v>
      </c>
      <c r="O656" s="1">
        <f>SLOPE(L656:L659,F656:F659)</f>
        <v>-5.3225473178576915E-4</v>
      </c>
      <c r="P656" s="1">
        <f>SLOPE(M656:M659,F656:F659)</f>
        <v>7.6322094427100868</v>
      </c>
      <c r="Q656" s="1">
        <f>(N656*41.35/0.31*60)/1000</f>
        <v>5.0768654791562513E-2</v>
      </c>
      <c r="R656" s="1">
        <f>O656*41.35/0.31*60/1000</f>
        <v>-4.2597548050338496E-3</v>
      </c>
      <c r="S656" s="1">
        <f>(O656*41.35/0.31*60)/1000</f>
        <v>-4.2597548050338496E-3</v>
      </c>
    </row>
    <row r="657" spans="1:19" x14ac:dyDescent="0.3">
      <c r="A657" s="1">
        <v>657</v>
      </c>
      <c r="C657" s="1" t="s">
        <v>15</v>
      </c>
      <c r="D657" s="1">
        <v>18</v>
      </c>
      <c r="E657" s="1">
        <v>122</v>
      </c>
      <c r="F657" s="1">
        <v>15</v>
      </c>
      <c r="G657" s="1">
        <v>0.55422775159260573</v>
      </c>
      <c r="H657" s="1">
        <v>1.7533549788660885</v>
      </c>
      <c r="I657" s="1">
        <v>836.93056217249045</v>
      </c>
      <c r="K657" s="1">
        <f t="shared" si="30"/>
        <v>0.65000343652349857</v>
      </c>
      <c r="L657" s="1">
        <f t="shared" si="31"/>
        <v>0.88129326289746979</v>
      </c>
      <c r="M657" s="1">
        <f t="shared" si="32"/>
        <v>420.15614698024882</v>
      </c>
      <c r="N657"/>
      <c r="P657" s="1"/>
    </row>
    <row r="658" spans="1:19" x14ac:dyDescent="0.3">
      <c r="A658" s="1">
        <v>658</v>
      </c>
      <c r="C658" s="1" t="s">
        <v>15</v>
      </c>
      <c r="D658" s="1">
        <v>18</v>
      </c>
      <c r="E658" s="1">
        <v>123</v>
      </c>
      <c r="F658" s="1">
        <v>30</v>
      </c>
      <c r="G658" s="1">
        <v>0.59345244536142072</v>
      </c>
      <c r="H658" s="1">
        <v>1.7213806701456937</v>
      </c>
      <c r="I658" s="1">
        <v>951.53584380251846</v>
      </c>
      <c r="K658" s="1">
        <f t="shared" si="30"/>
        <v>0.69600652040561528</v>
      </c>
      <c r="L658" s="1">
        <f t="shared" si="31"/>
        <v>0.86522193495718525</v>
      </c>
      <c r="M658" s="1">
        <f t="shared" si="32"/>
        <v>477.69032691062012</v>
      </c>
      <c r="N658"/>
      <c r="P658" s="1"/>
    </row>
    <row r="659" spans="1:19" x14ac:dyDescent="0.3">
      <c r="A659" s="1">
        <v>659</v>
      </c>
      <c r="C659" s="1" t="s">
        <v>15</v>
      </c>
      <c r="D659" s="1">
        <v>18</v>
      </c>
      <c r="E659" s="1">
        <v>124</v>
      </c>
      <c r="F659" s="1">
        <v>45</v>
      </c>
      <c r="G659" s="1">
        <v>0.6543120691977371</v>
      </c>
      <c r="H659" s="1">
        <v>1.7564492668067719</v>
      </c>
      <c r="I659" s="1">
        <v>1126.9129709833899</v>
      </c>
      <c r="K659" s="1">
        <f t="shared" si="30"/>
        <v>0.76738325050521439</v>
      </c>
      <c r="L659" s="1">
        <f t="shared" si="31"/>
        <v>0.88284855269814255</v>
      </c>
      <c r="M659" s="1">
        <f t="shared" si="32"/>
        <v>565.73320807092546</v>
      </c>
      <c r="N659"/>
      <c r="P659" s="1"/>
    </row>
    <row r="660" spans="1:19" x14ac:dyDescent="0.3">
      <c r="A660" s="1">
        <v>660</v>
      </c>
      <c r="C660" s="1" t="s">
        <v>15</v>
      </c>
      <c r="D660" s="1">
        <v>18</v>
      </c>
      <c r="E660" s="1">
        <v>125</v>
      </c>
      <c r="F660" s="1">
        <v>0</v>
      </c>
      <c r="G660" s="1">
        <v>0.39882434607451472</v>
      </c>
      <c r="H660" s="1">
        <v>1.809052161798389</v>
      </c>
      <c r="I660" s="1">
        <v>407.38202390985754</v>
      </c>
      <c r="K660" s="1">
        <f t="shared" si="30"/>
        <v>0.46774488425153465</v>
      </c>
      <c r="L660" s="1">
        <f t="shared" si="31"/>
        <v>0.90928847930957846</v>
      </c>
      <c r="M660" s="1">
        <f t="shared" si="32"/>
        <v>204.51405319776654</v>
      </c>
      <c r="N660" s="1">
        <f>SLOPE(K660:K663,F660:F663)</f>
        <v>6.1768396190039921E-3</v>
      </c>
      <c r="O660" s="1">
        <f>SLOPE(L660:L663,F660:F663)</f>
        <v>-6.2902831938317877E-4</v>
      </c>
      <c r="P660" s="1">
        <f>SLOPE(M660:M663,F660:F663)</f>
        <v>8.2828683511523735</v>
      </c>
      <c r="Q660" s="1">
        <f>(N660*41.35/0.31*60)/1000</f>
        <v>4.9434642241125502E-2</v>
      </c>
      <c r="R660" s="1">
        <f>O660*41.35/0.31*60/1000</f>
        <v>-5.0342556786763448E-3</v>
      </c>
      <c r="S660" s="1">
        <f>(O660*41.35/0.31*60)/1000</f>
        <v>-5.0342556786763448E-3</v>
      </c>
    </row>
    <row r="661" spans="1:19" x14ac:dyDescent="0.3">
      <c r="A661" s="1">
        <v>661</v>
      </c>
      <c r="C661" s="1" t="s">
        <v>15</v>
      </c>
      <c r="D661" s="1">
        <v>18</v>
      </c>
      <c r="E661" s="1">
        <v>126</v>
      </c>
      <c r="F661" s="1">
        <v>15</v>
      </c>
      <c r="G661" s="1">
        <v>0.53169176550988728</v>
      </c>
      <c r="H661" s="1">
        <v>1.7574806961203329</v>
      </c>
      <c r="I661" s="1">
        <v>845.2318898827333</v>
      </c>
      <c r="K661" s="1">
        <f t="shared" si="30"/>
        <v>0.62357302347196963</v>
      </c>
      <c r="L661" s="1">
        <f t="shared" si="31"/>
        <v>0.88336698263169999</v>
      </c>
      <c r="M661" s="1">
        <f t="shared" si="32"/>
        <v>424.32358215731097</v>
      </c>
      <c r="N661"/>
      <c r="P661" s="1"/>
    </row>
    <row r="662" spans="1:19" x14ac:dyDescent="0.3">
      <c r="A662" s="1">
        <v>662</v>
      </c>
      <c r="C662" s="1" t="s">
        <v>15</v>
      </c>
      <c r="D662" s="1">
        <v>18</v>
      </c>
      <c r="E662" s="1">
        <v>127</v>
      </c>
      <c r="F662" s="1">
        <v>30</v>
      </c>
      <c r="G662" s="1">
        <v>0.57191337231681483</v>
      </c>
      <c r="H662" s="1">
        <v>1.7647007013152609</v>
      </c>
      <c r="I662" s="1">
        <v>951.41569421351812</v>
      </c>
      <c r="K662" s="1">
        <f t="shared" si="30"/>
        <v>0.67074529619175494</v>
      </c>
      <c r="L662" s="1">
        <f t="shared" si="31"/>
        <v>0.88699599216660308</v>
      </c>
      <c r="M662" s="1">
        <f t="shared" si="32"/>
        <v>477.63000937574054</v>
      </c>
      <c r="N662"/>
      <c r="P662" s="1"/>
    </row>
    <row r="663" spans="1:19" x14ac:dyDescent="0.3">
      <c r="A663" s="1">
        <v>663</v>
      </c>
      <c r="C663" s="1" t="s">
        <v>15</v>
      </c>
      <c r="D663" s="1">
        <v>18</v>
      </c>
      <c r="E663" s="1">
        <v>128</v>
      </c>
      <c r="F663" s="1">
        <v>45</v>
      </c>
      <c r="G663" s="1">
        <v>0.64875236186980145</v>
      </c>
      <c r="H663" s="1">
        <v>1.7440721150440386</v>
      </c>
      <c r="I663" s="1">
        <v>1196.940920749433</v>
      </c>
      <c r="K663" s="1">
        <f t="shared" si="30"/>
        <v>0.76086277429513915</v>
      </c>
      <c r="L663" s="1">
        <f t="shared" si="31"/>
        <v>0.87662739349545182</v>
      </c>
      <c r="M663" s="1">
        <f t="shared" si="32"/>
        <v>600.88866168257539</v>
      </c>
      <c r="N663"/>
      <c r="P663" s="1"/>
    </row>
    <row r="664" spans="1:19" x14ac:dyDescent="0.3">
      <c r="A664" s="1">
        <v>664</v>
      </c>
      <c r="C664" s="1" t="s">
        <v>15</v>
      </c>
      <c r="D664" s="1">
        <v>18</v>
      </c>
      <c r="E664" s="1">
        <v>129</v>
      </c>
      <c r="F664" s="1">
        <v>0</v>
      </c>
      <c r="G664" s="1">
        <v>0.39650460612044502</v>
      </c>
      <c r="H664" s="1">
        <v>1.809052161798389</v>
      </c>
      <c r="I664" s="1">
        <v>399.47141165697457</v>
      </c>
      <c r="K664" s="1">
        <f t="shared" si="30"/>
        <v>0.46502427176388256</v>
      </c>
      <c r="L664" s="1">
        <f t="shared" si="31"/>
        <v>0.90928847930957846</v>
      </c>
      <c r="M664" s="1">
        <f t="shared" si="32"/>
        <v>200.54276511886252</v>
      </c>
      <c r="N664" s="1">
        <f>SLOPE(K664:K667,F664:F667)</f>
        <v>5.868503537070093E-3</v>
      </c>
      <c r="O664" s="1">
        <f>SLOPE(L664:L667,F664:F667)</f>
        <v>-1.2615128383234189E-3</v>
      </c>
      <c r="P664" s="1">
        <f>SLOPE(M664:M667,F664:F667)</f>
        <v>11.453891617544835</v>
      </c>
      <c r="Q664" s="1">
        <f>(N664*41.35/0.31*60)/1000</f>
        <v>4.6966958953131938E-2</v>
      </c>
      <c r="R664" s="1">
        <f>O664*41.35/0.31*60/1000</f>
        <v>-1.0096172102840008E-2</v>
      </c>
      <c r="S664" s="1">
        <f>(O664*41.35/0.31*60)/1000</f>
        <v>-1.0096172102840008E-2</v>
      </c>
    </row>
    <row r="665" spans="1:19" x14ac:dyDescent="0.3">
      <c r="A665" s="1">
        <v>665</v>
      </c>
      <c r="C665" s="1" t="s">
        <v>15</v>
      </c>
      <c r="D665" s="1">
        <v>18</v>
      </c>
      <c r="E665" s="1">
        <v>130</v>
      </c>
      <c r="F665" s="1">
        <v>15</v>
      </c>
      <c r="G665" s="1">
        <v>0.52341930443401063</v>
      </c>
      <c r="H665" s="1">
        <v>1.7512921202389662</v>
      </c>
      <c r="I665" s="1">
        <v>1022.8936935994808</v>
      </c>
      <c r="K665" s="1">
        <f t="shared" si="30"/>
        <v>0.61387100455939225</v>
      </c>
      <c r="L665" s="1">
        <f t="shared" si="31"/>
        <v>0.88025640303035457</v>
      </c>
      <c r="M665" s="1">
        <f t="shared" si="32"/>
        <v>513.51341735872347</v>
      </c>
      <c r="N665"/>
      <c r="P665" s="1"/>
    </row>
    <row r="666" spans="1:19" x14ac:dyDescent="0.3">
      <c r="A666" s="1">
        <v>666</v>
      </c>
      <c r="C666" s="1" t="s">
        <v>15</v>
      </c>
      <c r="D666" s="1">
        <v>18</v>
      </c>
      <c r="E666" s="1">
        <v>131</v>
      </c>
      <c r="F666" s="1">
        <v>30</v>
      </c>
      <c r="G666" s="1">
        <v>0.56593189408813926</v>
      </c>
      <c r="H666" s="1">
        <v>1.7306635339677439</v>
      </c>
      <c r="I666" s="1">
        <v>1206.9500235338633</v>
      </c>
      <c r="K666" s="1">
        <f t="shared" si="30"/>
        <v>0.66373016316574307</v>
      </c>
      <c r="L666" s="1">
        <f t="shared" si="31"/>
        <v>0.86988780435920332</v>
      </c>
      <c r="M666" s="1">
        <f t="shared" si="32"/>
        <v>605.91343464548311</v>
      </c>
      <c r="N666"/>
      <c r="P666" s="1"/>
    </row>
    <row r="667" spans="1:19" x14ac:dyDescent="0.3">
      <c r="A667" s="1">
        <v>667</v>
      </c>
      <c r="C667" s="1" t="s">
        <v>15</v>
      </c>
      <c r="D667" s="1">
        <v>18</v>
      </c>
      <c r="E667" s="1">
        <v>132</v>
      </c>
      <c r="F667" s="1">
        <v>45</v>
      </c>
      <c r="G667" s="1">
        <v>0.63252376789360298</v>
      </c>
      <c r="H667" s="1">
        <v>1.6904377907388599</v>
      </c>
      <c r="I667" s="1">
        <v>1478.8989879254948</v>
      </c>
      <c r="K667" s="1">
        <f t="shared" si="30"/>
        <v>0.74182972908193689</v>
      </c>
      <c r="L667" s="1">
        <f t="shared" si="31"/>
        <v>0.84966903695045792</v>
      </c>
      <c r="M667" s="1">
        <f t="shared" si="32"/>
        <v>742.43734023385105</v>
      </c>
      <c r="N667"/>
      <c r="P667" s="1"/>
    </row>
    <row r="668" spans="1:19" x14ac:dyDescent="0.3">
      <c r="A668" s="1">
        <v>668</v>
      </c>
      <c r="C668" s="1" t="s">
        <v>15</v>
      </c>
      <c r="D668" s="1">
        <v>18</v>
      </c>
      <c r="E668" s="1">
        <v>133</v>
      </c>
      <c r="F668" s="1">
        <v>0</v>
      </c>
      <c r="G668" s="1">
        <v>0.39633206347923322</v>
      </c>
      <c r="H668" s="1">
        <v>1.8038950152305835</v>
      </c>
      <c r="I668" s="1">
        <v>423.09777358558506</v>
      </c>
      <c r="K668" s="1">
        <f t="shared" si="30"/>
        <v>0.46482191215736302</v>
      </c>
      <c r="L668" s="1">
        <f t="shared" si="31"/>
        <v>0.9066963296417907</v>
      </c>
      <c r="M668" s="1">
        <f t="shared" si="32"/>
        <v>212.4036788478559</v>
      </c>
      <c r="N668" s="1">
        <f>SLOPE(K668:K671,F668:F671)</f>
        <v>8.9454937762038535E-3</v>
      </c>
      <c r="O668" s="1">
        <f>SLOPE(L668:L671,F668:F671)</f>
        <v>-1.3168120312362275E-3</v>
      </c>
      <c r="P668" s="1">
        <f>SLOPE(M668:M671,F668:F671)</f>
        <v>8.1606309529857093</v>
      </c>
      <c r="Q668" s="1">
        <f>(N668*41.35/0.31*60)/1000</f>
        <v>7.1592806641166976E-2</v>
      </c>
      <c r="R668" s="1">
        <f>O668*41.35/0.31*60/1000</f>
        <v>-1.0538744030635745E-2</v>
      </c>
      <c r="S668" s="1">
        <f>(O668*41.35/0.31*60)/1000</f>
        <v>-1.0538744030635745E-2</v>
      </c>
    </row>
    <row r="669" spans="1:19" x14ac:dyDescent="0.3">
      <c r="A669" s="1">
        <v>669</v>
      </c>
      <c r="C669" s="1" t="s">
        <v>15</v>
      </c>
      <c r="D669" s="1">
        <v>18</v>
      </c>
      <c r="E669" s="1">
        <v>134</v>
      </c>
      <c r="F669" s="1">
        <v>15</v>
      </c>
      <c r="G669" s="1">
        <v>0.56945943253069153</v>
      </c>
      <c r="H669" s="1">
        <v>1.7554178374932108</v>
      </c>
      <c r="I669" s="1">
        <v>850.93670242916016</v>
      </c>
      <c r="K669" s="1">
        <f t="shared" si="30"/>
        <v>0.66786729289903224</v>
      </c>
      <c r="L669" s="1">
        <f t="shared" si="31"/>
        <v>0.882330122764585</v>
      </c>
      <c r="M669" s="1">
        <f t="shared" si="32"/>
        <v>427.18751396609741</v>
      </c>
      <c r="N669"/>
      <c r="P669" s="1"/>
    </row>
    <row r="670" spans="1:19" x14ac:dyDescent="0.3">
      <c r="A670" s="1">
        <v>670</v>
      </c>
      <c r="C670" s="1" t="s">
        <v>15</v>
      </c>
      <c r="D670" s="1">
        <v>18</v>
      </c>
      <c r="E670" s="1">
        <v>135</v>
      </c>
      <c r="F670" s="1">
        <v>30</v>
      </c>
      <c r="G670" s="1">
        <v>0.65841474977766201</v>
      </c>
      <c r="H670" s="1">
        <v>1.7182863822050105</v>
      </c>
      <c r="I670" s="1">
        <v>1021.6105693627524</v>
      </c>
      <c r="K670" s="1">
        <f t="shared" si="30"/>
        <v>0.7721949122602354</v>
      </c>
      <c r="L670" s="1">
        <f t="shared" si="31"/>
        <v>0.86366664515651248</v>
      </c>
      <c r="M670" s="1">
        <f t="shared" si="32"/>
        <v>512.86926292134524</v>
      </c>
      <c r="N670"/>
      <c r="P670" s="1"/>
    </row>
    <row r="671" spans="1:19" x14ac:dyDescent="0.3">
      <c r="A671" s="1">
        <v>671</v>
      </c>
      <c r="C671" s="1" t="s">
        <v>15</v>
      </c>
      <c r="D671" s="1">
        <v>18</v>
      </c>
      <c r="E671" s="1">
        <v>136</v>
      </c>
      <c r="F671" s="1">
        <v>45</v>
      </c>
      <c r="G671" s="1">
        <v>0.74805065188719</v>
      </c>
      <c r="H671" s="1">
        <v>1.6852806441710544</v>
      </c>
      <c r="I671" s="1">
        <v>1178.9854359871499</v>
      </c>
      <c r="K671" s="1">
        <f t="shared" si="30"/>
        <v>0.87732072784715465</v>
      </c>
      <c r="L671" s="1">
        <f t="shared" si="31"/>
        <v>0.84707688728267017</v>
      </c>
      <c r="M671" s="1">
        <f t="shared" si="32"/>
        <v>591.87464351205881</v>
      </c>
      <c r="N671"/>
      <c r="P671" s="1"/>
    </row>
    <row r="672" spans="1:19" x14ac:dyDescent="0.3">
      <c r="A672" s="1">
        <v>672</v>
      </c>
      <c r="C672" s="1" t="s">
        <v>15</v>
      </c>
      <c r="D672" s="1">
        <v>18</v>
      </c>
      <c r="E672" s="1">
        <v>137</v>
      </c>
      <c r="F672" s="1">
        <v>0</v>
      </c>
      <c r="G672" s="1">
        <v>0.39787536154784986</v>
      </c>
      <c r="H672" s="1">
        <v>1.798737868662778</v>
      </c>
      <c r="I672" s="1">
        <v>417.05085572085954</v>
      </c>
      <c r="K672" s="1">
        <f t="shared" si="30"/>
        <v>0.46663190641567698</v>
      </c>
      <c r="L672" s="1">
        <f t="shared" si="31"/>
        <v>0.90410417997400283</v>
      </c>
      <c r="M672" s="1">
        <f t="shared" si="32"/>
        <v>209.36800321838174</v>
      </c>
      <c r="N672" s="1">
        <f>SLOPE(K672:K675,F672:F675)</f>
        <v>6.5132062538409757E-3</v>
      </c>
      <c r="O672" s="1">
        <f>SLOPE(L672:L675,F672:F675)</f>
        <v>-1.2131260445247128E-3</v>
      </c>
      <c r="P672" s="1">
        <f>SLOPE(M672:M675,F672:F675)</f>
        <v>15.440291310912579</v>
      </c>
      <c r="Q672" s="1">
        <f>(N672*41.35/0.31*60)/1000</f>
        <v>5.2126660373482139E-2</v>
      </c>
      <c r="R672" s="1">
        <f>O672*41.35/0.31*60/1000</f>
        <v>-9.7089216660187494E-3</v>
      </c>
      <c r="S672" s="1">
        <f>(O672*41.35/0.31*60)/1000</f>
        <v>-9.7089216660187494E-3</v>
      </c>
    </row>
    <row r="673" spans="1:19" x14ac:dyDescent="0.3">
      <c r="A673" s="1">
        <v>673</v>
      </c>
      <c r="C673" s="1" t="s">
        <v>15</v>
      </c>
      <c r="D673" s="1">
        <v>18</v>
      </c>
      <c r="E673" s="1">
        <v>138</v>
      </c>
      <c r="F673" s="1">
        <v>15</v>
      </c>
      <c r="G673" s="1">
        <v>0.54439282104353337</v>
      </c>
      <c r="H673" s="1">
        <v>1.7502606909254053</v>
      </c>
      <c r="I673" s="1">
        <v>1140.1330944631643</v>
      </c>
      <c r="K673" s="1">
        <f t="shared" si="30"/>
        <v>0.63846893895188284</v>
      </c>
      <c r="L673" s="1">
        <f t="shared" si="31"/>
        <v>0.87973797309679724</v>
      </c>
      <c r="M673" s="1">
        <f t="shared" si="32"/>
        <v>572.36997866446995</v>
      </c>
      <c r="N673"/>
      <c r="P673" s="1"/>
    </row>
    <row r="674" spans="1:19" x14ac:dyDescent="0.3">
      <c r="A674" s="1">
        <v>674</v>
      </c>
      <c r="C674" s="1" t="s">
        <v>15</v>
      </c>
      <c r="D674" s="1">
        <v>18</v>
      </c>
      <c r="E674" s="1">
        <v>139</v>
      </c>
      <c r="F674" s="1">
        <v>30</v>
      </c>
      <c r="G674" s="1">
        <v>0.61288266390232693</v>
      </c>
      <c r="H674" s="1">
        <v>1.697657795933788</v>
      </c>
      <c r="I674" s="1">
        <v>1512.2748928393976</v>
      </c>
      <c r="K674" s="1">
        <f t="shared" si="30"/>
        <v>0.71879446053979201</v>
      </c>
      <c r="L674" s="1">
        <f t="shared" si="31"/>
        <v>0.85329804648536112</v>
      </c>
      <c r="M674" s="1">
        <f t="shared" si="32"/>
        <v>759.19272263284438</v>
      </c>
      <c r="N674"/>
      <c r="P674" s="1"/>
    </row>
    <row r="675" spans="1:19" x14ac:dyDescent="0.3">
      <c r="A675" s="1">
        <v>675</v>
      </c>
      <c r="C675" s="1" t="s">
        <v>15</v>
      </c>
      <c r="D675" s="1">
        <v>18</v>
      </c>
      <c r="E675" s="1">
        <v>140</v>
      </c>
      <c r="F675" s="1">
        <v>45</v>
      </c>
      <c r="G675" s="1">
        <v>0.65272084261767271</v>
      </c>
      <c r="H675" s="1">
        <v>1.6955949373066657</v>
      </c>
      <c r="I675" s="1">
        <v>1830.8189684522711</v>
      </c>
      <c r="K675" s="1">
        <f t="shared" si="30"/>
        <v>0.76551704524508934</v>
      </c>
      <c r="L675" s="1">
        <f t="shared" si="31"/>
        <v>0.8522611866182459</v>
      </c>
      <c r="M675" s="1">
        <f t="shared" si="32"/>
        <v>919.10832077455268</v>
      </c>
      <c r="N675"/>
      <c r="P675" s="1"/>
    </row>
    <row r="676" spans="1:19" x14ac:dyDescent="0.3">
      <c r="A676" s="1">
        <v>676</v>
      </c>
      <c r="C676" s="1" t="s">
        <v>15</v>
      </c>
      <c r="D676" s="1">
        <v>18</v>
      </c>
      <c r="E676" s="1">
        <v>141</v>
      </c>
      <c r="F676" s="1">
        <v>0</v>
      </c>
      <c r="G676" s="1">
        <v>0.39628413496778547</v>
      </c>
      <c r="H676" s="1">
        <v>1.8265864601289283</v>
      </c>
      <c r="I676" s="1">
        <v>424.74868396879543</v>
      </c>
      <c r="K676" s="1">
        <f t="shared" si="30"/>
        <v>0.46476570115555194</v>
      </c>
      <c r="L676" s="1">
        <f t="shared" si="31"/>
        <v>0.91810178818005728</v>
      </c>
      <c r="M676" s="1">
        <f t="shared" si="32"/>
        <v>213.23246940345325</v>
      </c>
      <c r="N676" s="1">
        <f>SLOPE(K676:K679,F676:F679)</f>
        <v>9.3555342974144442E-3</v>
      </c>
      <c r="O676" s="1">
        <f>SLOPE(L676:L679,F676:F679)</f>
        <v>-1.2027574458535603E-3</v>
      </c>
      <c r="P676" s="1">
        <f>SLOPE(M676:M679,F676:F679)</f>
        <v>15.56856353216185</v>
      </c>
      <c r="Q676" s="1">
        <f>(N676*41.35/0.31*60)/1000</f>
        <v>7.4874453522210449E-2</v>
      </c>
      <c r="R676" s="1">
        <f>O676*41.35/0.31*60/1000</f>
        <v>-9.6259394295570427E-3</v>
      </c>
      <c r="S676" s="1">
        <f>(O676*41.35/0.31*60)/1000</f>
        <v>-9.6259394295570427E-3</v>
      </c>
    </row>
    <row r="677" spans="1:19" x14ac:dyDescent="0.3">
      <c r="A677" s="1">
        <v>677</v>
      </c>
      <c r="C677" s="1" t="s">
        <v>15</v>
      </c>
      <c r="D677" s="1">
        <v>18</v>
      </c>
      <c r="E677" s="1">
        <v>142</v>
      </c>
      <c r="F677" s="1">
        <v>15</v>
      </c>
      <c r="G677" s="1">
        <v>0.5900591067509221</v>
      </c>
      <c r="H677" s="1">
        <v>1.7667635599423832</v>
      </c>
      <c r="I677" s="1">
        <v>1170.7070375877852</v>
      </c>
      <c r="K677" s="1">
        <f t="shared" si="30"/>
        <v>0.69202678147739705</v>
      </c>
      <c r="L677" s="1">
        <f t="shared" si="31"/>
        <v>0.88803285203371829</v>
      </c>
      <c r="M677" s="1">
        <f t="shared" si="32"/>
        <v>587.7187193149357</v>
      </c>
      <c r="N677"/>
      <c r="P677" s="1"/>
    </row>
    <row r="678" spans="1:19" x14ac:dyDescent="0.3">
      <c r="A678" s="1">
        <v>678</v>
      </c>
      <c r="C678" s="1" t="s">
        <v>15</v>
      </c>
      <c r="D678" s="1">
        <v>18</v>
      </c>
      <c r="E678" s="1">
        <v>143</v>
      </c>
      <c r="F678" s="1">
        <v>30</v>
      </c>
      <c r="G678" s="1">
        <v>0.67707811213540459</v>
      </c>
      <c r="H678" s="1">
        <v>1.7420092564169161</v>
      </c>
      <c r="I678" s="1">
        <v>1506.942452301628</v>
      </c>
      <c r="K678" s="1">
        <f t="shared" si="30"/>
        <v>0.79408347636543597</v>
      </c>
      <c r="L678" s="1">
        <f t="shared" si="31"/>
        <v>0.87559053362833661</v>
      </c>
      <c r="M678" s="1">
        <f t="shared" si="32"/>
        <v>756.51572913826487</v>
      </c>
      <c r="N678"/>
      <c r="P678" s="1"/>
    </row>
    <row r="679" spans="1:19" x14ac:dyDescent="0.3">
      <c r="A679" s="1">
        <v>679</v>
      </c>
      <c r="C679" s="1" t="s">
        <v>15</v>
      </c>
      <c r="D679" s="1">
        <v>18</v>
      </c>
      <c r="E679" s="1">
        <v>144</v>
      </c>
      <c r="F679" s="1">
        <v>45</v>
      </c>
      <c r="G679" s="1">
        <v>0.76612928640527045</v>
      </c>
      <c r="H679" s="1">
        <v>1.7151920942643271</v>
      </c>
      <c r="I679" s="1">
        <v>1863.261191827225</v>
      </c>
      <c r="K679" s="1">
        <f t="shared" si="30"/>
        <v>0.89852351773026118</v>
      </c>
      <c r="L679" s="1">
        <f t="shared" si="31"/>
        <v>0.86211135535583983</v>
      </c>
      <c r="M679" s="1">
        <f t="shared" si="32"/>
        <v>935.39497607043597</v>
      </c>
      <c r="N679"/>
      <c r="P679" s="1"/>
    </row>
    <row r="680" spans="1:19" x14ac:dyDescent="0.3">
      <c r="A680" s="1">
        <v>680</v>
      </c>
      <c r="C680" s="1" t="s">
        <v>15</v>
      </c>
      <c r="D680" s="1">
        <v>18</v>
      </c>
      <c r="E680" s="1">
        <v>145</v>
      </c>
      <c r="F680" s="1">
        <v>0</v>
      </c>
      <c r="G680" s="1">
        <v>0.39849843219667025</v>
      </c>
      <c r="H680" s="1">
        <v>1.8038950152305835</v>
      </c>
      <c r="I680" s="1">
        <v>403.61703106370283</v>
      </c>
      <c r="K680" s="1">
        <f t="shared" si="30"/>
        <v>0.46736264943921985</v>
      </c>
      <c r="L680" s="1">
        <f t="shared" si="31"/>
        <v>0.9066963296417907</v>
      </c>
      <c r="M680" s="1">
        <f t="shared" si="32"/>
        <v>202.62395029180701</v>
      </c>
      <c r="N680" s="1">
        <f>SLOPE(K680:K683,F680:F683)</f>
        <v>2.6181585683512287E-3</v>
      </c>
      <c r="O680" s="1">
        <f>SLOPE(L680:L683,F680:F683)</f>
        <v>-1.0230350688869348E-3</v>
      </c>
      <c r="P680" s="1">
        <f>SLOPE(M680:M683,F680:F683)</f>
        <v>7.3998196405152363</v>
      </c>
      <c r="Q680" s="1">
        <f>(N680*41.35/0.31*60)/1000</f>
        <v>2.0953714219610967E-2</v>
      </c>
      <c r="R680" s="1">
        <f>O680*41.35/0.31*60/1000</f>
        <v>-8.1875806642209212E-3</v>
      </c>
      <c r="S680" s="1">
        <f>(O680*41.35/0.31*60)/1000</f>
        <v>-8.1875806642209212E-3</v>
      </c>
    </row>
    <row r="681" spans="1:19" x14ac:dyDescent="0.3">
      <c r="A681" s="1">
        <v>681</v>
      </c>
      <c r="C681" s="1" t="s">
        <v>15</v>
      </c>
      <c r="D681" s="1">
        <v>18</v>
      </c>
      <c r="E681" s="1">
        <v>146</v>
      </c>
      <c r="F681" s="1">
        <v>15</v>
      </c>
      <c r="G681" s="1">
        <v>0.43879672462191416</v>
      </c>
      <c r="H681" s="1">
        <v>1.8193664549340003</v>
      </c>
      <c r="I681" s="1">
        <v>744.0044853913198</v>
      </c>
      <c r="K681" s="1">
        <f t="shared" si="30"/>
        <v>0.51462485976190286</v>
      </c>
      <c r="L681" s="1">
        <f t="shared" si="31"/>
        <v>0.91447277864515419</v>
      </c>
      <c r="M681" s="1">
        <f t="shared" si="32"/>
        <v>373.50536836246363</v>
      </c>
      <c r="N681"/>
      <c r="P681" s="1"/>
    </row>
    <row r="682" spans="1:19" x14ac:dyDescent="0.3">
      <c r="A682" s="1">
        <v>682</v>
      </c>
      <c r="C682" s="1" t="s">
        <v>15</v>
      </c>
      <c r="D682" s="1">
        <v>18</v>
      </c>
      <c r="E682" s="1">
        <v>147</v>
      </c>
      <c r="F682" s="1">
        <v>30</v>
      </c>
      <c r="G682" s="1">
        <v>0.46109306814739404</v>
      </c>
      <c r="H682" s="1">
        <v>1.7554178374932108</v>
      </c>
      <c r="I682" s="1">
        <v>880.29539207725099</v>
      </c>
      <c r="K682" s="1">
        <f t="shared" si="30"/>
        <v>0.54077421780437684</v>
      </c>
      <c r="L682" s="1">
        <f t="shared" si="31"/>
        <v>0.882330122764585</v>
      </c>
      <c r="M682" s="1">
        <f t="shared" si="32"/>
        <v>441.92617267980376</v>
      </c>
      <c r="N682"/>
      <c r="P682" s="1"/>
    </row>
    <row r="683" spans="1:19" x14ac:dyDescent="0.3">
      <c r="A683" s="1">
        <v>683</v>
      </c>
      <c r="C683" s="1" t="s">
        <v>15</v>
      </c>
      <c r="D683" s="1">
        <v>18</v>
      </c>
      <c r="E683" s="1">
        <v>148</v>
      </c>
      <c r="F683" s="1">
        <v>45</v>
      </c>
      <c r="G683" s="1">
        <v>0.50268543038172642</v>
      </c>
      <c r="H683" s="1">
        <v>1.723443528772816</v>
      </c>
      <c r="I683" s="1">
        <v>1095.1907279700029</v>
      </c>
      <c r="K683" s="1">
        <f t="shared" si="30"/>
        <v>0.58955412517595662</v>
      </c>
      <c r="L683" s="1">
        <f t="shared" si="31"/>
        <v>0.86625879482430035</v>
      </c>
      <c r="M683" s="1">
        <f t="shared" si="32"/>
        <v>549.80799754512213</v>
      </c>
      <c r="N683"/>
      <c r="P683" s="1"/>
    </row>
    <row r="684" spans="1:19" x14ac:dyDescent="0.3">
      <c r="A684" s="1">
        <v>684</v>
      </c>
      <c r="C684" s="1" t="s">
        <v>15</v>
      </c>
      <c r="D684" s="1">
        <v>18</v>
      </c>
      <c r="E684" s="1">
        <v>149</v>
      </c>
      <c r="F684" s="1">
        <v>0</v>
      </c>
      <c r="G684" s="1">
        <v>0.42931646505755494</v>
      </c>
      <c r="H684" s="1">
        <v>1.8152407376797559</v>
      </c>
      <c r="I684" s="1">
        <v>425.38153294902605</v>
      </c>
      <c r="K684" s="1">
        <f t="shared" si="30"/>
        <v>0.50350632360368841</v>
      </c>
      <c r="L684" s="1">
        <f t="shared" si="31"/>
        <v>0.91239905891092399</v>
      </c>
      <c r="M684" s="1">
        <f t="shared" si="32"/>
        <v>213.55017244976557</v>
      </c>
      <c r="N684" s="1">
        <f>SLOPE(K684:K687,F684:F687)</f>
        <v>6.6632521546751197E-3</v>
      </c>
      <c r="O684" s="1">
        <f>SLOPE(L684:L687,F684:F687)</f>
        <v>-4.9423653665821613E-4</v>
      </c>
      <c r="P684" s="1">
        <f>SLOPE(M684:M687,F684:F687)</f>
        <v>9.1214816096308873</v>
      </c>
      <c r="Q684" s="1">
        <f>(N684*41.35/0.31*60)/1000</f>
        <v>5.3327511599190233E-2</v>
      </c>
      <c r="R684" s="1">
        <f>O684*41.35/0.31*60/1000</f>
        <v>-3.9554866046743039E-3</v>
      </c>
      <c r="S684" s="1">
        <f>(O684*41.35/0.31*60)/1000</f>
        <v>-3.9554866046743039E-3</v>
      </c>
    </row>
    <row r="685" spans="1:19" x14ac:dyDescent="0.3">
      <c r="A685" s="1">
        <v>685</v>
      </c>
      <c r="C685" s="1" t="s">
        <v>15</v>
      </c>
      <c r="D685" s="1">
        <v>18</v>
      </c>
      <c r="E685" s="1">
        <v>150</v>
      </c>
      <c r="F685" s="1">
        <v>15</v>
      </c>
      <c r="G685" s="1">
        <v>0.52872019780012858</v>
      </c>
      <c r="H685" s="1">
        <v>1.7729521358237499</v>
      </c>
      <c r="I685" s="1">
        <v>825.04951044798668</v>
      </c>
      <c r="K685" s="1">
        <f t="shared" si="30"/>
        <v>0.62008794135968814</v>
      </c>
      <c r="L685" s="1">
        <f t="shared" si="31"/>
        <v>0.89114343163506371</v>
      </c>
      <c r="M685" s="1">
        <f t="shared" si="32"/>
        <v>414.19161761513323</v>
      </c>
      <c r="N685"/>
      <c r="P685" s="1"/>
    </row>
    <row r="686" spans="1:19" x14ac:dyDescent="0.3">
      <c r="A686" s="1">
        <v>686</v>
      </c>
      <c r="C686" s="1" t="s">
        <v>15</v>
      </c>
      <c r="D686" s="1">
        <v>18</v>
      </c>
      <c r="E686" s="1">
        <v>151</v>
      </c>
      <c r="F686" s="1">
        <v>30</v>
      </c>
      <c r="G686" s="1">
        <v>0.61283473539087918</v>
      </c>
      <c r="H686" s="1">
        <v>1.7647007013152609</v>
      </c>
      <c r="I686" s="1">
        <v>1058.2947152501215</v>
      </c>
      <c r="K686" s="1">
        <f t="shared" si="30"/>
        <v>0.71873824953798093</v>
      </c>
      <c r="L686" s="1">
        <f t="shared" si="31"/>
        <v>0.88699599216660308</v>
      </c>
      <c r="M686" s="1">
        <f t="shared" si="32"/>
        <v>531.28544950591618</v>
      </c>
      <c r="N686"/>
      <c r="P686" s="1"/>
    </row>
    <row r="687" spans="1:19" x14ac:dyDescent="0.3">
      <c r="A687" s="1">
        <v>687</v>
      </c>
      <c r="C687" s="1" t="s">
        <v>15</v>
      </c>
      <c r="D687" s="1">
        <v>18</v>
      </c>
      <c r="E687" s="1">
        <v>152</v>
      </c>
      <c r="F687" s="1">
        <v>45</v>
      </c>
      <c r="G687" s="1">
        <v>0.68535057321128123</v>
      </c>
      <c r="H687" s="1">
        <v>1.7688264185695053</v>
      </c>
      <c r="I687" s="1">
        <v>1256.1104660561273</v>
      </c>
      <c r="K687" s="1">
        <f t="shared" si="30"/>
        <v>0.80378549527801346</v>
      </c>
      <c r="L687" s="1">
        <f t="shared" si="31"/>
        <v>0.88906971190083339</v>
      </c>
      <c r="M687" s="1">
        <f t="shared" si="32"/>
        <v>630.59297563438224</v>
      </c>
      <c r="N687"/>
      <c r="P687" s="1"/>
    </row>
    <row r="688" spans="1:19" x14ac:dyDescent="0.3">
      <c r="A688" s="1">
        <v>688</v>
      </c>
      <c r="C688" s="1" t="s">
        <v>15</v>
      </c>
      <c r="D688" s="1">
        <v>18</v>
      </c>
      <c r="E688" s="1">
        <v>153</v>
      </c>
      <c r="F688" s="1">
        <v>0</v>
      </c>
      <c r="G688" s="1">
        <v>0.39751110486084718</v>
      </c>
      <c r="H688" s="1">
        <v>1.8162721669933171</v>
      </c>
      <c r="I688" s="1">
        <v>436.81959038736846</v>
      </c>
      <c r="K688" s="1">
        <f t="shared" si="30"/>
        <v>0.4662047028019134</v>
      </c>
      <c r="L688" s="1">
        <f t="shared" si="31"/>
        <v>0.91291748884448165</v>
      </c>
      <c r="M688" s="1">
        <f t="shared" si="32"/>
        <v>219.29230968246262</v>
      </c>
      <c r="N688" s="1">
        <f>SLOPE(K688:K691,F688:F691)</f>
        <v>1.0295607091701483E-3</v>
      </c>
      <c r="O688" s="1">
        <f>SLOPE(L688:L691,F688:F691)</f>
        <v>-5.3225473178577436E-4</v>
      </c>
      <c r="P688" s="1">
        <f>SLOPE(M688:M691,F688:F691)</f>
        <v>4.5845746724781691</v>
      </c>
      <c r="Q688" s="1">
        <f>(N688*41.35/0.31*60)/1000</f>
        <v>8.2398068369391557E-3</v>
      </c>
      <c r="R688" s="1">
        <f>O688*41.35/0.31*60/1000</f>
        <v>-4.2597548050338913E-3</v>
      </c>
      <c r="S688" s="1">
        <f>(O688*41.35/0.31*60)/1000</f>
        <v>-4.2597548050338913E-3</v>
      </c>
    </row>
    <row r="689" spans="1:19" x14ac:dyDescent="0.3">
      <c r="A689" s="1">
        <v>689</v>
      </c>
      <c r="C689" s="1" t="s">
        <v>15</v>
      </c>
      <c r="D689" s="1">
        <v>18</v>
      </c>
      <c r="E689" s="1">
        <v>154</v>
      </c>
      <c r="F689" s="1">
        <v>15</v>
      </c>
      <c r="G689" s="1">
        <v>0.412637343073748</v>
      </c>
      <c r="H689" s="1">
        <v>1.7915178634678501</v>
      </c>
      <c r="I689" s="1">
        <v>663.73905690450249</v>
      </c>
      <c r="K689" s="1">
        <f t="shared" si="30"/>
        <v>0.48394489497346282</v>
      </c>
      <c r="L689" s="1">
        <f t="shared" si="31"/>
        <v>0.90047517043909997</v>
      </c>
      <c r="M689" s="1">
        <f t="shared" si="32"/>
        <v>333.21049242771505</v>
      </c>
      <c r="N689"/>
      <c r="P689" s="1"/>
    </row>
    <row r="690" spans="1:19" x14ac:dyDescent="0.3">
      <c r="A690" s="1">
        <v>690</v>
      </c>
      <c r="C690" s="1" t="s">
        <v>15</v>
      </c>
      <c r="D690" s="1">
        <v>18</v>
      </c>
      <c r="E690" s="1">
        <v>155</v>
      </c>
      <c r="F690" s="1">
        <v>30</v>
      </c>
      <c r="G690" s="1">
        <v>0.42707341072180155</v>
      </c>
      <c r="H690" s="1">
        <v>1.7842978582729221</v>
      </c>
      <c r="I690" s="1">
        <v>750.4558762999319</v>
      </c>
      <c r="K690" s="1">
        <f t="shared" si="30"/>
        <v>0.50087564871893397</v>
      </c>
      <c r="L690" s="1">
        <f t="shared" si="31"/>
        <v>0.89684616090419689</v>
      </c>
      <c r="M690" s="1">
        <f t="shared" si="32"/>
        <v>376.74409767805912</v>
      </c>
      <c r="N690"/>
      <c r="P690" s="1"/>
    </row>
    <row r="691" spans="1:19" x14ac:dyDescent="0.3">
      <c r="A691" s="1">
        <v>691</v>
      </c>
      <c r="C691" s="1" t="s">
        <v>15</v>
      </c>
      <c r="D691" s="1">
        <v>18</v>
      </c>
      <c r="E691" s="1">
        <v>156</v>
      </c>
      <c r="F691" s="1">
        <v>45</v>
      </c>
      <c r="G691" s="1">
        <v>0.43659201309531898</v>
      </c>
      <c r="H691" s="1">
        <v>1.7657321306288221</v>
      </c>
      <c r="I691" s="1">
        <v>864.52644640028677</v>
      </c>
      <c r="K691" s="1">
        <f t="shared" si="30"/>
        <v>0.51203915367859709</v>
      </c>
      <c r="L691" s="1">
        <f t="shared" si="31"/>
        <v>0.88751442210016063</v>
      </c>
      <c r="M691" s="1">
        <f t="shared" si="32"/>
        <v>434.00984155625639</v>
      </c>
      <c r="N691"/>
      <c r="P691" s="1"/>
    </row>
    <row r="692" spans="1:19" x14ac:dyDescent="0.3">
      <c r="A692" s="1">
        <v>692</v>
      </c>
      <c r="C692" s="1" t="s">
        <v>15</v>
      </c>
      <c r="D692" s="1">
        <v>18</v>
      </c>
      <c r="E692" s="1">
        <v>157</v>
      </c>
      <c r="F692" s="1">
        <v>0</v>
      </c>
      <c r="G692" s="1">
        <v>0.41991289111151203</v>
      </c>
      <c r="H692" s="1">
        <v>1.8142093083661948</v>
      </c>
      <c r="I692" s="1">
        <v>409.43832450938953</v>
      </c>
      <c r="K692" s="1">
        <f t="shared" si="30"/>
        <v>0.49247772504837156</v>
      </c>
      <c r="L692" s="1">
        <f t="shared" si="31"/>
        <v>0.91188062897736644</v>
      </c>
      <c r="M692" s="1">
        <f t="shared" si="32"/>
        <v>205.54635787868281</v>
      </c>
      <c r="N692" s="1">
        <f>SLOPE(K692:K695,F692:F695)</f>
        <v>8.3094100797106545E-3</v>
      </c>
      <c r="O692" s="1">
        <f>SLOPE(L692:L695,F692:F695)</f>
        <v>-5.3571093134282101E-4</v>
      </c>
      <c r="P692" s="1">
        <f>SLOPE(M692:M695,F692:F695)</f>
        <v>6.4373635858679235</v>
      </c>
      <c r="Q692" s="1">
        <f>(N692*41.35/0.31*60)/1000</f>
        <v>6.6502085186329482E-2</v>
      </c>
      <c r="R692" s="1">
        <f>O692*41.35/0.31*60/1000</f>
        <v>-4.2874155505210941E-3</v>
      </c>
      <c r="S692" s="1">
        <f>(O692*41.35/0.31*60)/1000</f>
        <v>-4.2874155505210941E-3</v>
      </c>
    </row>
    <row r="693" spans="1:19" x14ac:dyDescent="0.3">
      <c r="A693" s="1">
        <v>693</v>
      </c>
      <c r="C693" s="1" t="s">
        <v>15</v>
      </c>
      <c r="D693" s="1">
        <v>18</v>
      </c>
      <c r="E693" s="1">
        <v>158</v>
      </c>
      <c r="F693" s="1">
        <v>15</v>
      </c>
      <c r="G693" s="1">
        <v>0.50699899641202129</v>
      </c>
      <c r="H693" s="1">
        <v>1.7915178634678501</v>
      </c>
      <c r="I693" s="1">
        <v>629.26529658576487</v>
      </c>
      <c r="K693" s="1">
        <f t="shared" si="30"/>
        <v>0.59461311533894601</v>
      </c>
      <c r="L693" s="1">
        <f t="shared" si="31"/>
        <v>0.90047517043909997</v>
      </c>
      <c r="M693" s="1">
        <f t="shared" si="32"/>
        <v>315.90396430924949</v>
      </c>
      <c r="N693"/>
      <c r="P693" s="1"/>
    </row>
    <row r="694" spans="1:19" x14ac:dyDescent="0.3">
      <c r="A694" s="1">
        <v>694</v>
      </c>
      <c r="C694" s="1" t="s">
        <v>15</v>
      </c>
      <c r="D694" s="1">
        <v>18</v>
      </c>
      <c r="E694" s="1">
        <v>159</v>
      </c>
      <c r="F694" s="1">
        <v>30</v>
      </c>
      <c r="G694" s="1">
        <v>0.64314472603041806</v>
      </c>
      <c r="H694" s="1">
        <v>1.7863607169000446</v>
      </c>
      <c r="I694" s="1">
        <v>813.22348906958973</v>
      </c>
      <c r="K694" s="1">
        <f t="shared" si="30"/>
        <v>0.75428608708325295</v>
      </c>
      <c r="L694" s="1">
        <f t="shared" si="31"/>
        <v>0.89788302077131221</v>
      </c>
      <c r="M694" s="1">
        <f t="shared" si="32"/>
        <v>408.25471460187077</v>
      </c>
      <c r="N694"/>
      <c r="P694" s="1"/>
    </row>
    <row r="695" spans="1:19" x14ac:dyDescent="0.3">
      <c r="A695" s="1">
        <v>695</v>
      </c>
      <c r="C695" s="1" t="s">
        <v>15</v>
      </c>
      <c r="D695" s="1">
        <v>18</v>
      </c>
      <c r="E695" s="1">
        <v>160</v>
      </c>
      <c r="F695" s="1">
        <v>45</v>
      </c>
      <c r="G695" s="1">
        <v>0.72878339028520611</v>
      </c>
      <c r="H695" s="1">
        <v>1.7626378426881386</v>
      </c>
      <c r="I695" s="1">
        <v>989.2646490934859</v>
      </c>
      <c r="K695" s="1">
        <f t="shared" si="30"/>
        <v>0.85472390511913532</v>
      </c>
      <c r="L695" s="1">
        <f t="shared" si="31"/>
        <v>0.88595913229948797</v>
      </c>
      <c r="M695" s="1">
        <f t="shared" si="32"/>
        <v>496.63095374120525</v>
      </c>
      <c r="N695"/>
      <c r="P695" s="1"/>
    </row>
    <row r="696" spans="1:19" x14ac:dyDescent="0.3">
      <c r="A696" s="1">
        <v>696</v>
      </c>
      <c r="C696" s="1" t="s">
        <v>15</v>
      </c>
      <c r="D696" s="1">
        <v>18</v>
      </c>
      <c r="E696" s="1" t="s">
        <v>114</v>
      </c>
      <c r="G696" s="1">
        <v>0.39565147861667554</v>
      </c>
      <c r="H696" s="1">
        <v>2.0266837469597863</v>
      </c>
      <c r="I696" s="1">
        <v>426.66190566844915</v>
      </c>
      <c r="K696" s="1">
        <f t="shared" si="30"/>
        <v>0.46402371593164682</v>
      </c>
      <c r="L696" s="1">
        <f t="shared" si="31"/>
        <v>1.0186771952902256</v>
      </c>
      <c r="M696" s="1">
        <f t="shared" si="32"/>
        <v>214.19294556955103</v>
      </c>
      <c r="N696"/>
      <c r="P696" s="1"/>
    </row>
    <row r="697" spans="1:19" x14ac:dyDescent="0.3">
      <c r="A697" s="1">
        <v>697</v>
      </c>
      <c r="C697" s="1" t="s">
        <v>15</v>
      </c>
      <c r="D697" s="1">
        <v>18</v>
      </c>
      <c r="E697" s="1" t="s">
        <v>115</v>
      </c>
      <c r="G697" s="1">
        <v>0.39643750620441826</v>
      </c>
      <c r="H697" s="1">
        <v>1.8038950152305835</v>
      </c>
      <c r="I697" s="1">
        <v>405.39267689808906</v>
      </c>
      <c r="K697" s="1">
        <f t="shared" si="30"/>
        <v>0.46494557636134726</v>
      </c>
      <c r="L697" s="1">
        <f t="shared" si="31"/>
        <v>0.9066963296417907</v>
      </c>
      <c r="M697" s="1">
        <f t="shared" si="32"/>
        <v>203.51536057827172</v>
      </c>
      <c r="N697"/>
      <c r="P697" s="1"/>
    </row>
    <row r="698" spans="1:19" x14ac:dyDescent="0.3">
      <c r="A698" s="1">
        <v>698</v>
      </c>
      <c r="B698" s="1" t="s">
        <v>120</v>
      </c>
      <c r="C698" s="1" t="s">
        <v>15</v>
      </c>
      <c r="D698" s="1">
        <v>23</v>
      </c>
      <c r="E698" s="1" t="s">
        <v>116</v>
      </c>
      <c r="G698" s="1">
        <v>0.39801914708219305</v>
      </c>
      <c r="H698" s="1">
        <v>1.8234921721882449</v>
      </c>
      <c r="I698" s="1">
        <v>398.22956017982636</v>
      </c>
      <c r="K698" s="1">
        <f t="shared" si="30"/>
        <v>0.4589193890003585</v>
      </c>
      <c r="L698" s="1">
        <f t="shared" si="31"/>
        <v>0.90107213575268552</v>
      </c>
      <c r="M698" s="1">
        <f t="shared" si="32"/>
        <v>196.54402518713732</v>
      </c>
      <c r="N698"/>
      <c r="P698" s="1"/>
    </row>
    <row r="699" spans="1:19" x14ac:dyDescent="0.3">
      <c r="A699" s="1">
        <v>699</v>
      </c>
      <c r="C699" s="1" t="s">
        <v>15</v>
      </c>
      <c r="D699" s="1">
        <v>23</v>
      </c>
      <c r="E699" s="1">
        <v>401</v>
      </c>
      <c r="F699" s="1">
        <v>0</v>
      </c>
      <c r="G699" s="1">
        <v>0.42373758632504011</v>
      </c>
      <c r="H699" s="1">
        <v>1.9472636898155797</v>
      </c>
      <c r="I699" s="1">
        <v>482.83413145718163</v>
      </c>
      <c r="K699" s="1">
        <f t="shared" si="30"/>
        <v>0.48857296348262558</v>
      </c>
      <c r="L699" s="1">
        <f t="shared" si="31"/>
        <v>0.96223338855914964</v>
      </c>
      <c r="M699" s="1">
        <f t="shared" si="32"/>
        <v>238.30014942004112</v>
      </c>
      <c r="N699" s="1">
        <f>SLOPE(K699:K702,F699:F702)</f>
        <v>6.1352578776008391E-3</v>
      </c>
      <c r="O699" s="1">
        <f>SLOPE(L699:L702,F699:F702)</f>
        <v>-3.3978473781369017E-4</v>
      </c>
      <c r="P699" s="1">
        <f>SLOPE(M699:M702,F699:F702)</f>
        <v>10.248713906235045</v>
      </c>
      <c r="Q699" s="1">
        <f>(N699*41.35/0.31*60)/1000</f>
        <v>4.9101854175250592E-2</v>
      </c>
      <c r="R699" s="1">
        <f>O699*41.35/0.31*60/1000</f>
        <v>-2.7193739823089206E-3</v>
      </c>
      <c r="S699" s="1">
        <f>(O699*41.35/0.31*60)/1000</f>
        <v>-2.7193739823089206E-3</v>
      </c>
    </row>
    <row r="700" spans="1:19" x14ac:dyDescent="0.3">
      <c r="A700" s="1">
        <v>700</v>
      </c>
      <c r="C700" s="1" t="s">
        <v>15</v>
      </c>
      <c r="D700" s="1">
        <v>23</v>
      </c>
      <c r="E700" s="1">
        <v>402</v>
      </c>
      <c r="F700" s="1">
        <v>15</v>
      </c>
      <c r="G700" s="1">
        <v>0.52339054732714196</v>
      </c>
      <c r="H700" s="1">
        <v>1.9431379725613351</v>
      </c>
      <c r="I700" s="1">
        <v>869.63601403632276</v>
      </c>
      <c r="K700" s="1">
        <f t="shared" si="30"/>
        <v>0.60347365685483945</v>
      </c>
      <c r="L700" s="1">
        <f t="shared" si="31"/>
        <v>0.96019468013226761</v>
      </c>
      <c r="M700" s="1">
        <f t="shared" si="32"/>
        <v>429.2041067197888</v>
      </c>
      <c r="N700"/>
      <c r="P700" s="1"/>
    </row>
    <row r="701" spans="1:19" x14ac:dyDescent="0.3">
      <c r="A701" s="1">
        <v>701</v>
      </c>
      <c r="C701" s="1" t="s">
        <v>15</v>
      </c>
      <c r="D701" s="1">
        <v>23</v>
      </c>
      <c r="E701" s="1">
        <v>403</v>
      </c>
      <c r="F701" s="1">
        <v>30</v>
      </c>
      <c r="G701" s="1">
        <v>0.59742092610929209</v>
      </c>
      <c r="H701" s="1">
        <v>1.9359179673664073</v>
      </c>
      <c r="I701" s="1">
        <v>1183.2805545008021</v>
      </c>
      <c r="K701" s="1">
        <f t="shared" si="30"/>
        <v>0.68883129968993051</v>
      </c>
      <c r="L701" s="1">
        <f t="shared" si="31"/>
        <v>0.95662694038522378</v>
      </c>
      <c r="M701" s="1">
        <f t="shared" si="32"/>
        <v>584.0016572407045</v>
      </c>
      <c r="N701"/>
      <c r="P701" s="1"/>
    </row>
    <row r="702" spans="1:19" x14ac:dyDescent="0.3">
      <c r="A702" s="1">
        <v>702</v>
      </c>
      <c r="C702" s="1" t="s">
        <v>15</v>
      </c>
      <c r="D702" s="1">
        <v>23</v>
      </c>
      <c r="E702" s="1">
        <v>404</v>
      </c>
      <c r="F702" s="1">
        <v>45</v>
      </c>
      <c r="G702" s="1">
        <v>0.66511515567805335</v>
      </c>
      <c r="H702" s="1">
        <v>1.915289381095185</v>
      </c>
      <c r="I702" s="1">
        <v>1416.5624462003423</v>
      </c>
      <c r="K702" s="1">
        <f t="shared" si="30"/>
        <v>0.76688330975097052</v>
      </c>
      <c r="L702" s="1">
        <f t="shared" si="31"/>
        <v>0.94643339825081307</v>
      </c>
      <c r="M702" s="1">
        <f t="shared" si="32"/>
        <v>699.13666122482152</v>
      </c>
      <c r="N702"/>
      <c r="P702" s="1"/>
    </row>
    <row r="703" spans="1:19" x14ac:dyDescent="0.3">
      <c r="A703" s="1">
        <v>703</v>
      </c>
      <c r="C703" s="1" t="s">
        <v>15</v>
      </c>
      <c r="D703" s="1">
        <v>23</v>
      </c>
      <c r="E703" s="1">
        <v>405</v>
      </c>
      <c r="F703" s="1">
        <v>0</v>
      </c>
      <c r="G703" s="1">
        <v>0.41404644131031099</v>
      </c>
      <c r="H703" s="1">
        <v>1.9761437105952913</v>
      </c>
      <c r="I703" s="1">
        <v>434.70642509685922</v>
      </c>
      <c r="K703" s="1">
        <f t="shared" si="30"/>
        <v>0.47739899262851754</v>
      </c>
      <c r="L703" s="1">
        <f t="shared" si="31"/>
        <v>0.97650434754732462</v>
      </c>
      <c r="M703" s="1">
        <f t="shared" si="32"/>
        <v>214.54698271184671</v>
      </c>
      <c r="N703" s="1">
        <f>SLOPE(K703:K706,F703:F706)</f>
        <v>4.3019603581741055E-3</v>
      </c>
      <c r="O703" s="1">
        <f>SLOPE(L703:L706,F703:F706)</f>
        <v>1.019354213441089E-4</v>
      </c>
      <c r="P703" s="1">
        <f>SLOPE(M703:M706,F703:F706)</f>
        <v>7.6155620141147118</v>
      </c>
      <c r="Q703" s="1">
        <f>(N703*41.35/0.31*60)/1000</f>
        <v>3.4429560156870827E-2</v>
      </c>
      <c r="R703" s="1">
        <f>O703*41.35/0.31*60/1000</f>
        <v>8.1581219469269097E-4</v>
      </c>
      <c r="S703" s="1">
        <f>(O703*41.35/0.31*60)/1000</f>
        <v>8.1581219469269097E-4</v>
      </c>
    </row>
    <row r="704" spans="1:19" x14ac:dyDescent="0.3">
      <c r="A704" s="1">
        <v>704</v>
      </c>
      <c r="C704" s="1" t="s">
        <v>15</v>
      </c>
      <c r="D704" s="1">
        <v>23</v>
      </c>
      <c r="E704" s="1">
        <v>406</v>
      </c>
      <c r="F704" s="1">
        <v>15</v>
      </c>
      <c r="G704" s="1">
        <v>0.49616715282483637</v>
      </c>
      <c r="H704" s="1">
        <v>1.9359179673664073</v>
      </c>
      <c r="I704" s="1">
        <v>753.62745858056599</v>
      </c>
      <c r="K704" s="1">
        <f t="shared" si="30"/>
        <v>0.57208485643380369</v>
      </c>
      <c r="L704" s="1">
        <f t="shared" si="31"/>
        <v>0.95662694038522378</v>
      </c>
      <c r="M704" s="1">
        <f t="shared" si="32"/>
        <v>371.94871755399294</v>
      </c>
      <c r="N704"/>
      <c r="P704" s="1"/>
    </row>
    <row r="705" spans="1:19" x14ac:dyDescent="0.3">
      <c r="A705" s="1">
        <v>705</v>
      </c>
      <c r="C705" s="1" t="s">
        <v>15</v>
      </c>
      <c r="D705" s="1">
        <v>23</v>
      </c>
      <c r="E705" s="1">
        <v>407</v>
      </c>
      <c r="F705" s="1">
        <v>30</v>
      </c>
      <c r="G705" s="1">
        <v>0.55042222778365668</v>
      </c>
      <c r="H705" s="1">
        <v>1.9049750879595737</v>
      </c>
      <c r="I705" s="1">
        <v>970.87075590721713</v>
      </c>
      <c r="K705" s="1">
        <f t="shared" si="30"/>
        <v>0.63464140938558611</v>
      </c>
      <c r="L705" s="1">
        <f t="shared" si="31"/>
        <v>0.94133662718360767</v>
      </c>
      <c r="M705" s="1">
        <f t="shared" si="32"/>
        <v>479.16796085231869</v>
      </c>
      <c r="N705"/>
      <c r="P705" s="1"/>
    </row>
    <row r="706" spans="1:19" x14ac:dyDescent="0.3">
      <c r="A706" s="1">
        <v>706</v>
      </c>
      <c r="C706" s="1" t="s">
        <v>15</v>
      </c>
      <c r="D706" s="1">
        <v>23</v>
      </c>
      <c r="E706" s="1">
        <v>408</v>
      </c>
      <c r="F706" s="1">
        <v>45</v>
      </c>
      <c r="G706" s="1">
        <v>0.58251515904905082</v>
      </c>
      <c r="H706" s="1">
        <v>1.9967722968665138</v>
      </c>
      <c r="I706" s="1">
        <v>1133.8091905230335</v>
      </c>
      <c r="K706" s="1">
        <f t="shared" si="30"/>
        <v>0.67164482621996202</v>
      </c>
      <c r="L706" s="1">
        <f t="shared" si="31"/>
        <v>0.98669788968173544</v>
      </c>
      <c r="M706" s="1">
        <f t="shared" si="32"/>
        <v>559.58533565147366</v>
      </c>
      <c r="N706"/>
      <c r="P706" s="1"/>
    </row>
    <row r="707" spans="1:19" x14ac:dyDescent="0.3">
      <c r="A707" s="1">
        <v>707</v>
      </c>
      <c r="C707" s="1" t="s">
        <v>15</v>
      </c>
      <c r="D707" s="1">
        <v>23</v>
      </c>
      <c r="E707" s="1">
        <v>409</v>
      </c>
      <c r="F707" s="1">
        <v>0</v>
      </c>
      <c r="G707" s="1">
        <v>0.41072020261583914</v>
      </c>
      <c r="H707" s="1">
        <v>2.082380929892087</v>
      </c>
      <c r="I707" s="1">
        <v>447.72752215821339</v>
      </c>
      <c r="K707" s="1">
        <f t="shared" ref="K707:K770" si="33">(G707*28*1)/(0.082*(D707+273.15))</f>
        <v>0.47356381173200368</v>
      </c>
      <c r="L707" s="1">
        <f t="shared" ref="L707:L770" si="34">(H707*12*1)/(0.082*(D707+273.15))</f>
        <v>1.0290010895395396</v>
      </c>
      <c r="M707" s="1">
        <f t="shared" ref="M707:M770" si="35">(I707*12*1)/(0.0821*(D707+273.15))</f>
        <v>220.97347407435456</v>
      </c>
      <c r="N707" s="1">
        <f>SLOPE(K707:K710,F707:F710)</f>
        <v>8.7789906454570875E-3</v>
      </c>
      <c r="O707" s="1">
        <f>SLOPE(L707:L710,F707:F710)</f>
        <v>-8.0868767599657923E-4</v>
      </c>
      <c r="P707" s="1">
        <f>SLOPE(M707:M710,F707:F710)</f>
        <v>5.4141171595673709</v>
      </c>
      <c r="Q707" s="1">
        <f>(N707*41.35/0.31*60)/1000</f>
        <v>7.0260244488319468E-2</v>
      </c>
      <c r="R707" s="1">
        <f>O707*41.35/0.31*60/1000</f>
        <v>-6.472110077895203E-3</v>
      </c>
      <c r="S707" s="1">
        <f>(O707*41.35/0.31*60)/1000</f>
        <v>-6.472110077895203E-3</v>
      </c>
    </row>
    <row r="708" spans="1:19" x14ac:dyDescent="0.3">
      <c r="A708" s="1">
        <v>708</v>
      </c>
      <c r="C708" s="1" t="s">
        <v>15</v>
      </c>
      <c r="D708" s="1">
        <v>23</v>
      </c>
      <c r="E708" s="1">
        <v>410</v>
      </c>
      <c r="F708" s="1">
        <v>15</v>
      </c>
      <c r="G708" s="1">
        <v>0.61618014548993005</v>
      </c>
      <c r="H708" s="1">
        <v>2.023589459019103</v>
      </c>
      <c r="I708" s="1">
        <v>712.7142305948729</v>
      </c>
      <c r="K708" s="1">
        <f t="shared" si="33"/>
        <v>0.71046083575470742</v>
      </c>
      <c r="L708" s="1">
        <f t="shared" si="34"/>
        <v>0.9999494944564693</v>
      </c>
      <c r="M708" s="1">
        <f t="shared" si="35"/>
        <v>351.75621725824391</v>
      </c>
      <c r="N708"/>
      <c r="P708" s="1"/>
    </row>
    <row r="709" spans="1:19" x14ac:dyDescent="0.3">
      <c r="A709" s="1">
        <v>709</v>
      </c>
      <c r="C709" s="1" t="s">
        <v>15</v>
      </c>
      <c r="D709" s="1">
        <v>23</v>
      </c>
      <c r="E709" s="1">
        <v>411</v>
      </c>
      <c r="F709" s="1">
        <v>30</v>
      </c>
      <c r="G709" s="1">
        <v>0.6471323781828684</v>
      </c>
      <c r="H709" s="1">
        <v>2.0287466055869086</v>
      </c>
      <c r="I709" s="1">
        <v>771.96907293803304</v>
      </c>
      <c r="K709" s="1">
        <f t="shared" si="33"/>
        <v>0.74614901764186392</v>
      </c>
      <c r="L709" s="1">
        <f t="shared" si="34"/>
        <v>1.0024978799900719</v>
      </c>
      <c r="M709" s="1">
        <f t="shared" si="35"/>
        <v>381.00112117922578</v>
      </c>
      <c r="N709"/>
      <c r="P709" s="1"/>
    </row>
    <row r="710" spans="1:19" x14ac:dyDescent="0.3">
      <c r="A710" s="1">
        <v>710</v>
      </c>
      <c r="C710" s="1" t="s">
        <v>15</v>
      </c>
      <c r="D710" s="1">
        <v>23</v>
      </c>
      <c r="E710" s="1">
        <v>412</v>
      </c>
      <c r="F710" s="1">
        <v>45</v>
      </c>
      <c r="G710" s="1">
        <v>0.78110215338153854</v>
      </c>
      <c r="H710" s="1">
        <v>1.9988351554936359</v>
      </c>
      <c r="I710" s="1">
        <v>976.46917645117037</v>
      </c>
      <c r="K710" s="1">
        <f t="shared" si="33"/>
        <v>0.90061728337580582</v>
      </c>
      <c r="L710" s="1">
        <f t="shared" si="34"/>
        <v>0.98771724389517646</v>
      </c>
      <c r="M710" s="1">
        <f t="shared" si="35"/>
        <v>481.93103074572912</v>
      </c>
      <c r="N710"/>
      <c r="P710" s="1"/>
    </row>
    <row r="711" spans="1:19" x14ac:dyDescent="0.3">
      <c r="A711" s="1">
        <v>711</v>
      </c>
      <c r="C711" s="1" t="s">
        <v>15</v>
      </c>
      <c r="D711" s="1">
        <v>23</v>
      </c>
      <c r="E711" s="1">
        <v>413</v>
      </c>
      <c r="F711" s="1">
        <v>0</v>
      </c>
      <c r="G711" s="1">
        <v>0.40485375281463798</v>
      </c>
      <c r="H711" s="1">
        <v>1.9967722968665138</v>
      </c>
      <c r="I711" s="1">
        <v>421.05064471040424</v>
      </c>
      <c r="K711" s="1">
        <f t="shared" si="33"/>
        <v>0.46679974628916066</v>
      </c>
      <c r="L711" s="1">
        <f t="shared" si="34"/>
        <v>0.98669788968173544</v>
      </c>
      <c r="M711" s="1">
        <f t="shared" si="35"/>
        <v>207.80724685945685</v>
      </c>
      <c r="N711" s="1">
        <f>SLOPE(K711:K714,F711:F714)</f>
        <v>3.8609698170475842E-3</v>
      </c>
      <c r="O711" s="1">
        <f>SLOPE(L711:L714,F711:F714)</f>
        <v>7.4752642319011098E-4</v>
      </c>
      <c r="P711" s="1">
        <f>SLOPE(M711:M714,F711:F714)</f>
        <v>8.0329406813798006</v>
      </c>
      <c r="Q711" s="1">
        <f>(N711*41.35/0.31*60)/1000</f>
        <v>3.0900213277725987E-2</v>
      </c>
      <c r="R711" s="1">
        <f>O711*41.35/0.31*60/1000</f>
        <v>5.9826227610795656E-3</v>
      </c>
      <c r="S711" s="1">
        <f>(O711*41.35/0.31*60)/1000</f>
        <v>5.9826227610795656E-3</v>
      </c>
    </row>
    <row r="712" spans="1:19" x14ac:dyDescent="0.3">
      <c r="A712" s="1">
        <v>712</v>
      </c>
      <c r="C712" s="1" t="s">
        <v>15</v>
      </c>
      <c r="D712" s="1">
        <v>23</v>
      </c>
      <c r="E712" s="1">
        <v>414</v>
      </c>
      <c r="F712" s="1">
        <v>15</v>
      </c>
      <c r="G712" s="1">
        <v>0.47012279970414472</v>
      </c>
      <c r="H712" s="1">
        <v>2.0204951710784194</v>
      </c>
      <c r="I712" s="1">
        <v>742.95982598772173</v>
      </c>
      <c r="K712" s="1">
        <f t="shared" si="33"/>
        <v>0.5420555005380453</v>
      </c>
      <c r="L712" s="1">
        <f t="shared" si="34"/>
        <v>0.99842046313630761</v>
      </c>
      <c r="M712" s="1">
        <f t="shared" si="35"/>
        <v>366.68376573055639</v>
      </c>
      <c r="N712"/>
      <c r="P712" s="1"/>
    </row>
    <row r="713" spans="1:19" x14ac:dyDescent="0.3">
      <c r="A713" s="1">
        <v>713</v>
      </c>
      <c r="C713" s="1" t="s">
        <v>15</v>
      </c>
      <c r="D713" s="1">
        <v>23</v>
      </c>
      <c r="E713" s="1">
        <v>415</v>
      </c>
      <c r="F713" s="1">
        <v>30</v>
      </c>
      <c r="G713" s="1">
        <v>0.50531191280906151</v>
      </c>
      <c r="H713" s="1">
        <v>2.0421551866632028</v>
      </c>
      <c r="I713" s="1">
        <v>909.33123702818068</v>
      </c>
      <c r="K713" s="1">
        <f t="shared" si="33"/>
        <v>0.58262884080058819</v>
      </c>
      <c r="L713" s="1">
        <f t="shared" si="34"/>
        <v>1.0091236823774388</v>
      </c>
      <c r="M713" s="1">
        <f t="shared" si="35"/>
        <v>448.79546730085087</v>
      </c>
      <c r="N713"/>
      <c r="P713" s="1"/>
    </row>
    <row r="714" spans="1:19" x14ac:dyDescent="0.3">
      <c r="A714" s="1">
        <v>714</v>
      </c>
      <c r="C714" s="1" t="s">
        <v>15</v>
      </c>
      <c r="D714" s="1">
        <v>23</v>
      </c>
      <c r="E714" s="1">
        <v>416</v>
      </c>
      <c r="K714" s="1">
        <f t="shared" si="33"/>
        <v>0</v>
      </c>
      <c r="L714" s="1">
        <f t="shared" si="34"/>
        <v>0</v>
      </c>
      <c r="M714" s="1">
        <f t="shared" si="35"/>
        <v>0</v>
      </c>
      <c r="N714"/>
      <c r="P714" s="1"/>
    </row>
    <row r="715" spans="1:19" x14ac:dyDescent="0.3">
      <c r="A715" s="1">
        <v>715</v>
      </c>
      <c r="C715" s="1" t="s">
        <v>15</v>
      </c>
      <c r="D715" s="1">
        <v>23</v>
      </c>
      <c r="E715" s="1">
        <v>417</v>
      </c>
      <c r="F715" s="1">
        <v>0</v>
      </c>
      <c r="G715" s="1">
        <v>0.40710639285268091</v>
      </c>
      <c r="H715" s="1">
        <v>2.0607209143073031</v>
      </c>
      <c r="I715" s="1">
        <v>452.51607944195854</v>
      </c>
      <c r="K715" s="1">
        <f t="shared" si="33"/>
        <v>0.46939705900005629</v>
      </c>
      <c r="L715" s="1">
        <f t="shared" si="34"/>
        <v>1.0182978702984082</v>
      </c>
      <c r="M715" s="1">
        <f t="shared" si="35"/>
        <v>223.3368403773519</v>
      </c>
      <c r="N715" s="1">
        <f>SLOPE(K715:K718,F715:F718)</f>
        <v>3.5919545345658886E-3</v>
      </c>
      <c r="O715" s="1">
        <f>SLOPE(L715:L718,F715:F718)</f>
        <v>-1.0499348398442967E-3</v>
      </c>
      <c r="P715" s="1">
        <f>SLOPE(M715:M718,F715:F718)</f>
        <v>5.454135802923112</v>
      </c>
      <c r="Q715" s="1">
        <f>(N715*41.35/0.31*60)/1000</f>
        <v>2.8747223226638609E-2</v>
      </c>
      <c r="R715" s="1">
        <f>O715*41.35/0.31*60/1000</f>
        <v>-8.4028656053345176E-3</v>
      </c>
      <c r="S715" s="1">
        <f>(O715*41.35/0.31*60)/1000</f>
        <v>-8.4028656053345176E-3</v>
      </c>
    </row>
    <row r="716" spans="1:19" x14ac:dyDescent="0.3">
      <c r="A716" s="1">
        <v>716</v>
      </c>
      <c r="C716" s="1" t="s">
        <v>15</v>
      </c>
      <c r="D716" s="1">
        <v>23</v>
      </c>
      <c r="E716" s="1">
        <v>418</v>
      </c>
      <c r="F716" s="1">
        <v>15</v>
      </c>
      <c r="G716" s="1">
        <v>0.46715123199438602</v>
      </c>
      <c r="H716" s="1">
        <v>2.0431866159767642</v>
      </c>
      <c r="I716" s="1">
        <v>755.48381558924257</v>
      </c>
      <c r="K716" s="1">
        <f t="shared" si="33"/>
        <v>0.53862925823856611</v>
      </c>
      <c r="L716" s="1">
        <f t="shared" si="34"/>
        <v>1.0096333594841593</v>
      </c>
      <c r="M716" s="1">
        <f t="shared" si="35"/>
        <v>372.86491242035311</v>
      </c>
      <c r="N716"/>
      <c r="P716" s="1"/>
    </row>
    <row r="717" spans="1:19" x14ac:dyDescent="0.3">
      <c r="A717" s="1">
        <v>717</v>
      </c>
      <c r="C717" s="1" t="s">
        <v>15</v>
      </c>
      <c r="D717" s="1">
        <v>23</v>
      </c>
      <c r="E717" s="1">
        <v>419</v>
      </c>
      <c r="F717" s="1">
        <v>30</v>
      </c>
      <c r="G717" s="1">
        <v>0.5314137801434905</v>
      </c>
      <c r="H717" s="1">
        <v>1.9905837209851467</v>
      </c>
      <c r="I717" s="1">
        <v>864.8722204083258</v>
      </c>
      <c r="K717" s="1">
        <f t="shared" si="33"/>
        <v>0.6127245110634334</v>
      </c>
      <c r="L717" s="1">
        <f t="shared" si="34"/>
        <v>0.98363982704141206</v>
      </c>
      <c r="M717" s="1">
        <f t="shared" si="35"/>
        <v>426.85296238388213</v>
      </c>
      <c r="N717"/>
      <c r="P717" s="1"/>
    </row>
    <row r="718" spans="1:19" x14ac:dyDescent="0.3">
      <c r="A718" s="1">
        <v>718</v>
      </c>
      <c r="C718" s="1" t="s">
        <v>15</v>
      </c>
      <c r="D718" s="1">
        <v>23</v>
      </c>
      <c r="E718" s="1">
        <v>420</v>
      </c>
      <c r="F718" s="1">
        <v>45</v>
      </c>
      <c r="G718" s="1">
        <v>0.54145001044064323</v>
      </c>
      <c r="H718" s="1">
        <v>1.9720179933410467</v>
      </c>
      <c r="I718" s="1">
        <v>968.6007541303029</v>
      </c>
      <c r="K718" s="1">
        <f t="shared" si="33"/>
        <v>0.62429636812006162</v>
      </c>
      <c r="L718" s="1">
        <f t="shared" si="34"/>
        <v>0.97446563912044248</v>
      </c>
      <c r="M718" s="1">
        <f t="shared" si="35"/>
        <v>478.04761386899781</v>
      </c>
      <c r="N718"/>
      <c r="P718" s="1"/>
    </row>
    <row r="719" spans="1:19" x14ac:dyDescent="0.3">
      <c r="A719" s="1">
        <v>719</v>
      </c>
      <c r="C719" s="1" t="s">
        <v>15</v>
      </c>
      <c r="D719" s="1">
        <v>23</v>
      </c>
      <c r="E719" s="1">
        <v>421</v>
      </c>
      <c r="F719" s="1">
        <v>0</v>
      </c>
      <c r="G719" s="1">
        <v>0.41617446721858975</v>
      </c>
      <c r="H719" s="1">
        <v>1.974080851968169</v>
      </c>
      <c r="I719" s="1">
        <v>433.2435350628478</v>
      </c>
      <c r="K719" s="1">
        <f t="shared" si="33"/>
        <v>0.47985262421072516</v>
      </c>
      <c r="L719" s="1">
        <f t="shared" si="34"/>
        <v>0.97548499333388361</v>
      </c>
      <c r="M719" s="1">
        <f t="shared" si="35"/>
        <v>213.82498132259545</v>
      </c>
      <c r="N719" s="1">
        <f>SLOPE(K719:K722,F719:F722)</f>
        <v>2.792321159708501E-2</v>
      </c>
      <c r="O719" s="1">
        <f>SLOPE(L719:L722,F719:F722)</f>
        <v>-6.2520391757719289E-4</v>
      </c>
      <c r="P719" s="1">
        <f>SLOPE(M719:M722,F719:F722)</f>
        <v>9.5855982562041024</v>
      </c>
      <c r="Q719" s="1">
        <f>(N719*41.35/0.31*60)/1000</f>
        <v>0.2234757676527997</v>
      </c>
      <c r="R719" s="1">
        <f>O719*41.35/0.31*60/1000</f>
        <v>-5.0036481274484375E-3</v>
      </c>
      <c r="S719" s="1">
        <f>(O719*41.35/0.31*60)/1000</f>
        <v>-5.0036481274484375E-3</v>
      </c>
    </row>
    <row r="720" spans="1:19" x14ac:dyDescent="0.3">
      <c r="A720" s="1">
        <v>720</v>
      </c>
      <c r="C720" s="1" t="s">
        <v>15</v>
      </c>
      <c r="D720" s="1">
        <v>23</v>
      </c>
      <c r="E720" s="1">
        <v>422</v>
      </c>
      <c r="F720" s="1">
        <v>15</v>
      </c>
      <c r="G720" s="1">
        <v>0.88423472431474492</v>
      </c>
      <c r="H720" s="1">
        <v>1.9245722449172351</v>
      </c>
      <c r="I720" s="1">
        <v>829.32995420267707</v>
      </c>
      <c r="K720" s="1">
        <f t="shared" si="33"/>
        <v>1.0195299959567645</v>
      </c>
      <c r="L720" s="1">
        <f t="shared" si="34"/>
        <v>0.95102049221129792</v>
      </c>
      <c r="M720" s="1">
        <f t="shared" si="35"/>
        <v>409.3112709504876</v>
      </c>
      <c r="N720"/>
      <c r="P720" s="1"/>
    </row>
    <row r="721" spans="1:19" x14ac:dyDescent="0.3">
      <c r="A721" s="1">
        <v>721</v>
      </c>
      <c r="C721" s="1" t="s">
        <v>15</v>
      </c>
      <c r="D721" s="1">
        <v>23</v>
      </c>
      <c r="E721" s="1">
        <v>423</v>
      </c>
      <c r="F721" s="1">
        <v>30</v>
      </c>
      <c r="G721" s="1">
        <v>1.2058829646404015</v>
      </c>
      <c r="H721" s="1">
        <v>1.9359179673664073</v>
      </c>
      <c r="I721" s="1">
        <v>1046.1935421411897</v>
      </c>
      <c r="K721" s="1">
        <f t="shared" si="33"/>
        <v>1.3903930938891069</v>
      </c>
      <c r="L721" s="1">
        <f t="shared" si="34"/>
        <v>0.95662694038522378</v>
      </c>
      <c r="M721" s="1">
        <f t="shared" si="35"/>
        <v>516.34311075342146</v>
      </c>
      <c r="N721"/>
      <c r="P721" s="1"/>
    </row>
    <row r="722" spans="1:19" x14ac:dyDescent="0.3">
      <c r="A722" s="1">
        <v>722</v>
      </c>
      <c r="C722" s="1" t="s">
        <v>15</v>
      </c>
      <c r="D722" s="1">
        <v>23</v>
      </c>
      <c r="E722" s="1">
        <v>424</v>
      </c>
      <c r="F722" s="1">
        <v>45</v>
      </c>
      <c r="G722" s="1">
        <v>1.5198434717298437</v>
      </c>
      <c r="H722" s="1">
        <v>1.9070379465866958</v>
      </c>
      <c r="I722" s="1">
        <v>1332.0532608562387</v>
      </c>
      <c r="K722" s="1">
        <f t="shared" si="33"/>
        <v>1.7523921714208615</v>
      </c>
      <c r="L722" s="1">
        <f t="shared" si="34"/>
        <v>0.94235598139704868</v>
      </c>
      <c r="M722" s="1">
        <f t="shared" si="35"/>
        <v>657.42761419848932</v>
      </c>
      <c r="N722"/>
      <c r="P722" s="1"/>
    </row>
    <row r="723" spans="1:19" x14ac:dyDescent="0.3">
      <c r="A723" s="1">
        <v>723</v>
      </c>
      <c r="C723" s="1" t="s">
        <v>15</v>
      </c>
      <c r="D723" s="1">
        <v>23</v>
      </c>
      <c r="E723" s="1">
        <v>425</v>
      </c>
      <c r="F723" s="1">
        <v>0</v>
      </c>
      <c r="G723" s="1">
        <v>0.41284822852411796</v>
      </c>
      <c r="H723" s="1">
        <v>1.9534522656969464</v>
      </c>
      <c r="I723" s="1">
        <v>424.22406133590857</v>
      </c>
      <c r="K723" s="1">
        <f t="shared" si="33"/>
        <v>0.47601744331421136</v>
      </c>
      <c r="L723" s="1">
        <f t="shared" si="34"/>
        <v>0.96529145119947279</v>
      </c>
      <c r="M723" s="1">
        <f t="shared" si="35"/>
        <v>209.37346930886707</v>
      </c>
      <c r="N723" s="1">
        <f>SLOPE(K723:K726,F723:F726)</f>
        <v>1.4408343584816536E-2</v>
      </c>
      <c r="O723" s="1">
        <f>SLOPE(L723:L726,F723:F726)</f>
        <v>-4.0774168537642671E-4</v>
      </c>
      <c r="P723" s="1">
        <f>SLOPE(M723:M726,F723:F726)</f>
        <v>9.1284665093126538</v>
      </c>
      <c r="Q723" s="1">
        <f>(N723*41.35/0.31*60)/1000</f>
        <v>0.11531322720622525</v>
      </c>
      <c r="R723" s="1">
        <f>O723*41.35/0.31*60/1000</f>
        <v>-3.2632487787706932E-3</v>
      </c>
      <c r="S723" s="1">
        <f>(O723*41.35/0.31*60)/1000</f>
        <v>-3.2632487787706932E-3</v>
      </c>
    </row>
    <row r="724" spans="1:19" x14ac:dyDescent="0.3">
      <c r="A724" s="1">
        <v>724</v>
      </c>
      <c r="C724" s="1" t="s">
        <v>15</v>
      </c>
      <c r="D724" s="1">
        <v>23</v>
      </c>
      <c r="E724" s="1">
        <v>426</v>
      </c>
      <c r="F724" s="1">
        <v>15</v>
      </c>
      <c r="G724" s="1">
        <v>0.70839460151534561</v>
      </c>
      <c r="H724" s="1">
        <v>1.9359179673664073</v>
      </c>
      <c r="I724" s="1">
        <v>846.25453714788853</v>
      </c>
      <c r="K724" s="1">
        <f t="shared" si="33"/>
        <v>0.81678487098370878</v>
      </c>
      <c r="L724" s="1">
        <f t="shared" si="34"/>
        <v>0.95662694038522378</v>
      </c>
      <c r="M724" s="1">
        <f t="shared" si="35"/>
        <v>417.66430645885953</v>
      </c>
      <c r="N724"/>
      <c r="P724" s="1"/>
    </row>
    <row r="725" spans="1:19" x14ac:dyDescent="0.3">
      <c r="A725" s="1">
        <v>725</v>
      </c>
      <c r="C725" s="1" t="s">
        <v>15</v>
      </c>
      <c r="D725" s="1">
        <v>23</v>
      </c>
      <c r="E725" s="1">
        <v>427</v>
      </c>
      <c r="F725" s="1">
        <v>30</v>
      </c>
      <c r="G725" s="1">
        <v>0.85206510743103436</v>
      </c>
      <c r="H725" s="1">
        <v>1.9266351035443572</v>
      </c>
      <c r="I725" s="1">
        <v>1062.3055103088877</v>
      </c>
      <c r="K725" s="1">
        <f t="shared" si="33"/>
        <v>0.98243815996627304</v>
      </c>
      <c r="L725" s="1">
        <f t="shared" si="34"/>
        <v>0.95203984642473893</v>
      </c>
      <c r="M725" s="1">
        <f t="shared" si="35"/>
        <v>524.29508467503695</v>
      </c>
      <c r="N725"/>
      <c r="P725" s="1"/>
    </row>
    <row r="726" spans="1:19" x14ac:dyDescent="0.3">
      <c r="A726" s="1">
        <v>726</v>
      </c>
      <c r="C726" s="1" t="s">
        <v>15</v>
      </c>
      <c r="D726" s="1">
        <v>23</v>
      </c>
      <c r="E726" s="1">
        <v>428</v>
      </c>
      <c r="F726" s="1">
        <v>45</v>
      </c>
      <c r="G726" s="1">
        <v>0.98977330652262685</v>
      </c>
      <c r="H726" s="1">
        <v>1.915289381095185</v>
      </c>
      <c r="I726" s="1">
        <v>1276.9935652313029</v>
      </c>
      <c r="K726" s="1">
        <f t="shared" si="33"/>
        <v>1.1412168595608501</v>
      </c>
      <c r="L726" s="1">
        <f t="shared" si="34"/>
        <v>0.94643339825081307</v>
      </c>
      <c r="M726" s="1">
        <f t="shared" si="35"/>
        <v>630.25320203577394</v>
      </c>
      <c r="N726"/>
      <c r="P726" s="1"/>
    </row>
    <row r="727" spans="1:19" x14ac:dyDescent="0.3">
      <c r="A727" s="1">
        <v>727</v>
      </c>
      <c r="C727" s="1" t="s">
        <v>15</v>
      </c>
      <c r="D727" s="1">
        <v>23</v>
      </c>
      <c r="E727" s="1">
        <v>429</v>
      </c>
      <c r="F727" s="1">
        <v>0</v>
      </c>
      <c r="G727" s="1">
        <v>0.42761979575230552</v>
      </c>
      <c r="H727" s="1">
        <v>1.9627351295189965</v>
      </c>
      <c r="I727" s="1">
        <v>461.43741571834022</v>
      </c>
      <c r="K727" s="1">
        <f t="shared" si="33"/>
        <v>0.49304918326097752</v>
      </c>
      <c r="L727" s="1">
        <f t="shared" si="34"/>
        <v>0.96987854515995764</v>
      </c>
      <c r="M727" s="1">
        <f t="shared" si="35"/>
        <v>227.73991718816498</v>
      </c>
      <c r="N727" s="1">
        <f>SLOPE(K727:K730,F727:F730)</f>
        <v>2.5176102099203613E-2</v>
      </c>
      <c r="O727" s="1">
        <f>SLOPE(L727:L730,F727:F730)</f>
        <v>-8.1548337075283415E-5</v>
      </c>
      <c r="P727" s="1">
        <f>SLOPE(M727:M730,F727:F730)</f>
        <v>12.277922575661689</v>
      </c>
      <c r="Q727" s="1">
        <f>(N727*41.35/0.31*60)/1000</f>
        <v>0.20149003002620697</v>
      </c>
      <c r="R727" s="1">
        <f>O727*41.35/0.31*60/1000</f>
        <v>-6.5264975575412307E-4</v>
      </c>
      <c r="S727" s="1">
        <f>(O727*41.35/0.31*60)/1000</f>
        <v>-6.5264975575412307E-4</v>
      </c>
    </row>
    <row r="728" spans="1:19" x14ac:dyDescent="0.3">
      <c r="A728" s="1">
        <v>728</v>
      </c>
      <c r="C728" s="1" t="s">
        <v>15</v>
      </c>
      <c r="D728" s="1">
        <v>23</v>
      </c>
      <c r="E728" s="1">
        <v>430</v>
      </c>
      <c r="F728" s="1">
        <v>15</v>
      </c>
      <c r="G728" s="1">
        <v>0.79018939915202646</v>
      </c>
      <c r="H728" s="1">
        <v>1.9493265484427018</v>
      </c>
      <c r="I728" s="1">
        <v>836.45088098892427</v>
      </c>
      <c r="K728" s="1">
        <f t="shared" si="33"/>
        <v>0.91109495337550361</v>
      </c>
      <c r="L728" s="1">
        <f t="shared" si="34"/>
        <v>0.96325274277259065</v>
      </c>
      <c r="M728" s="1">
        <f t="shared" si="35"/>
        <v>412.8257654872566</v>
      </c>
      <c r="N728"/>
      <c r="P728" s="1"/>
    </row>
    <row r="729" spans="1:19" x14ac:dyDescent="0.3">
      <c r="A729" s="1">
        <v>729</v>
      </c>
      <c r="C729" s="1" t="s">
        <v>15</v>
      </c>
      <c r="D729" s="1">
        <v>23</v>
      </c>
      <c r="E729" s="1">
        <v>431</v>
      </c>
      <c r="F729" s="1">
        <v>30</v>
      </c>
      <c r="G729" s="1">
        <v>1.0567486084196724</v>
      </c>
      <c r="H729" s="1">
        <v>1.9400436846206519</v>
      </c>
      <c r="I729" s="1">
        <v>1143.6348588204405</v>
      </c>
      <c r="K729" s="1">
        <f t="shared" si="33"/>
        <v>1.2184399400333066</v>
      </c>
      <c r="L729" s="1">
        <f t="shared" si="34"/>
        <v>0.95866564881210592</v>
      </c>
      <c r="M729" s="1">
        <f t="shared" si="35"/>
        <v>564.43474059382402</v>
      </c>
      <c r="N729"/>
      <c r="P729" s="1"/>
    </row>
    <row r="730" spans="1:19" x14ac:dyDescent="0.3">
      <c r="A730" s="1">
        <v>730</v>
      </c>
      <c r="C730" s="1" t="s">
        <v>15</v>
      </c>
      <c r="D730" s="1">
        <v>23</v>
      </c>
      <c r="E730" s="1">
        <v>432</v>
      </c>
      <c r="F730" s="1">
        <v>45</v>
      </c>
      <c r="G730" s="1">
        <v>1.4305238977958705</v>
      </c>
      <c r="H730" s="1">
        <v>1.957577982951191</v>
      </c>
      <c r="I730" s="1">
        <v>1602.8942809462492</v>
      </c>
      <c r="K730" s="1">
        <f t="shared" si="33"/>
        <v>1.6494059593352239</v>
      </c>
      <c r="L730" s="1">
        <f t="shared" si="34"/>
        <v>0.96733015962635505</v>
      </c>
      <c r="M730" s="1">
        <f t="shared" si="35"/>
        <v>791.09972093572696</v>
      </c>
      <c r="N730"/>
      <c r="P730" s="1"/>
    </row>
    <row r="731" spans="1:19" x14ac:dyDescent="0.3">
      <c r="A731" s="1">
        <v>731</v>
      </c>
      <c r="C731" s="1" t="s">
        <v>15</v>
      </c>
      <c r="D731" s="1">
        <v>23</v>
      </c>
      <c r="E731" s="1">
        <v>433</v>
      </c>
      <c r="F731" s="1">
        <v>0</v>
      </c>
      <c r="G731" s="1">
        <v>0.41951987731764068</v>
      </c>
      <c r="H731" s="1">
        <v>1.9678922760868021</v>
      </c>
      <c r="I731" s="1">
        <v>427.82488031617737</v>
      </c>
      <c r="K731" s="1">
        <f t="shared" si="33"/>
        <v>0.483709909896268</v>
      </c>
      <c r="L731" s="1">
        <f t="shared" si="34"/>
        <v>0.97242693069356023</v>
      </c>
      <c r="M731" s="1">
        <f t="shared" si="35"/>
        <v>211.1506338569551</v>
      </c>
      <c r="N731" s="1">
        <f>SLOPE(K731:K734,F731:F734)</f>
        <v>3.4841273736829229E-2</v>
      </c>
      <c r="O731" s="1">
        <f>SLOPE(L731:L734,F731:F734)</f>
        <v>-4.7230078556102545E-4</v>
      </c>
      <c r="P731" s="1">
        <f>SLOPE(M731:M734,F731:F734)</f>
        <v>10.354178920034636</v>
      </c>
      <c r="Q731" s="1">
        <f>(N731*41.35/0.31*60)/1000</f>
        <v>0.27884258110023652</v>
      </c>
      <c r="R731" s="1">
        <f>O731*41.35/0.31*60/1000</f>
        <v>-3.7799298354093684E-3</v>
      </c>
      <c r="S731" s="1">
        <f>(O731*41.35/0.31*60)/1000</f>
        <v>-3.7799298354093684E-3</v>
      </c>
    </row>
    <row r="732" spans="1:19" x14ac:dyDescent="0.3">
      <c r="A732" s="1">
        <v>732</v>
      </c>
      <c r="C732" s="1" t="s">
        <v>15</v>
      </c>
      <c r="D732" s="1">
        <v>23</v>
      </c>
      <c r="E732" s="1">
        <v>434</v>
      </c>
      <c r="F732" s="1">
        <v>15</v>
      </c>
      <c r="G732" s="1">
        <v>0.90054958961154918</v>
      </c>
      <c r="H732" s="1">
        <v>2.0039923020614414</v>
      </c>
      <c r="I732" s="1">
        <v>759.3506145756952</v>
      </c>
      <c r="K732" s="1">
        <f t="shared" si="33"/>
        <v>1.0383411714203572</v>
      </c>
      <c r="L732" s="1">
        <f t="shared" si="34"/>
        <v>0.99026562942877916</v>
      </c>
      <c r="M732" s="1">
        <f t="shared" si="35"/>
        <v>374.773349948305</v>
      </c>
      <c r="N732"/>
      <c r="P732" s="1"/>
    </row>
    <row r="733" spans="1:19" x14ac:dyDescent="0.3">
      <c r="A733" s="1">
        <v>733</v>
      </c>
      <c r="C733" s="1" t="s">
        <v>15</v>
      </c>
      <c r="D733" s="1">
        <v>23</v>
      </c>
      <c r="E733" s="1">
        <v>435</v>
      </c>
      <c r="F733" s="1">
        <v>30</v>
      </c>
      <c r="G733" s="1">
        <v>1.3457000182356935</v>
      </c>
      <c r="H733" s="1">
        <v>1.9503579777562632</v>
      </c>
      <c r="I733" s="1">
        <v>1055.6284949812368</v>
      </c>
      <c r="K733" s="1">
        <f t="shared" si="33"/>
        <v>1.5516033202768631</v>
      </c>
      <c r="L733" s="1">
        <f t="shared" si="34"/>
        <v>0.96376241987931133</v>
      </c>
      <c r="M733" s="1">
        <f t="shared" si="35"/>
        <v>520.99968021500615</v>
      </c>
      <c r="N733"/>
      <c r="P733" s="1"/>
    </row>
    <row r="734" spans="1:19" x14ac:dyDescent="0.3">
      <c r="A734" s="1">
        <v>734</v>
      </c>
      <c r="C734" s="1" t="s">
        <v>15</v>
      </c>
      <c r="D734" s="1">
        <v>23</v>
      </c>
      <c r="E734" s="1">
        <v>436</v>
      </c>
      <c r="F734" s="1">
        <v>45</v>
      </c>
      <c r="G734" s="1">
        <v>1.7820220150511676</v>
      </c>
      <c r="H734" s="1">
        <v>1.9379808259935296</v>
      </c>
      <c r="I734" s="1">
        <v>1378.0265291664716</v>
      </c>
      <c r="K734" s="1">
        <f t="shared" si="33"/>
        <v>2.054686213785561</v>
      </c>
      <c r="L734" s="1">
        <f t="shared" si="34"/>
        <v>0.9576462945986649</v>
      </c>
      <c r="M734" s="1">
        <f t="shared" si="35"/>
        <v>680.11746976978645</v>
      </c>
      <c r="N734"/>
      <c r="P734" s="1"/>
    </row>
    <row r="735" spans="1:19" x14ac:dyDescent="0.3">
      <c r="A735" s="1">
        <v>735</v>
      </c>
      <c r="C735" s="1" t="s">
        <v>15</v>
      </c>
      <c r="D735" s="1">
        <v>23</v>
      </c>
      <c r="E735" s="1">
        <v>437</v>
      </c>
      <c r="F735" s="1">
        <v>0</v>
      </c>
      <c r="G735" s="1">
        <v>0.43126236262233236</v>
      </c>
      <c r="H735" s="1">
        <v>1.9462322605020186</v>
      </c>
      <c r="I735" s="1">
        <v>461.81895945134892</v>
      </c>
      <c r="K735" s="1">
        <f t="shared" si="33"/>
        <v>0.4972490931764682</v>
      </c>
      <c r="L735" s="1">
        <f t="shared" si="34"/>
        <v>0.96172371145242919</v>
      </c>
      <c r="M735" s="1">
        <f t="shared" si="35"/>
        <v>227.92822601445249</v>
      </c>
      <c r="N735" s="1">
        <f>SLOPE(K735:K738,F735:F738)</f>
        <v>7.0439415450007953E-2</v>
      </c>
      <c r="O735" s="1">
        <f>SLOPE(L735:L738,F735:F738)</f>
        <v>-3.8055890635133369E-4</v>
      </c>
      <c r="P735" s="1">
        <f>SLOPE(M735:M738,F735:F738)</f>
        <v>15.889359944733012</v>
      </c>
      <c r="Q735" s="1">
        <f>(N735*41.35/0.31*60)/1000</f>
        <v>0.56374254752087016</v>
      </c>
      <c r="R735" s="1">
        <f>O735*41.35/0.31*60/1000</f>
        <v>-3.0456988601859961E-3</v>
      </c>
      <c r="S735" s="1">
        <f>(O735*41.35/0.31*60)/1000</f>
        <v>-3.0456988601859961E-3</v>
      </c>
    </row>
    <row r="736" spans="1:19" x14ac:dyDescent="0.3">
      <c r="A736" s="1">
        <v>736</v>
      </c>
      <c r="C736" s="1" t="s">
        <v>15</v>
      </c>
      <c r="D736" s="1">
        <v>23</v>
      </c>
      <c r="E736" s="1">
        <v>438</v>
      </c>
      <c r="F736" s="1">
        <v>15</v>
      </c>
      <c r="G736" s="1">
        <v>1.3606441281050929</v>
      </c>
      <c r="H736" s="1">
        <v>1.9379808259935296</v>
      </c>
      <c r="I736" s="1">
        <v>827.10030801290782</v>
      </c>
      <c r="K736" s="1">
        <f t="shared" si="33"/>
        <v>1.5688340033248891</v>
      </c>
      <c r="L736" s="1">
        <f t="shared" si="34"/>
        <v>0.9576462945986649</v>
      </c>
      <c r="M736" s="1">
        <f t="shared" si="35"/>
        <v>408.21084124687013</v>
      </c>
      <c r="N736"/>
      <c r="P736" s="1"/>
    </row>
    <row r="737" spans="1:19" x14ac:dyDescent="0.3">
      <c r="A737" s="1">
        <v>737</v>
      </c>
      <c r="C737" s="1" t="s">
        <v>15</v>
      </c>
      <c r="D737" s="1">
        <v>23</v>
      </c>
      <c r="E737" s="1">
        <v>439</v>
      </c>
      <c r="F737" s="1">
        <v>30</v>
      </c>
      <c r="G737" s="1">
        <v>2.2749284124818221</v>
      </c>
      <c r="H737" s="1">
        <v>1.8998179413917682</v>
      </c>
      <c r="I737" s="1">
        <v>1372.4473692436559</v>
      </c>
      <c r="K737" s="1">
        <f t="shared" si="33"/>
        <v>2.6230113921130536</v>
      </c>
      <c r="L737" s="1">
        <f t="shared" si="34"/>
        <v>0.93878824165000507</v>
      </c>
      <c r="M737" s="1">
        <f t="shared" si="35"/>
        <v>677.36390585078004</v>
      </c>
      <c r="N737"/>
      <c r="P737" s="1"/>
    </row>
    <row r="738" spans="1:19" x14ac:dyDescent="0.3">
      <c r="A738" s="1">
        <v>738</v>
      </c>
      <c r="C738" s="1" t="s">
        <v>15</v>
      </c>
      <c r="D738" s="1">
        <v>23</v>
      </c>
      <c r="E738" s="1">
        <v>440</v>
      </c>
      <c r="F738" s="1">
        <v>45</v>
      </c>
      <c r="G738" s="1">
        <v>3.1810936070193061</v>
      </c>
      <c r="H738" s="1">
        <v>1.9204465276629905</v>
      </c>
      <c r="I738" s="1">
        <v>1889.7555519604462</v>
      </c>
      <c r="K738" s="1">
        <f t="shared" si="33"/>
        <v>3.667827402747478</v>
      </c>
      <c r="L738" s="1">
        <f t="shared" si="34"/>
        <v>0.94898178378441578</v>
      </c>
      <c r="M738" s="1">
        <f t="shared" si="35"/>
        <v>932.67853504979973</v>
      </c>
      <c r="N738"/>
      <c r="P738" s="1"/>
    </row>
    <row r="739" spans="1:19" x14ac:dyDescent="0.3">
      <c r="A739" s="1">
        <v>739</v>
      </c>
      <c r="C739" s="1" t="s">
        <v>15</v>
      </c>
      <c r="D739" s="1">
        <v>23</v>
      </c>
      <c r="E739" s="1">
        <v>441</v>
      </c>
      <c r="F739" s="1">
        <v>0</v>
      </c>
      <c r="G739" s="1">
        <v>0.42426479995096505</v>
      </c>
      <c r="H739" s="1">
        <v>1.9431379725613351</v>
      </c>
      <c r="I739" s="1">
        <v>443.99004448511215</v>
      </c>
      <c r="K739" s="1">
        <f t="shared" si="33"/>
        <v>0.48918084518092031</v>
      </c>
      <c r="L739" s="1">
        <f t="shared" si="34"/>
        <v>0.96019468013226761</v>
      </c>
      <c r="M739" s="1">
        <f t="shared" si="35"/>
        <v>219.12886237454336</v>
      </c>
      <c r="N739" s="1">
        <f>SLOPE(K739:K742,F739:F742)</f>
        <v>5.7314033820428673E-3</v>
      </c>
      <c r="O739" s="1">
        <f>SLOPE(L739:L742,F739:F742)</f>
        <v>-1.393117425036176E-4</v>
      </c>
      <c r="P739" s="1">
        <f>SLOPE(M739:M742,F739:F742)</f>
        <v>7.1483297921978748</v>
      </c>
      <c r="Q739" s="1">
        <f>(N739*41.35/0.31*60)/1000</f>
        <v>4.5869715454349529E-2</v>
      </c>
      <c r="R739" s="1">
        <f>O739*41.35/0.31*60/1000</f>
        <v>-1.1149433327466947E-3</v>
      </c>
      <c r="S739" s="1">
        <f>(O739*41.35/0.31*60)/1000</f>
        <v>-1.1149433327466947E-3</v>
      </c>
    </row>
    <row r="740" spans="1:19" x14ac:dyDescent="0.3">
      <c r="A740" s="1">
        <v>740</v>
      </c>
      <c r="C740" s="1" t="s">
        <v>15</v>
      </c>
      <c r="D740" s="1">
        <v>23</v>
      </c>
      <c r="E740" s="1">
        <v>442</v>
      </c>
      <c r="F740" s="1">
        <v>15</v>
      </c>
      <c r="G740" s="1">
        <v>0.52023685127388197</v>
      </c>
      <c r="H740" s="1">
        <v>1.9627351295189965</v>
      </c>
      <c r="I740" s="1">
        <v>745.56734722075907</v>
      </c>
      <c r="K740" s="1">
        <f t="shared" si="33"/>
        <v>0.59983741905958565</v>
      </c>
      <c r="L740" s="1">
        <f t="shared" si="34"/>
        <v>0.96987854515995764</v>
      </c>
      <c r="M740" s="1">
        <f t="shared" si="35"/>
        <v>367.9706935986701</v>
      </c>
      <c r="N740"/>
      <c r="P740" s="1"/>
    </row>
    <row r="741" spans="1:19" x14ac:dyDescent="0.3">
      <c r="A741" s="1">
        <v>741</v>
      </c>
      <c r="C741" s="1" t="s">
        <v>15</v>
      </c>
      <c r="D741" s="1">
        <v>23</v>
      </c>
      <c r="E741" s="1">
        <v>443</v>
      </c>
      <c r="F741" s="1">
        <v>30</v>
      </c>
      <c r="G741" s="1">
        <v>0.59222547546835913</v>
      </c>
      <c r="H741" s="1">
        <v>1.9482951191291407</v>
      </c>
      <c r="I741" s="1">
        <v>938.37717087589681</v>
      </c>
      <c r="K741" s="1">
        <f t="shared" si="33"/>
        <v>0.68284090186309909</v>
      </c>
      <c r="L741" s="1">
        <f t="shared" si="34"/>
        <v>0.9627430656658702</v>
      </c>
      <c r="M741" s="1">
        <f t="shared" si="35"/>
        <v>463.13092936743266</v>
      </c>
      <c r="N741"/>
      <c r="P741" s="1"/>
    </row>
    <row r="742" spans="1:19" x14ac:dyDescent="0.3">
      <c r="A742" s="1">
        <v>742</v>
      </c>
      <c r="C742" s="1" t="s">
        <v>15</v>
      </c>
      <c r="D742" s="1">
        <v>23</v>
      </c>
      <c r="E742" s="1">
        <v>444</v>
      </c>
      <c r="F742" s="1">
        <v>45</v>
      </c>
      <c r="G742" s="1">
        <v>0.64880987608353857</v>
      </c>
      <c r="H742" s="1">
        <v>1.933855108739285</v>
      </c>
      <c r="I742" s="1">
        <v>1103.9029489311779</v>
      </c>
      <c r="K742" s="1">
        <f t="shared" si="33"/>
        <v>0.74808318668189255</v>
      </c>
      <c r="L742" s="1">
        <f t="shared" si="34"/>
        <v>0.95560758617178254</v>
      </c>
      <c r="M742" s="1">
        <f t="shared" si="35"/>
        <v>544.82527339484955</v>
      </c>
      <c r="N742"/>
      <c r="P742" s="1"/>
    </row>
    <row r="743" spans="1:19" x14ac:dyDescent="0.3">
      <c r="A743" s="1">
        <v>743</v>
      </c>
      <c r="C743" s="1" t="s">
        <v>15</v>
      </c>
      <c r="D743" s="1">
        <v>23</v>
      </c>
      <c r="E743" s="1">
        <v>445</v>
      </c>
      <c r="F743" s="1">
        <v>0</v>
      </c>
      <c r="G743" s="1">
        <v>0.41579103912700799</v>
      </c>
      <c r="H743" s="1">
        <v>1.9813008571630968</v>
      </c>
      <c r="I743" s="1">
        <v>511.6883762659582</v>
      </c>
      <c r="K743" s="1">
        <f t="shared" si="33"/>
        <v>0.47941052843014725</v>
      </c>
      <c r="L743" s="1">
        <f t="shared" si="34"/>
        <v>0.97905273308092733</v>
      </c>
      <c r="M743" s="1">
        <f t="shared" si="35"/>
        <v>252.54100440803128</v>
      </c>
      <c r="N743" s="1">
        <f>SLOPE(K743:K746,F743:F746)</f>
        <v>3.3272865272598803E-3</v>
      </c>
      <c r="O743" s="1">
        <f>SLOPE(L743:L746,F743:F746)</f>
        <v>-6.3539745971159887E-4</v>
      </c>
      <c r="P743" s="1">
        <f>SLOPE(M743:M746,F743:F746)</f>
        <v>5.4935840878146163</v>
      </c>
      <c r="Q743" s="1">
        <f>(N743*41.35/0.31*60)/1000</f>
        <v>2.6629025400425048E-2</v>
      </c>
      <c r="R743" s="1">
        <f>O743*41.35/0.31*60/1000</f>
        <v>-5.0852293469176666E-3</v>
      </c>
      <c r="S743" s="1">
        <f>(O743*41.35/0.31*60)/1000</f>
        <v>-5.0852293469176666E-3</v>
      </c>
    </row>
    <row r="744" spans="1:19" x14ac:dyDescent="0.3">
      <c r="A744" s="1">
        <v>744</v>
      </c>
      <c r="C744" s="1" t="s">
        <v>15</v>
      </c>
      <c r="D744" s="1">
        <v>23</v>
      </c>
      <c r="E744" s="1">
        <v>446</v>
      </c>
      <c r="F744" s="1">
        <v>15</v>
      </c>
      <c r="G744" s="1">
        <v>0.47575919265039673</v>
      </c>
      <c r="H744" s="1">
        <v>1.9596408415783131</v>
      </c>
      <c r="I744" s="1">
        <v>709.89300818445338</v>
      </c>
      <c r="K744" s="1">
        <f t="shared" si="33"/>
        <v>0.54855430851254139</v>
      </c>
      <c r="L744" s="1">
        <f t="shared" si="34"/>
        <v>0.96834951383979606</v>
      </c>
      <c r="M744" s="1">
        <f t="shared" si="35"/>
        <v>350.36381834079128</v>
      </c>
      <c r="N744"/>
      <c r="P744" s="1"/>
    </row>
    <row r="745" spans="1:19" x14ac:dyDescent="0.3">
      <c r="A745" s="1">
        <v>745</v>
      </c>
      <c r="C745" s="1" t="s">
        <v>15</v>
      </c>
      <c r="D745" s="1">
        <v>23</v>
      </c>
      <c r="E745" s="1">
        <v>447</v>
      </c>
      <c r="F745" s="1">
        <v>30</v>
      </c>
      <c r="G745" s="1">
        <v>0.50708526773262719</v>
      </c>
      <c r="H745" s="1">
        <v>1.9462322605020186</v>
      </c>
      <c r="I745" s="1">
        <v>851.16691271037439</v>
      </c>
      <c r="K745" s="1">
        <f t="shared" si="33"/>
        <v>0.58467353378576126</v>
      </c>
      <c r="L745" s="1">
        <f t="shared" si="34"/>
        <v>0.96172371145242919</v>
      </c>
      <c r="M745" s="1">
        <f t="shared" si="35"/>
        <v>420.08878259731074</v>
      </c>
      <c r="N745"/>
      <c r="P745" s="1"/>
    </row>
    <row r="746" spans="1:19" x14ac:dyDescent="0.3">
      <c r="A746" s="1">
        <v>746</v>
      </c>
      <c r="C746" s="1" t="s">
        <v>15</v>
      </c>
      <c r="D746" s="1">
        <v>23</v>
      </c>
      <c r="E746" s="1">
        <v>448</v>
      </c>
      <c r="F746" s="1">
        <v>45</v>
      </c>
      <c r="G746" s="1">
        <v>0.54963620019591408</v>
      </c>
      <c r="H746" s="1">
        <v>1.9214779569765517</v>
      </c>
      <c r="I746" s="1">
        <v>1021.1409770759725</v>
      </c>
      <c r="K746" s="1">
        <f t="shared" si="33"/>
        <v>0.63373511303540131</v>
      </c>
      <c r="L746" s="1">
        <f t="shared" si="34"/>
        <v>0.94949146089113634</v>
      </c>
      <c r="M746" s="1">
        <f t="shared" si="35"/>
        <v>503.97855404658895</v>
      </c>
      <c r="N746"/>
      <c r="P746" s="1"/>
    </row>
    <row r="747" spans="1:19" x14ac:dyDescent="0.3">
      <c r="A747" s="1">
        <v>747</v>
      </c>
      <c r="C747" s="1" t="s">
        <v>15</v>
      </c>
      <c r="D747" s="1">
        <v>23</v>
      </c>
      <c r="E747" s="1">
        <v>449</v>
      </c>
      <c r="F747" s="1">
        <v>0</v>
      </c>
      <c r="G747" s="1">
        <v>0.41139120177610722</v>
      </c>
      <c r="H747" s="1">
        <v>1.9813008571630968</v>
      </c>
      <c r="I747" s="1">
        <v>448.19619727255809</v>
      </c>
      <c r="K747" s="1">
        <f t="shared" si="33"/>
        <v>0.47433747934801512</v>
      </c>
      <c r="L747" s="1">
        <f t="shared" si="34"/>
        <v>0.97905273308092733</v>
      </c>
      <c r="M747" s="1">
        <f t="shared" si="35"/>
        <v>221.20478611818365</v>
      </c>
      <c r="N747" s="1">
        <f>SLOPE(K747:K750,F747:F750)</f>
        <v>3.9403996922914202E-3</v>
      </c>
      <c r="O747" s="1">
        <f>SLOPE(L747:L750,F747:F750)</f>
        <v>-7.3733288105570782E-4</v>
      </c>
      <c r="P747" s="1">
        <f>SLOPE(M747:M750,F747:F750)</f>
        <v>8.7722399262765638</v>
      </c>
      <c r="Q747" s="1">
        <f>(N747*41.35/0.31*60)/1000</f>
        <v>3.1535908505080694E-2</v>
      </c>
      <c r="R747" s="1">
        <f>O747*41.35/0.31*60/1000</f>
        <v>-5.9010415416103582E-3</v>
      </c>
      <c r="S747" s="1">
        <f>(O747*41.35/0.31*60)/1000</f>
        <v>-5.9010415416103582E-3</v>
      </c>
    </row>
    <row r="748" spans="1:19" x14ac:dyDescent="0.3">
      <c r="A748" s="1">
        <v>748</v>
      </c>
      <c r="C748" s="1" t="s">
        <v>15</v>
      </c>
      <c r="D748" s="1">
        <v>23</v>
      </c>
      <c r="E748" s="1">
        <v>450</v>
      </c>
      <c r="F748" s="1">
        <v>15</v>
      </c>
      <c r="G748" s="1">
        <v>0.46187909573513669</v>
      </c>
      <c r="H748" s="1">
        <v>1.9617037002054354</v>
      </c>
      <c r="I748" s="1">
        <v>727.82556363585832</v>
      </c>
      <c r="K748" s="1">
        <f t="shared" si="33"/>
        <v>0.53255044125561901</v>
      </c>
      <c r="L748" s="1">
        <f t="shared" si="34"/>
        <v>0.96936886805323719</v>
      </c>
      <c r="M748" s="1">
        <f t="shared" si="35"/>
        <v>359.21433317630255</v>
      </c>
      <c r="N748"/>
      <c r="P748" s="1"/>
    </row>
    <row r="749" spans="1:19" x14ac:dyDescent="0.3">
      <c r="A749" s="1">
        <v>749</v>
      </c>
      <c r="C749" s="1" t="s">
        <v>15</v>
      </c>
      <c r="D749" s="1">
        <v>23</v>
      </c>
      <c r="E749" s="1">
        <v>451</v>
      </c>
      <c r="F749" s="1">
        <v>30</v>
      </c>
      <c r="G749" s="1">
        <v>0.51533855740392476</v>
      </c>
      <c r="H749" s="1">
        <v>1.9359179673664073</v>
      </c>
      <c r="I749" s="1">
        <v>983.78270944879227</v>
      </c>
      <c r="K749" s="1">
        <f t="shared" si="33"/>
        <v>0.59418964546270203</v>
      </c>
      <c r="L749" s="1">
        <f t="shared" si="34"/>
        <v>0.95662694038522378</v>
      </c>
      <c r="M749" s="1">
        <f t="shared" si="35"/>
        <v>485.5405850265376</v>
      </c>
      <c r="N749"/>
      <c r="P749" s="1"/>
    </row>
    <row r="750" spans="1:19" x14ac:dyDescent="0.3">
      <c r="A750" s="1">
        <v>750</v>
      </c>
      <c r="C750" s="1" t="s">
        <v>15</v>
      </c>
      <c r="D750" s="1">
        <v>23</v>
      </c>
      <c r="E750" s="1">
        <v>452</v>
      </c>
      <c r="F750" s="1">
        <v>45</v>
      </c>
      <c r="G750" s="1">
        <v>0.56444611023325986</v>
      </c>
      <c r="H750" s="1">
        <v>1.915289381095185</v>
      </c>
      <c r="I750" s="1">
        <v>1251.5750483644745</v>
      </c>
      <c r="K750" s="1">
        <f t="shared" si="33"/>
        <v>0.65081106256022514</v>
      </c>
      <c r="L750" s="1">
        <f t="shared" si="34"/>
        <v>0.94643339825081307</v>
      </c>
      <c r="M750" s="1">
        <f t="shared" si="35"/>
        <v>617.70803181526685</v>
      </c>
      <c r="N750"/>
      <c r="P750" s="1"/>
    </row>
    <row r="751" spans="1:19" x14ac:dyDescent="0.3">
      <c r="A751" s="1">
        <v>751</v>
      </c>
      <c r="C751" s="1" t="s">
        <v>15</v>
      </c>
      <c r="D751" s="1">
        <v>23</v>
      </c>
      <c r="E751" s="1">
        <v>453</v>
      </c>
      <c r="F751" s="1">
        <v>0</v>
      </c>
      <c r="G751" s="1">
        <v>0.41664416663077741</v>
      </c>
      <c r="H751" s="1">
        <v>1.974080851968169</v>
      </c>
      <c r="I751" s="1">
        <v>438.89790312534325</v>
      </c>
      <c r="K751" s="1">
        <f t="shared" si="33"/>
        <v>0.48039419154193319</v>
      </c>
      <c r="L751" s="1">
        <f t="shared" si="34"/>
        <v>0.97548499333388361</v>
      </c>
      <c r="M751" s="1">
        <f t="shared" si="35"/>
        <v>216.61566380832207</v>
      </c>
      <c r="N751" s="1">
        <f>SLOPE(K751:K754,F751:F754)</f>
        <v>1.1312199468168841E-2</v>
      </c>
      <c r="O751" s="1">
        <f>SLOPE(L751:L754,F751:F754)</f>
        <v>-9.7858004490342771E-4</v>
      </c>
      <c r="P751" s="1">
        <f>SLOPE(M751:M754,F751:F754)</f>
        <v>10.786724897570895</v>
      </c>
      <c r="Q751" s="1">
        <f>(N751*41.35/0.31*60)/1000</f>
        <v>9.0534086711377068E-2</v>
      </c>
      <c r="R751" s="1">
        <f>O751*41.35/0.31*60/1000</f>
        <v>-7.831797069049691E-3</v>
      </c>
      <c r="S751" s="1">
        <f>(O751*41.35/0.31*60)/1000</f>
        <v>-7.831797069049691E-3</v>
      </c>
    </row>
    <row r="752" spans="1:19" x14ac:dyDescent="0.3">
      <c r="A752" s="1">
        <v>752</v>
      </c>
      <c r="C752" s="1" t="s">
        <v>15</v>
      </c>
      <c r="D752" s="1">
        <v>23</v>
      </c>
      <c r="E752" s="1">
        <v>454</v>
      </c>
      <c r="F752" s="1">
        <v>15</v>
      </c>
      <c r="G752" s="1">
        <v>0.57799070756838589</v>
      </c>
      <c r="H752" s="1">
        <v>1.9555151243240687</v>
      </c>
      <c r="I752" s="1">
        <v>849.34540825423244</v>
      </c>
      <c r="K752" s="1">
        <f t="shared" si="33"/>
        <v>0.66642809600914199</v>
      </c>
      <c r="L752" s="1">
        <f t="shared" si="34"/>
        <v>0.96631080541291403</v>
      </c>
      <c r="M752" s="1">
        <f t="shared" si="35"/>
        <v>419.1897890179672</v>
      </c>
      <c r="N752"/>
      <c r="P752" s="1"/>
    </row>
    <row r="753" spans="3:19" x14ac:dyDescent="0.3">
      <c r="C753" s="1" t="s">
        <v>15</v>
      </c>
      <c r="D753" s="1">
        <v>23</v>
      </c>
      <c r="E753" s="1">
        <v>455</v>
      </c>
      <c r="F753" s="1">
        <v>30</v>
      </c>
      <c r="G753" s="1">
        <v>0.71560304963708277</v>
      </c>
      <c r="H753" s="1">
        <v>1.9091008052138183</v>
      </c>
      <c r="I753" s="1">
        <v>1115.5592934090782</v>
      </c>
      <c r="K753" s="1">
        <f t="shared" si="33"/>
        <v>0.82509627165857446</v>
      </c>
      <c r="L753" s="1">
        <f t="shared" si="34"/>
        <v>0.94337533561049003</v>
      </c>
      <c r="M753" s="1">
        <f t="shared" si="35"/>
        <v>550.57819857102152</v>
      </c>
      <c r="N753"/>
      <c r="P753" s="1"/>
    </row>
    <row r="754" spans="3:19" x14ac:dyDescent="0.3">
      <c r="C754" s="1" t="s">
        <v>15</v>
      </c>
      <c r="D754" s="1">
        <v>23</v>
      </c>
      <c r="E754" s="1">
        <v>456</v>
      </c>
      <c r="F754" s="1">
        <v>45</v>
      </c>
      <c r="G754" s="1">
        <v>0.8613248958427342</v>
      </c>
      <c r="H754" s="1">
        <v>1.8905350775697178</v>
      </c>
      <c r="I754" s="1">
        <v>1442.9412426067381</v>
      </c>
      <c r="K754" s="1">
        <f t="shared" si="33"/>
        <v>0.99311477306723106</v>
      </c>
      <c r="L754" s="1">
        <f t="shared" si="34"/>
        <v>0.93420114768952023</v>
      </c>
      <c r="M754" s="1">
        <f t="shared" si="35"/>
        <v>712.155772169182</v>
      </c>
      <c r="N754"/>
      <c r="P754" s="1"/>
    </row>
    <row r="755" spans="3:19" x14ac:dyDescent="0.3">
      <c r="C755" s="1" t="s">
        <v>15</v>
      </c>
      <c r="D755" s="1">
        <v>23</v>
      </c>
      <c r="E755" s="1">
        <v>457</v>
      </c>
      <c r="F755" s="1">
        <v>0</v>
      </c>
      <c r="G755" s="1">
        <v>0.4440976179880321</v>
      </c>
      <c r="H755" s="1">
        <v>1.9513894070698243</v>
      </c>
      <c r="I755" s="1">
        <v>448.63827438628437</v>
      </c>
      <c r="K755" s="1">
        <f t="shared" si="33"/>
        <v>0.51204824943131566</v>
      </c>
      <c r="L755" s="1">
        <f t="shared" si="34"/>
        <v>0.96427209698603189</v>
      </c>
      <c r="M755" s="1">
        <f t="shared" si="35"/>
        <v>221.4229708640263</v>
      </c>
      <c r="N755" s="1">
        <f>SLOPE(K755:K758,F755:F758)</f>
        <v>7.9821866835953926E-3</v>
      </c>
      <c r="O755" s="1">
        <f>SLOPE(L755:L758,F755:F758)</f>
        <v>-1.0873111610038381E-4</v>
      </c>
      <c r="P755" s="1">
        <f>SLOPE(M755:M758,F755:F758)</f>
        <v>5.7287739656465755</v>
      </c>
      <c r="Q755" s="1">
        <f>(N755*41.35/0.31*60)/1000</f>
        <v>6.3883242458065065E-2</v>
      </c>
      <c r="R755" s="1">
        <f>O755*41.35/0.31*60/1000</f>
        <v>-8.7019967433887824E-4</v>
      </c>
      <c r="S755" s="1">
        <f>(O755*41.35/0.31*60)/1000</f>
        <v>-8.7019967433887824E-4</v>
      </c>
    </row>
    <row r="756" spans="3:19" x14ac:dyDescent="0.3">
      <c r="C756" s="1" t="s">
        <v>15</v>
      </c>
      <c r="D756" s="1">
        <v>23</v>
      </c>
      <c r="E756" s="1">
        <v>458</v>
      </c>
      <c r="F756" s="1">
        <v>15</v>
      </c>
      <c r="G756" s="1">
        <v>0.60918258281856286</v>
      </c>
      <c r="H756" s="1">
        <v>1.9390122553070905</v>
      </c>
      <c r="I756" s="1">
        <v>719.72051082673056</v>
      </c>
      <c r="K756" s="1">
        <f t="shared" si="33"/>
        <v>0.70239258775915969</v>
      </c>
      <c r="L756" s="1">
        <f t="shared" si="34"/>
        <v>0.95815597170538525</v>
      </c>
      <c r="M756" s="1">
        <f t="shared" si="35"/>
        <v>355.21412861403707</v>
      </c>
      <c r="N756"/>
      <c r="P756" s="1"/>
    </row>
    <row r="757" spans="3:19" x14ac:dyDescent="0.3">
      <c r="C757" s="1" t="s">
        <v>15</v>
      </c>
      <c r="D757" s="1">
        <v>23</v>
      </c>
      <c r="E757" s="1">
        <v>459</v>
      </c>
      <c r="F757" s="1">
        <v>30</v>
      </c>
      <c r="G757" s="1">
        <v>0.71847876032394609</v>
      </c>
      <c r="H757" s="1">
        <v>1.933855108739285</v>
      </c>
      <c r="I757" s="1">
        <v>910.54740767714566</v>
      </c>
      <c r="K757" s="1">
        <f t="shared" si="33"/>
        <v>0.82841199001290922</v>
      </c>
      <c r="L757" s="1">
        <f t="shared" si="34"/>
        <v>0.95560758617178254</v>
      </c>
      <c r="M757" s="1">
        <f t="shared" si="35"/>
        <v>449.39570168464218</v>
      </c>
      <c r="N757"/>
      <c r="P757" s="1"/>
    </row>
    <row r="758" spans="3:19" x14ac:dyDescent="0.3">
      <c r="C758" s="1" t="s">
        <v>15</v>
      </c>
      <c r="D758" s="1">
        <v>23</v>
      </c>
      <c r="E758" s="1">
        <v>460</v>
      </c>
      <c r="F758" s="1">
        <v>45</v>
      </c>
      <c r="G758" s="1">
        <v>0.75381165896320612</v>
      </c>
      <c r="H758" s="1">
        <v>1.942106543247774</v>
      </c>
      <c r="I758" s="1">
        <v>965.39982233174499</v>
      </c>
      <c r="K758" s="1">
        <f t="shared" si="33"/>
        <v>0.86915111619316887</v>
      </c>
      <c r="L758" s="1">
        <f t="shared" si="34"/>
        <v>0.95968500302554693</v>
      </c>
      <c r="M758" s="1">
        <f t="shared" si="35"/>
        <v>476.46781145615336</v>
      </c>
      <c r="N758"/>
      <c r="P758" s="1"/>
    </row>
    <row r="759" spans="3:19" x14ac:dyDescent="0.3">
      <c r="C759" s="1" t="s">
        <v>15</v>
      </c>
      <c r="D759" s="1">
        <v>23</v>
      </c>
      <c r="E759" s="1">
        <v>461</v>
      </c>
      <c r="F759" s="1">
        <v>0</v>
      </c>
      <c r="G759" s="1">
        <v>0.44960939680452006</v>
      </c>
      <c r="H759" s="1">
        <v>1.9555151243240687</v>
      </c>
      <c r="I759" s="1">
        <v>643.48880670955714</v>
      </c>
      <c r="K759" s="1">
        <f t="shared" si="33"/>
        <v>0.51840337627712396</v>
      </c>
      <c r="L759" s="1">
        <f t="shared" si="34"/>
        <v>0.96631080541291403</v>
      </c>
      <c r="M759" s="1">
        <f t="shared" si="35"/>
        <v>317.59038725415814</v>
      </c>
      <c r="N759" s="1">
        <f>SLOPE(K759:K762,F759:F762)</f>
        <v>2.2545263791614225E-2</v>
      </c>
      <c r="O759" s="1">
        <f>SLOPE(L759:L762,F759:F762)</f>
        <v>-4.5870939604848298E-4</v>
      </c>
      <c r="P759" s="1">
        <f>SLOPE(M759:M762,F759:F762)</f>
        <v>4.9884335902198602</v>
      </c>
      <c r="Q759" s="1">
        <f>(N759*41.35/0.31*60)/1000</f>
        <v>0.1804348369903061</v>
      </c>
      <c r="R759" s="1">
        <f>O759*41.35/0.31*60/1000</f>
        <v>-3.6711548761170529E-3</v>
      </c>
      <c r="S759" s="1">
        <f>(O759*41.35/0.31*60)/1000</f>
        <v>-3.6711548761170529E-3</v>
      </c>
    </row>
    <row r="760" spans="3:19" x14ac:dyDescent="0.3">
      <c r="C760" s="1" t="s">
        <v>15</v>
      </c>
      <c r="D760" s="1">
        <v>23</v>
      </c>
      <c r="E760" s="1">
        <v>462</v>
      </c>
      <c r="F760" s="1">
        <v>15</v>
      </c>
      <c r="G760" s="1">
        <v>0.80683976402896485</v>
      </c>
      <c r="H760" s="1">
        <v>1.9482951191291407</v>
      </c>
      <c r="I760" s="1">
        <v>795.61469548778109</v>
      </c>
      <c r="K760" s="1">
        <f t="shared" si="33"/>
        <v>0.93029296264710193</v>
      </c>
      <c r="L760" s="1">
        <f t="shared" si="34"/>
        <v>0.9627430656658702</v>
      </c>
      <c r="M760" s="1">
        <f t="shared" si="35"/>
        <v>392.67128908912332</v>
      </c>
      <c r="N760"/>
      <c r="P760" s="1"/>
    </row>
    <row r="761" spans="3:19" x14ac:dyDescent="0.3">
      <c r="C761" s="1" t="s">
        <v>15</v>
      </c>
      <c r="D761" s="1">
        <v>23</v>
      </c>
      <c r="E761" s="1">
        <v>463</v>
      </c>
      <c r="F761" s="1">
        <v>30</v>
      </c>
      <c r="G761" s="1">
        <v>1.0952064460053237</v>
      </c>
      <c r="H761" s="1">
        <v>1.9452008311884577</v>
      </c>
      <c r="I761" s="1">
        <v>955.24305478526082</v>
      </c>
      <c r="K761" s="1">
        <f t="shared" si="33"/>
        <v>1.2627821468252767</v>
      </c>
      <c r="L761" s="1">
        <f t="shared" si="34"/>
        <v>0.96121403434570873</v>
      </c>
      <c r="M761" s="1">
        <f t="shared" si="35"/>
        <v>471.45499428714498</v>
      </c>
      <c r="N761"/>
      <c r="P761" s="1"/>
    </row>
    <row r="762" spans="3:19" x14ac:dyDescent="0.3">
      <c r="C762" s="1" t="s">
        <v>15</v>
      </c>
      <c r="D762" s="1">
        <v>23</v>
      </c>
      <c r="E762" s="1">
        <v>464</v>
      </c>
      <c r="F762" s="1">
        <v>45</v>
      </c>
      <c r="G762" s="1">
        <v>1.331158507862455</v>
      </c>
      <c r="H762" s="1">
        <v>1.9101322345273792</v>
      </c>
      <c r="I762" s="1">
        <v>1095.6474798426912</v>
      </c>
      <c r="K762" s="1">
        <f t="shared" si="33"/>
        <v>1.5348368377984436</v>
      </c>
      <c r="L762" s="1">
        <f t="shared" si="34"/>
        <v>0.94388501271721037</v>
      </c>
      <c r="M762" s="1">
        <f t="shared" si="35"/>
        <v>540.75083169914399</v>
      </c>
      <c r="N762"/>
      <c r="P762" s="1"/>
    </row>
    <row r="763" spans="3:19" x14ac:dyDescent="0.3">
      <c r="C763" s="1" t="s">
        <v>15</v>
      </c>
      <c r="D763" s="1">
        <v>23</v>
      </c>
      <c r="E763" s="1">
        <v>465</v>
      </c>
      <c r="F763" s="1">
        <v>0</v>
      </c>
      <c r="G763" s="1">
        <v>0.4664610614295388</v>
      </c>
      <c r="H763" s="1">
        <v>1.9482951191291407</v>
      </c>
      <c r="I763" s="1">
        <v>459.85254175045833</v>
      </c>
      <c r="K763" s="1">
        <f t="shared" si="33"/>
        <v>0.53783348583352575</v>
      </c>
      <c r="L763" s="1">
        <f t="shared" si="34"/>
        <v>0.9627430656658702</v>
      </c>
      <c r="M763" s="1">
        <f t="shared" si="35"/>
        <v>226.95771129435548</v>
      </c>
      <c r="N763" s="1">
        <f>SLOPE(K763:K766,F763:F766)</f>
        <v>1.3499099929427851E-2</v>
      </c>
      <c r="O763" s="1">
        <f>SLOPE(L763:L766,F763:F766)</f>
        <v>-2.480428586039925E-4</v>
      </c>
      <c r="P763" s="1">
        <f>SLOPE(M763:M766,F763:F766)</f>
        <v>7.3757489131758245</v>
      </c>
      <c r="Q763" s="1">
        <f>(N763*41.35/0.31*60)/1000</f>
        <v>0.10803634491906612</v>
      </c>
      <c r="R763" s="1">
        <f>O763*41.35/0.31*60/1000</f>
        <v>-1.9851430070855014E-3</v>
      </c>
      <c r="S763" s="1">
        <f>(O763*41.35/0.31*60)/1000</f>
        <v>-1.9851430070855014E-3</v>
      </c>
    </row>
    <row r="764" spans="3:19" x14ac:dyDescent="0.3">
      <c r="C764" s="1" t="s">
        <v>15</v>
      </c>
      <c r="D764" s="1">
        <v>23</v>
      </c>
      <c r="E764" s="1">
        <v>466</v>
      </c>
      <c r="F764" s="1">
        <v>15</v>
      </c>
      <c r="G764" s="1">
        <v>0.61594050293269154</v>
      </c>
      <c r="H764" s="1">
        <v>1.9369493966799685</v>
      </c>
      <c r="I764" s="1">
        <v>697.16540630233669</v>
      </c>
      <c r="K764" s="1">
        <f t="shared" si="33"/>
        <v>0.71018452589184644</v>
      </c>
      <c r="L764" s="1">
        <f t="shared" si="34"/>
        <v>0.95713661749194434</v>
      </c>
      <c r="M764" s="1">
        <f t="shared" si="35"/>
        <v>344.08217992158154</v>
      </c>
      <c r="N764"/>
      <c r="P764" s="1"/>
    </row>
    <row r="765" spans="3:19" x14ac:dyDescent="0.3">
      <c r="C765" s="1" t="s">
        <v>15</v>
      </c>
      <c r="D765" s="1">
        <v>23</v>
      </c>
      <c r="E765" s="1">
        <v>467</v>
      </c>
      <c r="F765" s="1">
        <v>30</v>
      </c>
      <c r="G765" s="1">
        <v>0.84659167142370484</v>
      </c>
      <c r="H765" s="1">
        <v>1.9452008311884577</v>
      </c>
      <c r="I765" s="1">
        <v>957.3021069020981</v>
      </c>
      <c r="K765" s="1">
        <f t="shared" si="33"/>
        <v>0.97612724269852269</v>
      </c>
      <c r="L765" s="1">
        <f t="shared" si="34"/>
        <v>0.96121403434570873</v>
      </c>
      <c r="M765" s="1">
        <f t="shared" si="35"/>
        <v>472.47122821747041</v>
      </c>
      <c r="N765"/>
      <c r="P765" s="1"/>
    </row>
    <row r="766" spans="3:19" x14ac:dyDescent="0.3">
      <c r="C766" s="1" t="s">
        <v>15</v>
      </c>
      <c r="D766" s="1">
        <v>23</v>
      </c>
      <c r="E766" s="1">
        <v>468</v>
      </c>
      <c r="F766" s="1">
        <v>45</v>
      </c>
      <c r="G766" s="1">
        <v>0.97496339648528096</v>
      </c>
      <c r="H766" s="1">
        <v>1.9204465276629905</v>
      </c>
      <c r="I766" s="1">
        <v>1120.3625254517854</v>
      </c>
      <c r="K766" s="1">
        <f t="shared" si="33"/>
        <v>1.1241409100360262</v>
      </c>
      <c r="L766" s="1">
        <f t="shared" si="34"/>
        <v>0.94898178378441578</v>
      </c>
      <c r="M766" s="1">
        <f t="shared" si="35"/>
        <v>552.94880752118377</v>
      </c>
      <c r="N766"/>
      <c r="P766" s="1"/>
    </row>
    <row r="767" spans="3:19" x14ac:dyDescent="0.3">
      <c r="C767" s="1" t="s">
        <v>15</v>
      </c>
      <c r="D767" s="1">
        <v>23</v>
      </c>
      <c r="E767" s="1">
        <v>469</v>
      </c>
      <c r="F767" s="1">
        <v>0</v>
      </c>
      <c r="G767" s="1">
        <v>0.43094603444677748</v>
      </c>
      <c r="H767" s="1">
        <v>1.9596408415783131</v>
      </c>
      <c r="I767" s="1">
        <v>424.9486275596509</v>
      </c>
      <c r="K767" s="1">
        <f t="shared" si="33"/>
        <v>0.49688436415749149</v>
      </c>
      <c r="L767" s="1">
        <f t="shared" si="34"/>
        <v>0.96834951383979606</v>
      </c>
      <c r="M767" s="1">
        <f t="shared" si="35"/>
        <v>209.73107501263414</v>
      </c>
      <c r="N767" s="1">
        <f>SLOPE(K767:K770,F767:F770)</f>
        <v>1.6560318479409891E-2</v>
      </c>
      <c r="O767" s="1">
        <f>SLOPE(L767:L770,F767:F770)</f>
        <v>-7.7810704959334548E-4</v>
      </c>
      <c r="P767" s="1">
        <f>SLOPE(M767:M770,F767:F770)</f>
        <v>8.0217206138135069</v>
      </c>
      <c r="Q767" s="1">
        <f>(N767*41.35/0.31*60)/1000</f>
        <v>0.13253596821747077</v>
      </c>
      <c r="R767" s="1">
        <f>O767*41.35/0.31*60/1000</f>
        <v>-6.2273664194873873E-3</v>
      </c>
      <c r="S767" s="1">
        <f>(O767*41.35/0.31*60)/1000</f>
        <v>-6.2273664194873873E-3</v>
      </c>
    </row>
    <row r="768" spans="3:19" x14ac:dyDescent="0.3">
      <c r="C768" s="1" t="s">
        <v>15</v>
      </c>
      <c r="D768" s="1">
        <v>23</v>
      </c>
      <c r="E768" s="1">
        <v>470</v>
      </c>
      <c r="F768" s="1">
        <v>15</v>
      </c>
      <c r="G768" s="1">
        <v>0.61295934952064324</v>
      </c>
      <c r="H768" s="1">
        <v>1.9699551347139244</v>
      </c>
      <c r="I768" s="1">
        <v>625.01970538360888</v>
      </c>
      <c r="K768" s="1">
        <f t="shared" si="33"/>
        <v>0.70674723119785254</v>
      </c>
      <c r="L768" s="1">
        <f t="shared" si="34"/>
        <v>0.97344628490700147</v>
      </c>
      <c r="M768" s="1">
        <f t="shared" si="35"/>
        <v>308.4750631316802</v>
      </c>
      <c r="N768"/>
      <c r="P768" s="1"/>
    </row>
    <row r="769" spans="3:19" x14ac:dyDescent="0.3">
      <c r="C769" s="1" t="s">
        <v>15</v>
      </c>
      <c r="D769" s="1">
        <v>23</v>
      </c>
      <c r="E769" s="1">
        <v>471</v>
      </c>
      <c r="F769" s="1">
        <v>30</v>
      </c>
      <c r="G769" s="1">
        <v>0.89010117411594603</v>
      </c>
      <c r="H769" s="1">
        <v>1.9317922501121629</v>
      </c>
      <c r="I769" s="1">
        <v>935.72654253840903</v>
      </c>
      <c r="K769" s="1">
        <f t="shared" si="33"/>
        <v>1.0262940613996077</v>
      </c>
      <c r="L769" s="1">
        <f t="shared" si="34"/>
        <v>0.95458823195834175</v>
      </c>
      <c r="M769" s="1">
        <f t="shared" si="35"/>
        <v>461.82272622327207</v>
      </c>
      <c r="N769"/>
      <c r="P769" s="1"/>
    </row>
    <row r="770" spans="3:19" x14ac:dyDescent="0.3">
      <c r="C770" s="1" t="s">
        <v>15</v>
      </c>
      <c r="D770" s="1">
        <v>23</v>
      </c>
      <c r="E770" s="1">
        <v>472</v>
      </c>
      <c r="F770" s="1">
        <v>45</v>
      </c>
      <c r="G770" s="1">
        <v>1.0567006799082248</v>
      </c>
      <c r="H770" s="1">
        <v>1.8936293655104015</v>
      </c>
      <c r="I770" s="1">
        <v>1134.0439866664235</v>
      </c>
      <c r="K770" s="1">
        <f t="shared" si="33"/>
        <v>1.2183846780607346</v>
      </c>
      <c r="L770" s="1">
        <f t="shared" si="34"/>
        <v>0.93573017900968203</v>
      </c>
      <c r="M770" s="1">
        <f t="shared" si="35"/>
        <v>559.70121800611219</v>
      </c>
      <c r="N770"/>
      <c r="P770" s="1"/>
    </row>
    <row r="771" spans="3:19" x14ac:dyDescent="0.3">
      <c r="C771" s="1" t="s">
        <v>15</v>
      </c>
      <c r="D771" s="1">
        <v>23</v>
      </c>
      <c r="E771" s="1">
        <v>473</v>
      </c>
      <c r="F771" s="1">
        <v>0</v>
      </c>
      <c r="G771" s="1">
        <v>0.42906723679802677</v>
      </c>
      <c r="H771" s="1">
        <v>1.9214779569765517</v>
      </c>
      <c r="I771" s="1">
        <v>439.45554396589438</v>
      </c>
      <c r="K771" s="1">
        <f t="shared" ref="K771:K834" si="36">(G771*28*1)/(0.082*(D771+273.15))</f>
        <v>0.49471809483265938</v>
      </c>
      <c r="L771" s="1">
        <f t="shared" ref="L771:L834" si="37">(H771*12*1)/(0.082*(D771+273.15))</f>
        <v>0.94949146089113634</v>
      </c>
      <c r="M771" s="1">
        <f t="shared" ref="M771:M834" si="38">(I771*12*1)/(0.0821*(D771+273.15))</f>
        <v>216.89088440058842</v>
      </c>
      <c r="N771" s="1">
        <f>SLOPE(K771:K774,F771:F774)</f>
        <v>1.7374658907234511E-2</v>
      </c>
      <c r="O771" s="1">
        <f>SLOPE(L771:L774,F771:F774)</f>
        <v>-1.0533326872224451E-4</v>
      </c>
      <c r="P771" s="1">
        <f>SLOPE(M771:M774,F771:F774)</f>
        <v>8.4199605859453417</v>
      </c>
      <c r="Q771" s="1">
        <f>(N771*41.35/0.31*60)/1000</f>
        <v>0.13905331854467359</v>
      </c>
      <c r="R771" s="1">
        <f>O771*41.35/0.31*60/1000</f>
        <v>-8.4300593451576975E-4</v>
      </c>
      <c r="S771" s="1">
        <f>(O771*41.35/0.31*60)/1000</f>
        <v>-8.4300593451576975E-4</v>
      </c>
    </row>
    <row r="772" spans="3:19" x14ac:dyDescent="0.3">
      <c r="C772" s="1" t="s">
        <v>15</v>
      </c>
      <c r="D772" s="1">
        <v>23</v>
      </c>
      <c r="E772" s="1">
        <v>474</v>
      </c>
      <c r="F772" s="1">
        <v>15</v>
      </c>
      <c r="G772" s="1">
        <v>0.61084090931465396</v>
      </c>
      <c r="H772" s="1">
        <v>1.9286979621714793</v>
      </c>
      <c r="I772" s="1">
        <v>643.45487132945789</v>
      </c>
      <c r="K772" s="1">
        <f t="shared" si="36"/>
        <v>0.70430465201015924</v>
      </c>
      <c r="L772" s="1">
        <f t="shared" si="37"/>
        <v>0.95305920063817995</v>
      </c>
      <c r="M772" s="1">
        <f t="shared" si="38"/>
        <v>317.57363863258934</v>
      </c>
      <c r="N772"/>
      <c r="P772" s="1"/>
    </row>
    <row r="773" spans="3:19" x14ac:dyDescent="0.3">
      <c r="C773" s="1" t="s">
        <v>15</v>
      </c>
      <c r="D773" s="1">
        <v>23</v>
      </c>
      <c r="E773" s="1">
        <v>475</v>
      </c>
      <c r="F773" s="1">
        <v>30</v>
      </c>
      <c r="G773" s="1">
        <v>0.84493334492761352</v>
      </c>
      <c r="H773" s="1">
        <v>1.9276665328579183</v>
      </c>
      <c r="I773" s="1">
        <v>892.46535311881667</v>
      </c>
      <c r="K773" s="1">
        <f t="shared" si="36"/>
        <v>0.97421517844752281</v>
      </c>
      <c r="L773" s="1">
        <f t="shared" si="37"/>
        <v>0.9525495235314595</v>
      </c>
      <c r="M773" s="1">
        <f t="shared" si="38"/>
        <v>440.47140238113849</v>
      </c>
      <c r="N773"/>
      <c r="P773" s="1"/>
    </row>
    <row r="774" spans="3:19" x14ac:dyDescent="0.3">
      <c r="C774" s="1" t="s">
        <v>15</v>
      </c>
      <c r="D774" s="1">
        <v>23</v>
      </c>
      <c r="E774" s="1">
        <v>476</v>
      </c>
      <c r="F774" s="1">
        <v>45</v>
      </c>
      <c r="G774" s="1">
        <v>1.1044854058216027</v>
      </c>
      <c r="H774" s="1">
        <v>1.9111636638409404</v>
      </c>
      <c r="I774" s="1">
        <v>1209.4612416612133</v>
      </c>
      <c r="K774" s="1">
        <f t="shared" si="36"/>
        <v>1.2734808647152638</v>
      </c>
      <c r="L774" s="1">
        <f t="shared" si="37"/>
        <v>0.94439468982393093</v>
      </c>
      <c r="M774" s="1">
        <f t="shared" si="38"/>
        <v>596.92299244833907</v>
      </c>
      <c r="N774"/>
      <c r="P774" s="1"/>
    </row>
    <row r="775" spans="3:19" x14ac:dyDescent="0.3">
      <c r="C775" s="1" t="s">
        <v>15</v>
      </c>
      <c r="D775" s="1">
        <v>23</v>
      </c>
      <c r="E775" s="1">
        <v>477</v>
      </c>
      <c r="F775" s="1">
        <v>0</v>
      </c>
      <c r="G775" s="1">
        <v>0.46384416470449324</v>
      </c>
      <c r="H775" s="1">
        <v>1.9390122553070905</v>
      </c>
      <c r="I775" s="1">
        <v>451.6420141112921</v>
      </c>
      <c r="K775" s="1">
        <f t="shared" si="36"/>
        <v>0.53481618213108106</v>
      </c>
      <c r="L775" s="1">
        <f t="shared" si="37"/>
        <v>0.95815597170538525</v>
      </c>
      <c r="M775" s="1">
        <f t="shared" si="38"/>
        <v>222.90545020559233</v>
      </c>
      <c r="N775" s="1">
        <f>SLOPE(K775:K778,F775:F778)</f>
        <v>3.6580625902883149E-2</v>
      </c>
      <c r="O775" s="1">
        <f>SLOPE(L775:L778,F775:F778)</f>
        <v>-3.3978473781368866E-4</v>
      </c>
      <c r="P775" s="1">
        <f>SLOPE(M775:M778,F775:F778)</f>
        <v>6.495184853097288</v>
      </c>
      <c r="Q775" s="1">
        <f>(N775*41.35/0.31*60)/1000</f>
        <v>0.29276300924210674</v>
      </c>
      <c r="R775" s="1">
        <f>O775*41.35/0.31*60/1000</f>
        <v>-2.7193739823089084E-3</v>
      </c>
      <c r="S775" s="1">
        <f>(O775*41.35/0.31*60)/1000</f>
        <v>-2.7193739823089084E-3</v>
      </c>
    </row>
    <row r="776" spans="3:19" x14ac:dyDescent="0.3">
      <c r="C776" s="1" t="s">
        <v>15</v>
      </c>
      <c r="D776" s="1">
        <v>23</v>
      </c>
      <c r="E776" s="1">
        <v>478</v>
      </c>
      <c r="F776" s="1">
        <v>15</v>
      </c>
      <c r="G776" s="1">
        <v>0.74546251226901306</v>
      </c>
      <c r="H776" s="1">
        <v>1.9410751139342131</v>
      </c>
      <c r="I776" s="1">
        <v>551.49549429490048</v>
      </c>
      <c r="K776" s="1">
        <f t="shared" si="36"/>
        <v>0.85952448057108366</v>
      </c>
      <c r="L776" s="1">
        <f t="shared" si="37"/>
        <v>0.95917532591882659</v>
      </c>
      <c r="M776" s="1">
        <f t="shared" si="38"/>
        <v>272.18759017372582</v>
      </c>
      <c r="N776"/>
      <c r="P776" s="1"/>
    </row>
    <row r="777" spans="3:19" x14ac:dyDescent="0.3">
      <c r="C777" s="1" t="s">
        <v>15</v>
      </c>
      <c r="D777" s="1">
        <v>23</v>
      </c>
      <c r="E777" s="1">
        <v>479</v>
      </c>
      <c r="F777" s="1">
        <v>30</v>
      </c>
      <c r="G777" s="1">
        <v>1.5062988743947177</v>
      </c>
      <c r="H777" s="1">
        <v>1.9369493966799685</v>
      </c>
      <c r="I777" s="1">
        <v>876.56708612850105</v>
      </c>
      <c r="K777" s="1">
        <f t="shared" si="36"/>
        <v>1.7367751379719447</v>
      </c>
      <c r="L777" s="1">
        <f t="shared" si="37"/>
        <v>0.95713661749194434</v>
      </c>
      <c r="M777" s="1">
        <f t="shared" si="38"/>
        <v>432.62489950886197</v>
      </c>
      <c r="N777"/>
      <c r="P777" s="1"/>
    </row>
    <row r="778" spans="3:19" x14ac:dyDescent="0.3">
      <c r="C778" s="1" t="s">
        <v>15</v>
      </c>
      <c r="D778" s="1">
        <v>23</v>
      </c>
      <c r="E778" s="1">
        <v>480</v>
      </c>
      <c r="F778" s="1">
        <v>45</v>
      </c>
      <c r="G778" s="1">
        <v>1.7965443540198271</v>
      </c>
      <c r="H778" s="1">
        <v>1.9060065172731349</v>
      </c>
      <c r="I778" s="1">
        <v>1001.2988686146542</v>
      </c>
      <c r="K778" s="1">
        <f t="shared" si="36"/>
        <v>2.0714305914749516</v>
      </c>
      <c r="L778" s="1">
        <f t="shared" si="37"/>
        <v>0.94184630429032823</v>
      </c>
      <c r="M778" s="1">
        <f t="shared" si="38"/>
        <v>494.18558974874469</v>
      </c>
      <c r="N778"/>
      <c r="P778" s="1"/>
    </row>
    <row r="779" spans="3:19" x14ac:dyDescent="0.3">
      <c r="C779" s="1" t="s">
        <v>15</v>
      </c>
      <c r="D779" s="1">
        <v>23</v>
      </c>
      <c r="E779" s="1">
        <v>481</v>
      </c>
      <c r="F779" s="1">
        <v>0</v>
      </c>
      <c r="G779" s="1">
        <v>0.42580809801958169</v>
      </c>
      <c r="H779" s="1">
        <v>1.9297293914850406</v>
      </c>
      <c r="I779" s="1">
        <v>428.57237585079764</v>
      </c>
      <c r="K779" s="1">
        <f t="shared" si="36"/>
        <v>0.49096028069774661</v>
      </c>
      <c r="L779" s="1">
        <f t="shared" si="37"/>
        <v>0.95356887774490051</v>
      </c>
      <c r="M779" s="1">
        <f t="shared" si="38"/>
        <v>211.51955619691734</v>
      </c>
      <c r="N779" s="1">
        <f>SLOPE(K779:K782,F779:F782)</f>
        <v>5.9977660898410919E-3</v>
      </c>
      <c r="O779" s="1">
        <f>SLOPE(L779:L782,F779:F782)</f>
        <v>-2.276557743351737E-4</v>
      </c>
      <c r="P779" s="1">
        <f>SLOPE(M779:M782,F779:F782)</f>
        <v>9.1652169081352355</v>
      </c>
      <c r="Q779" s="1">
        <f>(N779*41.35/0.31*60)/1000</f>
        <v>4.8001476351276613E-2</v>
      </c>
      <c r="R779" s="1">
        <f>O779*41.35/0.31*60/1000</f>
        <v>-1.8219805681469871E-3</v>
      </c>
      <c r="S779" s="1">
        <f>(O779*41.35/0.31*60)/1000</f>
        <v>-1.8219805681469871E-3</v>
      </c>
    </row>
    <row r="780" spans="3:19" x14ac:dyDescent="0.3">
      <c r="C780" s="1" t="s">
        <v>15</v>
      </c>
      <c r="D780" s="1">
        <v>23</v>
      </c>
      <c r="E780" s="1">
        <v>482</v>
      </c>
      <c r="F780" s="1">
        <v>15</v>
      </c>
      <c r="G780" s="1">
        <v>0.58504578445349043</v>
      </c>
      <c r="H780" s="1">
        <v>1.891566506883279</v>
      </c>
      <c r="I780" s="1">
        <v>1020.3081845048864</v>
      </c>
      <c r="K780" s="1">
        <f t="shared" si="36"/>
        <v>0.67456265837177654</v>
      </c>
      <c r="L780" s="1">
        <f t="shared" si="37"/>
        <v>0.93471082479624068</v>
      </c>
      <c r="M780" s="1">
        <f t="shared" si="38"/>
        <v>503.56753381998072</v>
      </c>
      <c r="N780"/>
      <c r="P780" s="1"/>
    </row>
    <row r="781" spans="3:19" x14ac:dyDescent="0.3">
      <c r="C781" s="1" t="s">
        <v>15</v>
      </c>
      <c r="D781" s="1">
        <v>23</v>
      </c>
      <c r="E781" s="1">
        <v>483</v>
      </c>
      <c r="F781" s="1">
        <v>30</v>
      </c>
      <c r="G781" s="1">
        <v>0.64150557093890592</v>
      </c>
      <c r="H781" s="1">
        <v>1.9214779569765517</v>
      </c>
      <c r="I781" s="1">
        <v>1236.7645478822074</v>
      </c>
      <c r="K781" s="1">
        <f t="shared" si="36"/>
        <v>0.73966126206188232</v>
      </c>
      <c r="L781" s="1">
        <f t="shared" si="37"/>
        <v>0.94949146089113634</v>
      </c>
      <c r="M781" s="1">
        <f t="shared" si="38"/>
        <v>610.3983901640886</v>
      </c>
      <c r="N781"/>
      <c r="P781" s="1"/>
    </row>
    <row r="782" spans="3:19" x14ac:dyDescent="0.3">
      <c r="C782" s="1" t="s">
        <v>15</v>
      </c>
      <c r="D782" s="1">
        <v>23</v>
      </c>
      <c r="E782" s="1">
        <v>484</v>
      </c>
      <c r="F782" s="1">
        <v>45</v>
      </c>
      <c r="G782" s="1">
        <v>0.6670802246474099</v>
      </c>
      <c r="H782" s="1">
        <v>1.8967236534510845</v>
      </c>
      <c r="I782" s="1">
        <v>1284.9298583123696</v>
      </c>
      <c r="K782" s="1">
        <f t="shared" si="36"/>
        <v>0.76914905062643257</v>
      </c>
      <c r="L782" s="1">
        <f t="shared" si="37"/>
        <v>0.93725921032984327</v>
      </c>
      <c r="M782" s="1">
        <f t="shared" si="38"/>
        <v>634.17011615564309</v>
      </c>
      <c r="N782"/>
      <c r="P782" s="1"/>
    </row>
    <row r="783" spans="3:19" x14ac:dyDescent="0.3">
      <c r="C783" s="1" t="s">
        <v>15</v>
      </c>
      <c r="D783" s="1">
        <v>23</v>
      </c>
      <c r="E783" s="1">
        <v>485</v>
      </c>
      <c r="F783" s="1">
        <v>0</v>
      </c>
      <c r="G783" s="1">
        <v>0.41442028369960315</v>
      </c>
      <c r="H783" s="1">
        <v>1.9101322345273792</v>
      </c>
      <c r="I783" s="1">
        <v>435.83087850231254</v>
      </c>
      <c r="K783" s="1">
        <f t="shared" si="36"/>
        <v>0.47783003601458102</v>
      </c>
      <c r="L783" s="1">
        <f t="shared" si="37"/>
        <v>0.94388501271721037</v>
      </c>
      <c r="M783" s="1">
        <f t="shared" si="38"/>
        <v>215.1019505508574</v>
      </c>
      <c r="N783" s="1">
        <f>SLOPE(K783:K786,F783:F786)</f>
        <v>1.3229716233795694E-3</v>
      </c>
      <c r="O783" s="1">
        <f>SLOPE(L783:L786,F783:F786)</f>
        <v>-2.2086007957889582E-4</v>
      </c>
      <c r="P783" s="1">
        <f>SLOPE(M783:M786,F783:F786)</f>
        <v>7.276271154365884</v>
      </c>
      <c r="Q783" s="1">
        <f>(N783*41.35/0.31*60)/1000</f>
        <v>1.0588040637434555E-2</v>
      </c>
      <c r="R783" s="1">
        <f>O783*41.35/0.31*60/1000</f>
        <v>-1.7675930885007762E-3</v>
      </c>
      <c r="S783" s="1">
        <f>(O783*41.35/0.31*60)/1000</f>
        <v>-1.7675930885007762E-3</v>
      </c>
    </row>
    <row r="784" spans="3:19" x14ac:dyDescent="0.3">
      <c r="C784" s="1" t="s">
        <v>15</v>
      </c>
      <c r="D784" s="1">
        <v>23</v>
      </c>
      <c r="E784" s="1">
        <v>486</v>
      </c>
      <c r="F784" s="1">
        <v>15</v>
      </c>
      <c r="G784" s="1">
        <v>0.44840159831603743</v>
      </c>
      <c r="H784" s="1">
        <v>1.8688750619849344</v>
      </c>
      <c r="I784" s="1">
        <v>936.27592882704403</v>
      </c>
      <c r="K784" s="1">
        <f t="shared" si="36"/>
        <v>0.51701077456830336</v>
      </c>
      <c r="L784" s="1">
        <f t="shared" si="37"/>
        <v>0.92349792844838896</v>
      </c>
      <c r="M784" s="1">
        <f t="shared" si="38"/>
        <v>462.09387282650812</v>
      </c>
      <c r="N784"/>
      <c r="P784" s="1"/>
    </row>
    <row r="785" spans="1:19" x14ac:dyDescent="0.3">
      <c r="C785" s="1" t="s">
        <v>15</v>
      </c>
      <c r="D785" s="1">
        <v>23</v>
      </c>
      <c r="E785" s="1">
        <v>487</v>
      </c>
      <c r="F785" s="1">
        <v>30</v>
      </c>
      <c r="G785" s="1">
        <v>0.4656271053303484</v>
      </c>
      <c r="H785" s="1">
        <v>1.8637179154171288</v>
      </c>
      <c r="I785" s="1">
        <v>1111.5613387644039</v>
      </c>
      <c r="K785" s="1">
        <f t="shared" si="36"/>
        <v>0.53687192751076851</v>
      </c>
      <c r="L785" s="1">
        <f t="shared" si="37"/>
        <v>0.92094954291478637</v>
      </c>
      <c r="M785" s="1">
        <f t="shared" si="38"/>
        <v>548.60502988403334</v>
      </c>
      <c r="N785"/>
      <c r="P785" s="1"/>
    </row>
    <row r="786" spans="1:19" x14ac:dyDescent="0.3">
      <c r="C786" s="1" t="s">
        <v>15</v>
      </c>
      <c r="D786" s="1">
        <v>23</v>
      </c>
      <c r="E786" s="1">
        <v>488</v>
      </c>
      <c r="F786" s="1">
        <v>45</v>
      </c>
      <c r="G786" s="1">
        <v>0.46604887623108843</v>
      </c>
      <c r="H786" s="1">
        <v>1.8895036482561569</v>
      </c>
      <c r="I786" s="1">
        <v>1114.5467350407091</v>
      </c>
      <c r="K786" s="1">
        <f t="shared" si="36"/>
        <v>0.53735823286940443</v>
      </c>
      <c r="L786" s="1">
        <f t="shared" si="37"/>
        <v>0.93369147058279978</v>
      </c>
      <c r="M786" s="1">
        <f t="shared" si="38"/>
        <v>550.07845591664318</v>
      </c>
      <c r="N786"/>
      <c r="P786" s="1"/>
    </row>
    <row r="787" spans="1:19" x14ac:dyDescent="0.3">
      <c r="C787" s="1" t="s">
        <v>15</v>
      </c>
      <c r="D787" s="1">
        <v>23</v>
      </c>
      <c r="E787" s="1">
        <v>489</v>
      </c>
      <c r="F787" s="1">
        <v>0</v>
      </c>
      <c r="G787" s="1">
        <v>0.42320078699682573</v>
      </c>
      <c r="H787" s="1">
        <v>1.9029122293324512</v>
      </c>
      <c r="I787" s="1">
        <v>490.92175799004218</v>
      </c>
      <c r="K787" s="1">
        <f t="shared" si="36"/>
        <v>0.48795402938981658</v>
      </c>
      <c r="L787" s="1">
        <f t="shared" si="37"/>
        <v>0.94031727297016654</v>
      </c>
      <c r="M787" s="1">
        <f t="shared" si="38"/>
        <v>242.29175333879823</v>
      </c>
      <c r="N787" s="1">
        <f>SLOPE(K787:K790,F787:F790)</f>
        <v>9.3603465969171133E-3</v>
      </c>
      <c r="O787" s="1">
        <f>SLOPE(L787:L790,F787:F790)</f>
        <v>-1.5426227096741478E-3</v>
      </c>
      <c r="P787" s="1">
        <f>SLOPE(M787:M790,F787:F790)</f>
        <v>11.023628868565213</v>
      </c>
      <c r="Q787" s="1">
        <f>(N787*41.35/0.31*60)/1000</f>
        <v>7.4912967441778583E-2</v>
      </c>
      <c r="R787" s="1">
        <f>O787*41.35/0.31*60/1000</f>
        <v>-1.2345957879682453E-2</v>
      </c>
      <c r="S787" s="1">
        <f>(O787*41.35/0.31*60)/1000</f>
        <v>-1.2345957879682453E-2</v>
      </c>
    </row>
    <row r="788" spans="1:19" x14ac:dyDescent="0.3">
      <c r="C788" s="1" t="s">
        <v>15</v>
      </c>
      <c r="D788" s="1">
        <v>23</v>
      </c>
      <c r="E788" s="1">
        <v>490</v>
      </c>
      <c r="F788" s="1">
        <v>15</v>
      </c>
      <c r="G788" s="1">
        <v>0.59669241273528661</v>
      </c>
      <c r="H788" s="1">
        <v>1.8874407896290344</v>
      </c>
      <c r="I788" s="1">
        <v>997.55313638963696</v>
      </c>
      <c r="K788" s="1">
        <f t="shared" si="36"/>
        <v>0.6879913177068322</v>
      </c>
      <c r="L788" s="1">
        <f t="shared" si="37"/>
        <v>0.93267211636935865</v>
      </c>
      <c r="M788" s="1">
        <f t="shared" si="38"/>
        <v>492.33690405990325</v>
      </c>
      <c r="N788"/>
      <c r="P788" s="1"/>
    </row>
    <row r="789" spans="1:19" x14ac:dyDescent="0.3">
      <c r="C789" s="1" t="s">
        <v>15</v>
      </c>
      <c r="D789" s="1">
        <v>23</v>
      </c>
      <c r="E789" s="1">
        <v>491</v>
      </c>
      <c r="F789" s="1">
        <v>30</v>
      </c>
      <c r="G789" s="1">
        <v>0.72360711104885223</v>
      </c>
      <c r="H789" s="1">
        <v>1.7750149944508722</v>
      </c>
      <c r="I789" s="1">
        <v>1390.4514641449998</v>
      </c>
      <c r="K789" s="1">
        <f t="shared" si="36"/>
        <v>0.83432502107813955</v>
      </c>
      <c r="L789" s="1">
        <f t="shared" si="37"/>
        <v>0.87711731173682039</v>
      </c>
      <c r="M789" s="1">
        <f t="shared" si="38"/>
        <v>686.24972859122022</v>
      </c>
      <c r="N789"/>
      <c r="P789" s="1"/>
    </row>
    <row r="790" spans="1:19" x14ac:dyDescent="0.3">
      <c r="C790" s="1" t="s">
        <v>15</v>
      </c>
      <c r="D790" s="1">
        <v>23</v>
      </c>
      <c r="E790" s="1">
        <v>492</v>
      </c>
      <c r="F790" s="1">
        <v>45</v>
      </c>
      <c r="G790" s="1">
        <v>0.78680564624381732</v>
      </c>
      <c r="H790" s="1">
        <v>1.7842978582729221</v>
      </c>
      <c r="I790" s="1">
        <v>1476.7372124959243</v>
      </c>
      <c r="K790" s="1">
        <f t="shared" si="36"/>
        <v>0.90719345811190311</v>
      </c>
      <c r="L790" s="1">
        <f t="shared" si="37"/>
        <v>0.88170440569730524</v>
      </c>
      <c r="M790" s="1">
        <f t="shared" si="38"/>
        <v>728.8355885899532</v>
      </c>
      <c r="N790"/>
      <c r="P790" s="1"/>
    </row>
    <row r="791" spans="1:19" x14ac:dyDescent="0.3">
      <c r="C791" s="1" t="s">
        <v>15</v>
      </c>
      <c r="D791" s="1">
        <v>23</v>
      </c>
      <c r="E791" s="1">
        <v>493</v>
      </c>
      <c r="F791" s="1">
        <v>0</v>
      </c>
      <c r="G791" s="1">
        <v>0.40402938241773723</v>
      </c>
      <c r="H791" s="1">
        <v>1.824523601501806</v>
      </c>
      <c r="I791" s="1">
        <v>456.0930519389143</v>
      </c>
      <c r="K791" s="1">
        <f t="shared" si="36"/>
        <v>0.46584924036091813</v>
      </c>
      <c r="L791" s="1">
        <f t="shared" si="37"/>
        <v>0.90158181285940608</v>
      </c>
      <c r="M791" s="1">
        <f t="shared" si="38"/>
        <v>225.10223562379693</v>
      </c>
      <c r="N791" s="1">
        <f>SLOPE(K791:K794,F791:F794)</f>
        <v>4.2828765569791552E-3</v>
      </c>
      <c r="O791" s="1">
        <f>SLOPE(L791:L794,F791:F794)</f>
        <v>-8.86838165693736E-4</v>
      </c>
      <c r="P791" s="1">
        <f>SLOPE(M791:M794,F791:F794)</f>
        <v>11.057243804719315</v>
      </c>
      <c r="Q791" s="1">
        <f>(N791*41.35/0.31*60)/1000</f>
        <v>3.4276828186662216E-2</v>
      </c>
      <c r="R791" s="1">
        <f>O791*41.35/0.31*60/1000</f>
        <v>-7.0975660938263196E-3</v>
      </c>
      <c r="S791" s="1">
        <f>(O791*41.35/0.31*60)/1000</f>
        <v>-7.0975660938263196E-3</v>
      </c>
    </row>
    <row r="792" spans="1:19" x14ac:dyDescent="0.3">
      <c r="C792" s="1" t="s">
        <v>15</v>
      </c>
      <c r="D792" s="1">
        <v>23</v>
      </c>
      <c r="E792" s="1">
        <v>494</v>
      </c>
      <c r="F792" s="1">
        <v>15</v>
      </c>
      <c r="G792" s="1">
        <v>0.49592751026759774</v>
      </c>
      <c r="H792" s="1">
        <v>1.7719207065101887</v>
      </c>
      <c r="I792" s="1">
        <v>1022.9074511860075</v>
      </c>
      <c r="K792" s="1">
        <f t="shared" si="36"/>
        <v>0.57180854657094238</v>
      </c>
      <c r="L792" s="1">
        <f t="shared" si="37"/>
        <v>0.87558828041665882</v>
      </c>
      <c r="M792" s="1">
        <f t="shared" si="38"/>
        <v>504.85038769906407</v>
      </c>
      <c r="N792"/>
      <c r="P792" s="1"/>
    </row>
    <row r="793" spans="1:19" x14ac:dyDescent="0.3">
      <c r="C793" s="1" t="s">
        <v>15</v>
      </c>
      <c r="D793" s="1">
        <v>23</v>
      </c>
      <c r="E793" s="1">
        <v>495</v>
      </c>
      <c r="F793" s="1">
        <v>30</v>
      </c>
      <c r="G793" s="1">
        <v>0.52892149754820894</v>
      </c>
      <c r="H793" s="1">
        <v>1.7626378426881386</v>
      </c>
      <c r="I793" s="1">
        <v>1236.7672993995127</v>
      </c>
      <c r="K793" s="1">
        <f t="shared" si="36"/>
        <v>0.6098508884896765</v>
      </c>
      <c r="L793" s="1">
        <f t="shared" si="37"/>
        <v>0.87100118645617397</v>
      </c>
      <c r="M793" s="1">
        <f t="shared" si="38"/>
        <v>610.39974816043207</v>
      </c>
      <c r="N793"/>
      <c r="P793" s="1"/>
    </row>
    <row r="794" spans="1:19" x14ac:dyDescent="0.3">
      <c r="C794" s="1" t="s">
        <v>15</v>
      </c>
      <c r="D794" s="1">
        <v>23</v>
      </c>
      <c r="E794" s="1">
        <v>496</v>
      </c>
      <c r="F794" s="1">
        <v>45</v>
      </c>
      <c r="G794" s="1">
        <v>0.57875756375154941</v>
      </c>
      <c r="H794" s="1">
        <v>1.7378835391626715</v>
      </c>
      <c r="I794" s="1">
        <v>1504.9934608770045</v>
      </c>
      <c r="K794" s="1">
        <f t="shared" si="36"/>
        <v>0.66731228757029781</v>
      </c>
      <c r="L794" s="1">
        <f t="shared" si="37"/>
        <v>0.8587689358948809</v>
      </c>
      <c r="M794" s="1">
        <f t="shared" si="38"/>
        <v>742.78130570597341</v>
      </c>
      <c r="N794"/>
      <c r="P794" s="1"/>
    </row>
    <row r="795" spans="1:19" x14ac:dyDescent="0.3">
      <c r="C795" s="1" t="s">
        <v>15</v>
      </c>
      <c r="D795" s="1">
        <v>23</v>
      </c>
      <c r="E795" s="1">
        <v>497</v>
      </c>
      <c r="F795" s="1">
        <v>0</v>
      </c>
      <c r="G795" s="1">
        <v>0.39736731932650399</v>
      </c>
      <c r="H795" s="1">
        <v>1.8152407376797559</v>
      </c>
      <c r="I795" s="1">
        <v>421.48171575490915</v>
      </c>
      <c r="K795" s="1">
        <f t="shared" si="36"/>
        <v>0.45816782617337592</v>
      </c>
      <c r="L795" s="1">
        <f t="shared" si="37"/>
        <v>0.89699471889892124</v>
      </c>
      <c r="M795" s="1">
        <f t="shared" si="38"/>
        <v>208.01999961992584</v>
      </c>
      <c r="N795" s="1">
        <f>SLOPE(K795:K798,F795:F798)</f>
        <v>2.2111420465607042E-3</v>
      </c>
      <c r="O795" s="1">
        <f>SLOPE(L795:L798,F795:F798)</f>
        <v>-1.7668806366311741E-4</v>
      </c>
      <c r="P795" s="1">
        <f>SLOPE(M795:M798,F795:F798)</f>
        <v>6.4956586429326588</v>
      </c>
      <c r="Q795" s="1">
        <f>(N795*41.35/0.31*60)/1000</f>
        <v>1.7696269088764864E-2</v>
      </c>
      <c r="R795" s="1">
        <f>O795*41.35/0.31*60/1000</f>
        <v>-1.4140744708006268E-3</v>
      </c>
      <c r="S795" s="1">
        <f>(O795*41.35/0.31*60)/1000</f>
        <v>-1.4140744708006268E-3</v>
      </c>
    </row>
    <row r="796" spans="1:19" x14ac:dyDescent="0.3">
      <c r="C796" s="1" t="s">
        <v>15</v>
      </c>
      <c r="D796" s="1">
        <v>23</v>
      </c>
      <c r="E796" s="1">
        <v>498</v>
      </c>
      <c r="F796" s="1">
        <v>15</v>
      </c>
      <c r="G796" s="1">
        <v>0.44132735002635376</v>
      </c>
      <c r="H796" s="1">
        <v>1.7925492927814113</v>
      </c>
      <c r="I796" s="1">
        <v>744.67402126895513</v>
      </c>
      <c r="K796" s="1">
        <f t="shared" si="36"/>
        <v>0.50885410741663983</v>
      </c>
      <c r="L796" s="1">
        <f t="shared" si="37"/>
        <v>0.88578182255106952</v>
      </c>
      <c r="M796" s="1">
        <f t="shared" si="38"/>
        <v>367.52979745250656</v>
      </c>
      <c r="N796"/>
      <c r="P796" s="1"/>
    </row>
    <row r="797" spans="1:19" x14ac:dyDescent="0.3">
      <c r="C797" s="1" t="s">
        <v>15</v>
      </c>
      <c r="D797" s="1">
        <v>23</v>
      </c>
      <c r="E797" s="1">
        <v>499</v>
      </c>
      <c r="F797" s="1">
        <v>30</v>
      </c>
      <c r="G797" s="1">
        <v>0.46582840507842888</v>
      </c>
      <c r="H797" s="1">
        <v>1.7915178634678501</v>
      </c>
      <c r="I797" s="1">
        <v>929.13574141965921</v>
      </c>
      <c r="K797" s="1">
        <f t="shared" si="36"/>
        <v>0.53710402779557209</v>
      </c>
      <c r="L797" s="1">
        <f t="shared" si="37"/>
        <v>0.88527214544434896</v>
      </c>
      <c r="M797" s="1">
        <f t="shared" si="38"/>
        <v>458.56987231533509</v>
      </c>
      <c r="N797"/>
      <c r="P797" s="1"/>
    </row>
    <row r="798" spans="1:19" x14ac:dyDescent="0.3">
      <c r="C798" s="1" t="s">
        <v>15</v>
      </c>
      <c r="D798" s="1">
        <v>23</v>
      </c>
      <c r="E798" s="1">
        <v>500</v>
      </c>
      <c r="F798" s="1">
        <v>45</v>
      </c>
      <c r="G798" s="1">
        <v>0.48508608097812317</v>
      </c>
      <c r="H798" s="1">
        <v>1.7977064393492168</v>
      </c>
      <c r="I798" s="1">
        <v>1018.0565261766745</v>
      </c>
      <c r="K798" s="1">
        <f t="shared" si="36"/>
        <v>0.55930828837510038</v>
      </c>
      <c r="L798" s="1">
        <f t="shared" si="37"/>
        <v>0.88833020808467222</v>
      </c>
      <c r="M798" s="1">
        <f t="shared" si="38"/>
        <v>502.45624014561594</v>
      </c>
      <c r="N798"/>
      <c r="P798" s="1"/>
    </row>
    <row r="799" spans="1:19" x14ac:dyDescent="0.3">
      <c r="A799" s="1">
        <v>753</v>
      </c>
      <c r="C799" s="1" t="s">
        <v>15</v>
      </c>
      <c r="D799" s="1">
        <v>23</v>
      </c>
      <c r="E799" s="1">
        <v>501</v>
      </c>
      <c r="F799" s="1">
        <v>0</v>
      </c>
      <c r="G799" s="1">
        <v>0.41667292373764603</v>
      </c>
      <c r="H799" s="1">
        <v>1.9080693759002569</v>
      </c>
      <c r="I799" s="1">
        <v>432.14017662340223</v>
      </c>
      <c r="K799" s="1">
        <f t="shared" si="36"/>
        <v>0.48042734872547654</v>
      </c>
      <c r="L799" s="1">
        <f t="shared" si="37"/>
        <v>0.94286565850376935</v>
      </c>
      <c r="M799" s="1">
        <f t="shared" si="38"/>
        <v>213.28042478888435</v>
      </c>
      <c r="N799" s="1">
        <f>SLOPE(K799:K802,F799:F802)</f>
        <v>4.632942732566812E-3</v>
      </c>
      <c r="O799" s="1">
        <f>SLOPE(L799:L802,F799:F802)</f>
        <v>7.8150489697147065E-5</v>
      </c>
      <c r="P799" s="1">
        <f>SLOPE(M799:M802,F799:F802)</f>
        <v>5.9353433160985585</v>
      </c>
      <c r="Q799" s="1">
        <f>(N799*41.35/0.31*60)/1000</f>
        <v>3.7078486837091168E-2</v>
      </c>
      <c r="R799" s="1">
        <f>O799*41.35/0.31*60/1000</f>
        <v>6.2545601593103832E-4</v>
      </c>
      <c r="S799" s="1">
        <f>(O799*41.35/0.31*60)/1000</f>
        <v>6.2545601593103832E-4</v>
      </c>
    </row>
    <row r="800" spans="1:19" x14ac:dyDescent="0.3">
      <c r="A800" s="1">
        <v>754</v>
      </c>
      <c r="C800" s="1" t="s">
        <v>15</v>
      </c>
      <c r="D800" s="1">
        <v>23</v>
      </c>
      <c r="E800" s="1">
        <v>502</v>
      </c>
      <c r="F800" s="1">
        <v>15</v>
      </c>
      <c r="G800" s="1">
        <v>0.53852637124233227</v>
      </c>
      <c r="H800" s="1">
        <v>1.9049750879595737</v>
      </c>
      <c r="I800" s="1">
        <v>816.54365328471272</v>
      </c>
      <c r="K800" s="1">
        <f t="shared" si="36"/>
        <v>0.62092538779315465</v>
      </c>
      <c r="L800" s="1">
        <f t="shared" si="37"/>
        <v>0.94133662718360767</v>
      </c>
      <c r="M800" s="1">
        <f t="shared" si="38"/>
        <v>403.00066194261814</v>
      </c>
      <c r="N800"/>
      <c r="P800" s="1"/>
    </row>
    <row r="801" spans="1:19" x14ac:dyDescent="0.3">
      <c r="A801" s="1">
        <v>755</v>
      </c>
      <c r="C801" s="1" t="s">
        <v>15</v>
      </c>
      <c r="D801" s="1">
        <v>23</v>
      </c>
      <c r="E801" s="1">
        <v>503</v>
      </c>
      <c r="F801" s="1">
        <v>30</v>
      </c>
      <c r="G801" s="1">
        <v>0.59497657202545828</v>
      </c>
      <c r="H801" s="1">
        <v>1.9039436586460126</v>
      </c>
      <c r="I801" s="1">
        <v>969.02265345045669</v>
      </c>
      <c r="K801" s="1">
        <f t="shared" si="36"/>
        <v>0.68601293908874594</v>
      </c>
      <c r="L801" s="1">
        <f t="shared" si="37"/>
        <v>0.94082695007688721</v>
      </c>
      <c r="M801" s="1">
        <f t="shared" si="38"/>
        <v>478.25583997498876</v>
      </c>
      <c r="N801"/>
      <c r="P801" s="1"/>
    </row>
    <row r="802" spans="1:19" x14ac:dyDescent="0.3">
      <c r="A802" s="1">
        <v>756</v>
      </c>
      <c r="C802" s="1" t="s">
        <v>15</v>
      </c>
      <c r="D802" s="1">
        <v>23</v>
      </c>
      <c r="E802" s="1">
        <v>504</v>
      </c>
      <c r="F802" s="1">
        <v>45</v>
      </c>
      <c r="G802" s="1">
        <v>0.59876292442982826</v>
      </c>
      <c r="H802" s="1">
        <v>1.9163208104087459</v>
      </c>
      <c r="I802" s="1">
        <v>982.61148024914803</v>
      </c>
      <c r="K802" s="1">
        <f t="shared" si="36"/>
        <v>0.69037863492195339</v>
      </c>
      <c r="L802" s="1">
        <f t="shared" si="37"/>
        <v>0.94694307535753353</v>
      </c>
      <c r="M802" s="1">
        <f t="shared" si="38"/>
        <v>484.96253124968877</v>
      </c>
      <c r="N802"/>
      <c r="P802" s="1"/>
    </row>
    <row r="803" spans="1:19" x14ac:dyDescent="0.3">
      <c r="A803" s="1">
        <v>757</v>
      </c>
      <c r="C803" s="1" t="s">
        <v>15</v>
      </c>
      <c r="D803" s="1">
        <v>23</v>
      </c>
      <c r="E803" s="1">
        <v>505</v>
      </c>
      <c r="F803" s="1">
        <v>0</v>
      </c>
      <c r="G803" s="1">
        <v>0.41538843963084715</v>
      </c>
      <c r="H803" s="1">
        <v>1.9348865380528464</v>
      </c>
      <c r="I803" s="1">
        <v>450.62945574292314</v>
      </c>
      <c r="K803" s="1">
        <f t="shared" si="36"/>
        <v>0.47894632786054037</v>
      </c>
      <c r="L803" s="1">
        <f t="shared" si="37"/>
        <v>0.95611726327850333</v>
      </c>
      <c r="M803" s="1">
        <f t="shared" si="38"/>
        <v>222.40570755121408</v>
      </c>
      <c r="N803" s="1">
        <f>SLOPE(K803:K806,F803:F806)</f>
        <v>7.1899510447996813E-3</v>
      </c>
      <c r="O803" s="1">
        <f>SLOPE(L803:L806,F803:F806)</f>
        <v>-3.7376321159507953E-5</v>
      </c>
      <c r="P803" s="1">
        <f>SLOPE(M803:M806,F803:F806)</f>
        <v>8.1611717494344074</v>
      </c>
      <c r="Q803" s="1">
        <f>(N803*41.35/0.31*60)/1000</f>
        <v>5.7542801748864551E-2</v>
      </c>
      <c r="R803" s="1">
        <f>O803*41.35/0.31*60/1000</f>
        <v>-2.9913113805399749E-4</v>
      </c>
      <c r="S803" s="1">
        <f>(O803*41.35/0.31*60)/1000</f>
        <v>-2.9913113805399749E-4</v>
      </c>
    </row>
    <row r="804" spans="1:19" x14ac:dyDescent="0.3">
      <c r="A804" s="1">
        <v>758</v>
      </c>
      <c r="C804" s="1" t="s">
        <v>15</v>
      </c>
      <c r="D804" s="1">
        <v>23</v>
      </c>
      <c r="E804" s="1">
        <v>506</v>
      </c>
      <c r="F804" s="1">
        <v>15</v>
      </c>
      <c r="G804" s="1">
        <v>0.58091434676669695</v>
      </c>
      <c r="H804" s="1">
        <v>1.898786512078207</v>
      </c>
      <c r="I804" s="1">
        <v>884.01452630164999</v>
      </c>
      <c r="K804" s="1">
        <f t="shared" si="36"/>
        <v>0.66979907633604907</v>
      </c>
      <c r="L804" s="1">
        <f t="shared" si="37"/>
        <v>0.93827856454328462</v>
      </c>
      <c r="M804" s="1">
        <f t="shared" si="38"/>
        <v>436.3005429450501</v>
      </c>
      <c r="N804"/>
      <c r="P804" s="1"/>
    </row>
    <row r="805" spans="1:19" x14ac:dyDescent="0.3">
      <c r="A805" s="1">
        <v>759</v>
      </c>
      <c r="C805" s="1" t="s">
        <v>15</v>
      </c>
      <c r="D805" s="1">
        <v>23</v>
      </c>
      <c r="E805" s="1">
        <v>507</v>
      </c>
      <c r="F805" s="1">
        <v>30</v>
      </c>
      <c r="G805" s="1">
        <v>0.7052504911643751</v>
      </c>
      <c r="H805" s="1">
        <v>1.8843465016883512</v>
      </c>
      <c r="I805" s="1">
        <v>1231.0478120941236</v>
      </c>
      <c r="K805" s="1">
        <f t="shared" si="36"/>
        <v>0.81315968558296936</v>
      </c>
      <c r="L805" s="1">
        <f t="shared" si="37"/>
        <v>0.93114308504919707</v>
      </c>
      <c r="M805" s="1">
        <f t="shared" si="38"/>
        <v>607.57692642791108</v>
      </c>
      <c r="N805"/>
      <c r="P805" s="1"/>
    </row>
    <row r="806" spans="1:19" x14ac:dyDescent="0.3">
      <c r="A806" s="1">
        <v>760</v>
      </c>
      <c r="C806" s="1" t="s">
        <v>15</v>
      </c>
      <c r="D806" s="1">
        <v>23</v>
      </c>
      <c r="E806" s="1">
        <v>508</v>
      </c>
      <c r="F806" s="1">
        <v>45</v>
      </c>
      <c r="G806" s="1">
        <v>0.68573400130286311</v>
      </c>
      <c r="H806" s="1">
        <v>1.9359179673664073</v>
      </c>
      <c r="I806" s="1">
        <v>1161.7435113793881</v>
      </c>
      <c r="K806" s="1">
        <f t="shared" si="36"/>
        <v>0.790657010351551</v>
      </c>
      <c r="L806" s="1">
        <f t="shared" si="37"/>
        <v>0.95662694038522378</v>
      </c>
      <c r="M806" s="1">
        <f t="shared" si="38"/>
        <v>573.37216719531409</v>
      </c>
      <c r="N806"/>
      <c r="P806" s="1"/>
    </row>
    <row r="807" spans="1:19" x14ac:dyDescent="0.3">
      <c r="A807" s="1">
        <v>761</v>
      </c>
      <c r="C807" s="1" t="s">
        <v>15</v>
      </c>
      <c r="D807" s="1">
        <v>23</v>
      </c>
      <c r="E807" s="1">
        <v>509</v>
      </c>
      <c r="F807" s="1">
        <v>0</v>
      </c>
      <c r="G807" s="1">
        <v>0.41386431296680959</v>
      </c>
      <c r="H807" s="1">
        <v>1.9307608207986018</v>
      </c>
      <c r="I807" s="1">
        <v>455.12635219230111</v>
      </c>
      <c r="K807" s="1">
        <f t="shared" si="36"/>
        <v>0.47718899713274293</v>
      </c>
      <c r="L807" s="1">
        <f t="shared" si="37"/>
        <v>0.95407855485162119</v>
      </c>
      <c r="M807" s="1">
        <f t="shared" si="38"/>
        <v>224.625126241809</v>
      </c>
      <c r="N807" s="1">
        <f>SLOPE(K807:K810,F807:F810)</f>
        <v>3.7199412630432123E-3</v>
      </c>
      <c r="O807" s="1">
        <f>SLOPE(L807:L810,F807:F810)</f>
        <v>-2.412471638477213E-4</v>
      </c>
      <c r="P807" s="1">
        <f>SLOPE(M807:M810,F807:F810)</f>
        <v>10.841174515402701</v>
      </c>
      <c r="Q807" s="1">
        <f>(N807*41.35/0.31*60)/1000</f>
        <v>2.9771529914871649E-2</v>
      </c>
      <c r="R807" s="1">
        <f>O807*41.35/0.31*60/1000</f>
        <v>-1.9307555274393436E-3</v>
      </c>
      <c r="S807" s="1">
        <f>(O807*41.35/0.31*60)/1000</f>
        <v>-1.9307555274393436E-3</v>
      </c>
    </row>
    <row r="808" spans="1:19" x14ac:dyDescent="0.3">
      <c r="A808" s="1">
        <v>762</v>
      </c>
      <c r="C808" s="1" t="s">
        <v>15</v>
      </c>
      <c r="D808" s="1">
        <v>23</v>
      </c>
      <c r="E808" s="1">
        <v>510</v>
      </c>
      <c r="F808" s="1">
        <v>15</v>
      </c>
      <c r="G808" s="1">
        <v>0.45724920152928678</v>
      </c>
      <c r="H808" s="1">
        <v>1.9225093862901126</v>
      </c>
      <c r="I808" s="1">
        <v>762.23145319439732</v>
      </c>
      <c r="K808" s="1">
        <f t="shared" si="36"/>
        <v>0.52721213470513995</v>
      </c>
      <c r="L808" s="1">
        <f t="shared" si="37"/>
        <v>0.95000113799785679</v>
      </c>
      <c r="M808" s="1">
        <f t="shared" si="38"/>
        <v>376.19517211986494</v>
      </c>
      <c r="N808"/>
      <c r="P808" s="1"/>
    </row>
    <row r="809" spans="1:19" x14ac:dyDescent="0.3">
      <c r="A809" s="1">
        <v>763</v>
      </c>
      <c r="C809" s="1" t="s">
        <v>15</v>
      </c>
      <c r="D809" s="1">
        <v>23</v>
      </c>
      <c r="E809" s="1">
        <v>511</v>
      </c>
      <c r="F809" s="1">
        <v>30</v>
      </c>
      <c r="G809" s="1">
        <v>0.52087909332728144</v>
      </c>
      <c r="H809" s="1">
        <v>1.9080693759002569</v>
      </c>
      <c r="I809" s="1">
        <v>1192.8961903105676</v>
      </c>
      <c r="K809" s="1">
        <f t="shared" si="36"/>
        <v>0.6005779294920538</v>
      </c>
      <c r="L809" s="1">
        <f t="shared" si="37"/>
        <v>0.94286565850376935</v>
      </c>
      <c r="M809" s="1">
        <f t="shared" si="38"/>
        <v>588.74740179550724</v>
      </c>
      <c r="N809"/>
      <c r="P809" s="1"/>
    </row>
    <row r="810" spans="1:19" x14ac:dyDescent="0.3">
      <c r="A810" s="1">
        <v>764</v>
      </c>
      <c r="C810" s="1" t="s">
        <v>15</v>
      </c>
      <c r="D810" s="1">
        <v>23</v>
      </c>
      <c r="E810" s="1">
        <v>512</v>
      </c>
      <c r="F810" s="1">
        <v>45</v>
      </c>
      <c r="G810" s="1">
        <v>0.55396893763078803</v>
      </c>
      <c r="H810" s="1">
        <v>1.9111636638409404</v>
      </c>
      <c r="I810" s="1">
        <v>1409.8689217688589</v>
      </c>
      <c r="K810" s="1">
        <f t="shared" si="36"/>
        <v>0.63873079535593225</v>
      </c>
      <c r="L810" s="1">
        <f t="shared" si="37"/>
        <v>0.94439468982393093</v>
      </c>
      <c r="M810" s="1">
        <f t="shared" si="38"/>
        <v>695.83310878673001</v>
      </c>
      <c r="N810"/>
      <c r="P810" s="1"/>
    </row>
    <row r="811" spans="1:19" x14ac:dyDescent="0.3">
      <c r="A811" s="1">
        <v>765</v>
      </c>
      <c r="C811" s="1" t="s">
        <v>15</v>
      </c>
      <c r="D811" s="1">
        <v>23</v>
      </c>
      <c r="E811" s="1">
        <v>513</v>
      </c>
      <c r="F811" s="1">
        <v>0</v>
      </c>
      <c r="G811" s="1">
        <v>0.41086398815018232</v>
      </c>
      <c r="H811" s="1">
        <v>1.9183836690358682</v>
      </c>
      <c r="I811" s="1">
        <v>436.38209913581773</v>
      </c>
      <c r="K811" s="1">
        <f t="shared" si="36"/>
        <v>0.47372959764972045</v>
      </c>
      <c r="L811" s="1">
        <f t="shared" si="37"/>
        <v>0.94796242957097476</v>
      </c>
      <c r="M811" s="1">
        <f t="shared" si="38"/>
        <v>215.37400248498903</v>
      </c>
      <c r="N811" s="1">
        <f>SLOPE(K811:K814,F811:F814)</f>
        <v>1.565755889546967E-3</v>
      </c>
      <c r="O811" s="1">
        <f>SLOPE(L811:L814,F811:F814)</f>
        <v>-2.4464501122585693E-4</v>
      </c>
      <c r="P811" s="1">
        <f>SLOPE(M811:M814,F811:F814)</f>
        <v>3.9326698952223222</v>
      </c>
      <c r="Q811" s="1">
        <f>(N811*41.35/0.31*60)/1000</f>
        <v>1.2531097941825888E-2</v>
      </c>
      <c r="R811" s="1">
        <f>O811*41.35/0.31*60/1000</f>
        <v>-1.9579492672624228E-3</v>
      </c>
      <c r="S811" s="1">
        <f>(O811*41.35/0.31*60)/1000</f>
        <v>-1.9579492672624228E-3</v>
      </c>
    </row>
    <row r="812" spans="1:19" x14ac:dyDescent="0.3">
      <c r="A812" s="1">
        <v>766</v>
      </c>
      <c r="C812" s="1" t="s">
        <v>15</v>
      </c>
      <c r="D812" s="1">
        <v>23</v>
      </c>
      <c r="E812" s="1">
        <v>514</v>
      </c>
      <c r="F812" s="1">
        <v>15</v>
      </c>
      <c r="G812" s="1">
        <v>0.43415724471377476</v>
      </c>
      <c r="H812" s="1">
        <v>1.9472636898155797</v>
      </c>
      <c r="I812" s="1">
        <v>572.95274341445952</v>
      </c>
      <c r="K812" s="1">
        <f t="shared" si="36"/>
        <v>0.50058691631983188</v>
      </c>
      <c r="L812" s="1">
        <f t="shared" si="37"/>
        <v>0.96223338855914964</v>
      </c>
      <c r="M812" s="1">
        <f t="shared" si="38"/>
        <v>282.77769832515719</v>
      </c>
      <c r="N812"/>
      <c r="P812" s="1"/>
    </row>
    <row r="813" spans="1:19" x14ac:dyDescent="0.3">
      <c r="A813" s="1">
        <v>767</v>
      </c>
      <c r="C813" s="1" t="s">
        <v>15</v>
      </c>
      <c r="D813" s="1">
        <v>23</v>
      </c>
      <c r="E813" s="1">
        <v>515</v>
      </c>
      <c r="F813" s="1">
        <v>30</v>
      </c>
      <c r="G813" s="1">
        <v>0.44958063969765139</v>
      </c>
      <c r="H813" s="1">
        <v>1.9441694018748963</v>
      </c>
      <c r="I813" s="1">
        <v>684.63774801107536</v>
      </c>
      <c r="K813" s="1">
        <f t="shared" si="36"/>
        <v>0.51837021909358061</v>
      </c>
      <c r="L813" s="1">
        <f t="shared" si="37"/>
        <v>0.96070435723898795</v>
      </c>
      <c r="M813" s="1">
        <f t="shared" si="38"/>
        <v>337.89922256999347</v>
      </c>
      <c r="N813"/>
      <c r="P813" s="1"/>
    </row>
    <row r="814" spans="1:19" x14ac:dyDescent="0.3">
      <c r="A814" s="1">
        <v>768</v>
      </c>
      <c r="C814" s="1" t="s">
        <v>15</v>
      </c>
      <c r="D814" s="1">
        <v>23</v>
      </c>
      <c r="E814" s="1">
        <v>516</v>
      </c>
      <c r="F814" s="1">
        <v>45</v>
      </c>
      <c r="G814" s="1">
        <v>0.47362158103982832</v>
      </c>
      <c r="H814" s="1">
        <v>1.8946607948239624</v>
      </c>
      <c r="I814" s="1">
        <v>797.5646040848394</v>
      </c>
      <c r="K814" s="1">
        <f t="shared" si="36"/>
        <v>0.54608962453581922</v>
      </c>
      <c r="L814" s="1">
        <f t="shared" si="37"/>
        <v>0.93623985611640248</v>
      </c>
      <c r="M814" s="1">
        <f t="shared" si="38"/>
        <v>393.63365583115973</v>
      </c>
      <c r="N814"/>
      <c r="P814" s="1"/>
    </row>
    <row r="815" spans="1:19" x14ac:dyDescent="0.3">
      <c r="A815" s="1">
        <v>769</v>
      </c>
      <c r="C815" s="1" t="s">
        <v>15</v>
      </c>
      <c r="D815" s="1">
        <v>23</v>
      </c>
      <c r="E815" s="1">
        <v>517</v>
      </c>
      <c r="F815" s="1">
        <v>0</v>
      </c>
      <c r="G815" s="1">
        <v>0.41943360599703478</v>
      </c>
      <c r="H815" s="1">
        <v>1.898786512078207</v>
      </c>
      <c r="I815" s="1">
        <v>450.43042932450277</v>
      </c>
      <c r="K815" s="1">
        <f t="shared" si="36"/>
        <v>0.48361043834563788</v>
      </c>
      <c r="L815" s="1">
        <f t="shared" si="37"/>
        <v>0.93827856454328462</v>
      </c>
      <c r="M815" s="1">
        <f t="shared" si="38"/>
        <v>222.30747914904009</v>
      </c>
      <c r="N815" s="1">
        <f>SLOPE(K815:K818,F815:F818)</f>
        <v>7.7265079571611434E-3</v>
      </c>
      <c r="O815" s="1">
        <f>SLOPE(L815:L818,F815:F818)</f>
        <v>1.2232250561292402E-4</v>
      </c>
      <c r="P815" s="1">
        <f>SLOPE(M815:M818,F815:F818)</f>
        <v>7.2235688251626078</v>
      </c>
      <c r="Q815" s="1">
        <f>(N815*41.35/0.31*60)/1000</f>
        <v>6.1836987876505795E-2</v>
      </c>
      <c r="R815" s="1">
        <f>O815*41.35/0.31*60/1000</f>
        <v>9.7897463363117582E-4</v>
      </c>
      <c r="S815" s="1">
        <f>(O815*41.35/0.31*60)/1000</f>
        <v>9.7897463363117582E-4</v>
      </c>
    </row>
    <row r="816" spans="1:19" x14ac:dyDescent="0.3">
      <c r="A816" s="1">
        <v>770</v>
      </c>
      <c r="C816" s="1" t="s">
        <v>15</v>
      </c>
      <c r="D816" s="1">
        <v>23</v>
      </c>
      <c r="E816" s="1">
        <v>518</v>
      </c>
      <c r="F816" s="1">
        <v>15</v>
      </c>
      <c r="G816" s="1">
        <v>0.54910898656998919</v>
      </c>
      <c r="H816" s="1">
        <v>1.8925979361968401</v>
      </c>
      <c r="I816" s="1">
        <v>736.95784957231695</v>
      </c>
      <c r="K816" s="1">
        <f t="shared" si="36"/>
        <v>0.63312723133710658</v>
      </c>
      <c r="L816" s="1">
        <f t="shared" si="37"/>
        <v>0.93522050190296124</v>
      </c>
      <c r="M816" s="1">
        <f t="shared" si="38"/>
        <v>363.72152304011104</v>
      </c>
      <c r="N816"/>
      <c r="P816" s="1"/>
    </row>
    <row r="817" spans="1:19" x14ac:dyDescent="0.3">
      <c r="A817" s="1">
        <v>771</v>
      </c>
      <c r="C817" s="1" t="s">
        <v>15</v>
      </c>
      <c r="D817" s="1">
        <v>23</v>
      </c>
      <c r="E817" s="1">
        <v>519</v>
      </c>
      <c r="F817" s="1">
        <v>30</v>
      </c>
      <c r="G817" s="1">
        <v>0.65165682966353333</v>
      </c>
      <c r="H817" s="1">
        <v>1.9049750879595737</v>
      </c>
      <c r="I817" s="1">
        <v>954.84683629329027</v>
      </c>
      <c r="K817" s="1">
        <f t="shared" si="36"/>
        <v>0.75136574785268395</v>
      </c>
      <c r="L817" s="1">
        <f t="shared" si="37"/>
        <v>0.94133662718360767</v>
      </c>
      <c r="M817" s="1">
        <f t="shared" si="38"/>
        <v>471.25944281369254</v>
      </c>
      <c r="N817"/>
      <c r="P817" s="1"/>
    </row>
    <row r="818" spans="1:19" x14ac:dyDescent="0.3">
      <c r="A818" s="1">
        <v>772</v>
      </c>
      <c r="C818" s="1" t="s">
        <v>15</v>
      </c>
      <c r="D818" s="1">
        <v>23</v>
      </c>
      <c r="E818" s="1">
        <v>520</v>
      </c>
      <c r="F818" s="1">
        <v>45</v>
      </c>
      <c r="G818" s="1">
        <v>0.7203096294612491</v>
      </c>
      <c r="H818" s="1">
        <v>1.9070379465866958</v>
      </c>
      <c r="I818" s="1">
        <v>1109.6059271327347</v>
      </c>
      <c r="K818" s="1">
        <f t="shared" si="36"/>
        <v>0.83052299736516921</v>
      </c>
      <c r="L818" s="1">
        <f t="shared" si="37"/>
        <v>0.94235598139704868</v>
      </c>
      <c r="M818" s="1">
        <f t="shared" si="38"/>
        <v>547.63994714930993</v>
      </c>
      <c r="N818"/>
      <c r="P818" s="1"/>
    </row>
    <row r="819" spans="1:19" x14ac:dyDescent="0.3">
      <c r="A819" s="1">
        <v>773</v>
      </c>
      <c r="C819" s="1" t="s">
        <v>15</v>
      </c>
      <c r="D819" s="1">
        <v>23</v>
      </c>
      <c r="E819" s="1">
        <v>521</v>
      </c>
      <c r="F819" s="1">
        <v>0</v>
      </c>
      <c r="G819" s="1">
        <v>0.42963279323310982</v>
      </c>
      <c r="H819" s="1">
        <v>1.8874407896290344</v>
      </c>
      <c r="I819" s="1">
        <v>452.67383310079862</v>
      </c>
      <c r="K819" s="1">
        <f t="shared" si="36"/>
        <v>0.49537018610901185</v>
      </c>
      <c r="L819" s="1">
        <f t="shared" si="37"/>
        <v>0.93267211636935865</v>
      </c>
      <c r="M819" s="1">
        <f t="shared" si="38"/>
        <v>223.41469883437458</v>
      </c>
      <c r="N819" s="1">
        <f>SLOPE(K819:K822,F819:F822)</f>
        <v>9.7780534269331955E-3</v>
      </c>
      <c r="O819" s="1">
        <f>SLOPE(L819:L822,F819:F822)</f>
        <v>-2.3105362171330857E-4</v>
      </c>
      <c r="P819" s="1">
        <f>SLOPE(M819:M822,F819:F822)</f>
        <v>8.9518213627303318</v>
      </c>
      <c r="Q819" s="1">
        <f>(N819*41.35/0.31*60)/1000</f>
        <v>7.8255969523294389E-2</v>
      </c>
      <c r="R819" s="1">
        <f>O819*41.35/0.31*60/1000</f>
        <v>-1.8491743079700599E-3</v>
      </c>
      <c r="S819" s="1">
        <f>(O819*41.35/0.31*60)/1000</f>
        <v>-1.8491743079700599E-3</v>
      </c>
    </row>
    <row r="820" spans="1:19" x14ac:dyDescent="0.3">
      <c r="A820" s="1">
        <v>774</v>
      </c>
      <c r="C820" s="1" t="s">
        <v>15</v>
      </c>
      <c r="D820" s="1">
        <v>23</v>
      </c>
      <c r="E820" s="1">
        <v>522</v>
      </c>
      <c r="F820" s="1">
        <v>15</v>
      </c>
      <c r="G820" s="1">
        <v>0.66029354742641266</v>
      </c>
      <c r="H820" s="1">
        <v>1.8420578998323451</v>
      </c>
      <c r="I820" s="1">
        <v>929.64385494871397</v>
      </c>
      <c r="K820" s="1">
        <f t="shared" si="36"/>
        <v>0.76132395531020269</v>
      </c>
      <c r="L820" s="1">
        <f t="shared" si="37"/>
        <v>0.9102463236736551</v>
      </c>
      <c r="M820" s="1">
        <f t="shared" si="38"/>
        <v>458.82064897341985</v>
      </c>
      <c r="N820"/>
      <c r="P820" s="1"/>
    </row>
    <row r="821" spans="1:19" x14ac:dyDescent="0.3">
      <c r="A821" s="1">
        <v>775</v>
      </c>
      <c r="C821" s="1" t="s">
        <v>15</v>
      </c>
      <c r="D821" s="1">
        <v>23</v>
      </c>
      <c r="E821" s="1">
        <v>523</v>
      </c>
      <c r="F821" s="1">
        <v>30</v>
      </c>
      <c r="G821" s="1">
        <v>0.8016347276857424</v>
      </c>
      <c r="H821" s="1">
        <v>1.8338064653238562</v>
      </c>
      <c r="I821" s="1">
        <v>1250.7239123446861</v>
      </c>
      <c r="K821" s="1">
        <f t="shared" si="36"/>
        <v>0.92429151242575602</v>
      </c>
      <c r="L821" s="1">
        <f t="shared" si="37"/>
        <v>0.90616890681989093</v>
      </c>
      <c r="M821" s="1">
        <f t="shared" si="38"/>
        <v>617.28795827970248</v>
      </c>
      <c r="N821"/>
      <c r="P821" s="1"/>
    </row>
    <row r="822" spans="1:19" x14ac:dyDescent="0.3">
      <c r="A822" s="1">
        <v>776</v>
      </c>
      <c r="C822" s="1" t="s">
        <v>15</v>
      </c>
      <c r="D822" s="1">
        <v>23</v>
      </c>
      <c r="E822" s="1">
        <v>524</v>
      </c>
      <c r="F822" s="1">
        <v>45</v>
      </c>
      <c r="G822" s="1">
        <v>0.80654260725798887</v>
      </c>
      <c r="H822" s="1">
        <v>1.8668122033578121</v>
      </c>
      <c r="I822" s="1">
        <v>1252.5380794213472</v>
      </c>
      <c r="K822" s="1">
        <f t="shared" si="36"/>
        <v>0.9299503384171538</v>
      </c>
      <c r="L822" s="1">
        <f t="shared" si="37"/>
        <v>0.92247857423494795</v>
      </c>
      <c r="M822" s="1">
        <f t="shared" si="38"/>
        <v>618.1833305354636</v>
      </c>
      <c r="N822"/>
      <c r="P822" s="1"/>
    </row>
    <row r="823" spans="1:19" x14ac:dyDescent="0.3">
      <c r="A823" s="1">
        <v>777</v>
      </c>
      <c r="C823" s="1" t="s">
        <v>15</v>
      </c>
      <c r="D823" s="1">
        <v>23</v>
      </c>
      <c r="E823" s="1">
        <v>525</v>
      </c>
      <c r="F823" s="1">
        <v>0</v>
      </c>
      <c r="G823" s="1">
        <v>0.40924400446324927</v>
      </c>
      <c r="H823" s="1">
        <v>1.8709379206120564</v>
      </c>
      <c r="I823" s="1">
        <v>457.68801480358252</v>
      </c>
      <c r="K823" s="1">
        <f t="shared" si="36"/>
        <v>0.47186174297677841</v>
      </c>
      <c r="L823" s="1">
        <f t="shared" si="37"/>
        <v>0.92451728266182998</v>
      </c>
      <c r="M823" s="1">
        <f t="shared" si="38"/>
        <v>225.88942083753233</v>
      </c>
      <c r="N823" s="1">
        <f>SLOPE(K823:K826,F823:F826)</f>
        <v>3.6080910305569852E-3</v>
      </c>
      <c r="O823" s="1">
        <f>SLOPE(L823:L826,F823:F826)</f>
        <v>-2.4124716384771539E-4</v>
      </c>
      <c r="P823" s="1">
        <f>SLOPE(M823:M826,F823:F826)</f>
        <v>6.3239686741189844</v>
      </c>
      <c r="Q823" s="1">
        <f>(N823*41.35/0.31*60)/1000</f>
        <v>2.8876367247780262E-2</v>
      </c>
      <c r="R823" s="1">
        <f>O823*41.35/0.31*60/1000</f>
        <v>-1.9307555274392964E-3</v>
      </c>
      <c r="S823" s="1">
        <f>(O823*41.35/0.31*60)/1000</f>
        <v>-1.9307555274392964E-3</v>
      </c>
    </row>
    <row r="824" spans="1:19" x14ac:dyDescent="0.3">
      <c r="A824" s="1">
        <v>778</v>
      </c>
      <c r="C824" s="1" t="s">
        <v>15</v>
      </c>
      <c r="D824" s="1">
        <v>23</v>
      </c>
      <c r="E824" s="1">
        <v>526</v>
      </c>
      <c r="F824" s="1">
        <v>15</v>
      </c>
      <c r="G824" s="1">
        <v>0.51428413015207497</v>
      </c>
      <c r="H824" s="1">
        <v>1.8307121773831727</v>
      </c>
      <c r="I824" s="1">
        <v>873.68716468223408</v>
      </c>
      <c r="K824" s="1">
        <f t="shared" si="36"/>
        <v>0.59297388206611268</v>
      </c>
      <c r="L824" s="1">
        <f t="shared" si="37"/>
        <v>0.90463987549972913</v>
      </c>
      <c r="M824" s="1">
        <f t="shared" si="38"/>
        <v>431.2035300027498</v>
      </c>
      <c r="N824"/>
      <c r="P824" s="1"/>
    </row>
    <row r="825" spans="1:19" x14ac:dyDescent="0.3">
      <c r="A825" s="1">
        <v>779</v>
      </c>
      <c r="C825" s="1" t="s">
        <v>15</v>
      </c>
      <c r="D825" s="1">
        <v>23</v>
      </c>
      <c r="E825" s="1">
        <v>527</v>
      </c>
      <c r="F825" s="1">
        <v>30</v>
      </c>
      <c r="G825" s="1">
        <v>0.52255659122795162</v>
      </c>
      <c r="H825" s="1">
        <v>1.8688750619849344</v>
      </c>
      <c r="I825" s="1">
        <v>922.53118271438268</v>
      </c>
      <c r="K825" s="1">
        <f t="shared" si="36"/>
        <v>0.60251209853208232</v>
      </c>
      <c r="L825" s="1">
        <f t="shared" si="37"/>
        <v>0.92349792844838896</v>
      </c>
      <c r="M825" s="1">
        <f t="shared" si="38"/>
        <v>455.31022842568098</v>
      </c>
      <c r="N825"/>
      <c r="P825" s="1"/>
    </row>
    <row r="826" spans="1:19" x14ac:dyDescent="0.3">
      <c r="A826" s="1">
        <v>780</v>
      </c>
      <c r="C826" s="1" t="s">
        <v>15</v>
      </c>
      <c r="D826" s="1">
        <v>23</v>
      </c>
      <c r="E826" s="1">
        <v>528</v>
      </c>
      <c r="F826" s="1">
        <v>45</v>
      </c>
      <c r="G826" s="1">
        <v>0.56295074067609097</v>
      </c>
      <c r="H826" s="1">
        <v>1.8338064653238562</v>
      </c>
      <c r="I826" s="1">
        <v>1082.0751621478316</v>
      </c>
      <c r="K826" s="1">
        <f t="shared" si="36"/>
        <v>0.64908688901597111</v>
      </c>
      <c r="L826" s="1">
        <f t="shared" si="37"/>
        <v>0.90616890681989093</v>
      </c>
      <c r="M826" s="1">
        <f t="shared" si="38"/>
        <v>534.05228840250447</v>
      </c>
      <c r="N826"/>
      <c r="P826" s="1"/>
    </row>
    <row r="827" spans="1:19" x14ac:dyDescent="0.3">
      <c r="A827" s="1">
        <v>781</v>
      </c>
      <c r="C827" s="1" t="s">
        <v>15</v>
      </c>
      <c r="D827" s="1">
        <v>23</v>
      </c>
      <c r="E827" s="1">
        <v>529</v>
      </c>
      <c r="F827" s="1">
        <v>0</v>
      </c>
      <c r="G827" s="1">
        <v>0.41671126654680429</v>
      </c>
      <c r="H827" s="1">
        <v>1.851340763654395</v>
      </c>
      <c r="I827" s="1">
        <v>458.66296910211173</v>
      </c>
      <c r="K827" s="1">
        <f t="shared" si="36"/>
        <v>0.48047155830353439</v>
      </c>
      <c r="L827" s="1">
        <f t="shared" si="37"/>
        <v>0.91483341763413983</v>
      </c>
      <c r="M827" s="1">
        <f t="shared" si="38"/>
        <v>226.37060420855056</v>
      </c>
      <c r="N827" s="1">
        <f>SLOPE(K827:K830,F827:F830)</f>
        <v>4.1428058771660354E-3</v>
      </c>
      <c r="O827" s="1">
        <f>SLOPE(L827:L830,F827:F830)</f>
        <v>-7.4752642319009984E-5</v>
      </c>
      <c r="P827" s="1">
        <f>SLOPE(M827:M830,F827:F830)</f>
        <v>5.7967431915195373</v>
      </c>
      <c r="Q827" s="1">
        <f>(N827*41.35/0.31*60)/1000</f>
        <v>3.3155810907254633E-2</v>
      </c>
      <c r="R827" s="1">
        <f>O827*41.35/0.31*60/1000</f>
        <v>-5.9826227610794772E-4</v>
      </c>
      <c r="S827" s="1">
        <f>(O827*41.35/0.31*60)/1000</f>
        <v>-5.9826227610794772E-4</v>
      </c>
    </row>
    <row r="828" spans="1:19" x14ac:dyDescent="0.3">
      <c r="A828" s="1">
        <v>782</v>
      </c>
      <c r="C828" s="1" t="s">
        <v>15</v>
      </c>
      <c r="D828" s="1">
        <v>23</v>
      </c>
      <c r="E828" s="1">
        <v>530</v>
      </c>
      <c r="F828" s="1">
        <v>15</v>
      </c>
      <c r="G828" s="1">
        <v>0.53401150546395704</v>
      </c>
      <c r="H828" s="1">
        <v>1.8626864861035677</v>
      </c>
      <c r="I828" s="1">
        <v>876.87067020452457</v>
      </c>
      <c r="K828" s="1">
        <f t="shared" si="36"/>
        <v>0.61571970997684922</v>
      </c>
      <c r="L828" s="1">
        <f t="shared" si="37"/>
        <v>0.9204398658080658</v>
      </c>
      <c r="M828" s="1">
        <f t="shared" si="38"/>
        <v>432.77473177208583</v>
      </c>
      <c r="N828"/>
      <c r="P828" s="1"/>
    </row>
    <row r="829" spans="1:19" x14ac:dyDescent="0.3">
      <c r="A829" s="1">
        <v>783</v>
      </c>
      <c r="C829" s="1" t="s">
        <v>15</v>
      </c>
      <c r="D829" s="1">
        <v>23</v>
      </c>
      <c r="E829" s="1">
        <v>531</v>
      </c>
      <c r="F829" s="1">
        <v>30</v>
      </c>
      <c r="G829" s="1">
        <v>0.55508087909637527</v>
      </c>
      <c r="H829" s="1">
        <v>1.8430893291459063</v>
      </c>
      <c r="I829" s="1">
        <v>906.39995392554727</v>
      </c>
      <c r="K829" s="1">
        <f t="shared" si="36"/>
        <v>0.64001287311960842</v>
      </c>
      <c r="L829" s="1">
        <f t="shared" si="37"/>
        <v>0.91075600078037566</v>
      </c>
      <c r="M829" s="1">
        <f t="shared" si="38"/>
        <v>447.34874852966158</v>
      </c>
      <c r="N829"/>
      <c r="P829" s="1"/>
    </row>
    <row r="830" spans="1:19" x14ac:dyDescent="0.3">
      <c r="A830" s="1">
        <v>784</v>
      </c>
      <c r="C830" s="1" t="s">
        <v>15</v>
      </c>
      <c r="D830" s="1">
        <v>23</v>
      </c>
      <c r="E830" s="1">
        <v>532</v>
      </c>
      <c r="F830" s="1">
        <v>45</v>
      </c>
      <c r="G830" s="1">
        <v>0.58934017907920622</v>
      </c>
      <c r="H830" s="1">
        <v>1.8503093343408341</v>
      </c>
      <c r="I830" s="1">
        <v>1036.0762130094156</v>
      </c>
      <c r="K830" s="1">
        <f t="shared" si="36"/>
        <v>0.67951413111424974</v>
      </c>
      <c r="L830" s="1">
        <f t="shared" si="37"/>
        <v>0.91432374052741938</v>
      </c>
      <c r="M830" s="1">
        <f t="shared" si="38"/>
        <v>511.34975819866884</v>
      </c>
      <c r="N830"/>
      <c r="P830" s="1"/>
    </row>
    <row r="831" spans="1:19" x14ac:dyDescent="0.3">
      <c r="A831" s="1">
        <v>785</v>
      </c>
      <c r="C831" s="1" t="s">
        <v>15</v>
      </c>
      <c r="D831" s="1">
        <v>23</v>
      </c>
      <c r="E831" s="1">
        <v>533</v>
      </c>
      <c r="F831" s="1">
        <v>0</v>
      </c>
      <c r="G831" s="1">
        <v>0.4179669935467345</v>
      </c>
      <c r="H831" s="1">
        <v>1.8554664809086396</v>
      </c>
      <c r="I831" s="1">
        <v>445.45201734668842</v>
      </c>
      <c r="K831" s="1">
        <f t="shared" si="36"/>
        <v>0.48191942198492715</v>
      </c>
      <c r="L831" s="1">
        <f t="shared" si="37"/>
        <v>0.91687212606102197</v>
      </c>
      <c r="M831" s="1">
        <f t="shared" si="38"/>
        <v>219.85041109834677</v>
      </c>
      <c r="N831" s="1">
        <f>SLOPE(K831:K834,F831:F834)</f>
        <v>8.4163984227530585E-3</v>
      </c>
      <c r="O831" s="1">
        <f>SLOPE(L831:L834,F831:F834)</f>
        <v>-3.8735460110760495E-4</v>
      </c>
      <c r="P831" s="1">
        <f>SLOPE(M831:M834,F831:F834)</f>
        <v>11.604968996565095</v>
      </c>
      <c r="Q831" s="1">
        <f>(N831*41.35/0.31*60)/1000</f>
        <v>6.7358337054355927E-2</v>
      </c>
      <c r="R831" s="1">
        <f>O831*41.35/0.31*60/1000</f>
        <v>-3.1000863398321543E-3</v>
      </c>
      <c r="S831" s="1">
        <f>(O831*41.35/0.31*60)/1000</f>
        <v>-3.1000863398321543E-3</v>
      </c>
    </row>
    <row r="832" spans="1:19" x14ac:dyDescent="0.3">
      <c r="A832" s="1">
        <v>786</v>
      </c>
      <c r="C832" s="1" t="s">
        <v>15</v>
      </c>
      <c r="D832" s="1">
        <v>23</v>
      </c>
      <c r="E832" s="1">
        <v>534</v>
      </c>
      <c r="F832" s="1">
        <v>15</v>
      </c>
      <c r="G832" s="1">
        <v>0.5663440792865897</v>
      </c>
      <c r="H832" s="1">
        <v>1.8234921721882449</v>
      </c>
      <c r="I832" s="1">
        <v>986.04262232892029</v>
      </c>
      <c r="K832" s="1">
        <f t="shared" si="36"/>
        <v>0.65299943667408622</v>
      </c>
      <c r="L832" s="1">
        <f t="shared" si="37"/>
        <v>0.90107213575268552</v>
      </c>
      <c r="M832" s="1">
        <f t="shared" si="38"/>
        <v>486.65595268993258</v>
      </c>
      <c r="N832"/>
      <c r="P832" s="1"/>
    </row>
    <row r="833" spans="1:19" x14ac:dyDescent="0.3">
      <c r="A833" s="1">
        <v>787</v>
      </c>
      <c r="C833" s="1" t="s">
        <v>15</v>
      </c>
      <c r="D833" s="1">
        <v>23</v>
      </c>
      <c r="E833" s="1">
        <v>535</v>
      </c>
      <c r="F833" s="1">
        <v>30</v>
      </c>
      <c r="G833" s="1">
        <v>0.67194017570820885</v>
      </c>
      <c r="H833" s="1">
        <v>1.8173035963068782</v>
      </c>
      <c r="I833" s="1">
        <v>1305.723074588904</v>
      </c>
      <c r="K833" s="1">
        <f t="shared" si="36"/>
        <v>0.77475261464525835</v>
      </c>
      <c r="L833" s="1">
        <f t="shared" si="37"/>
        <v>0.89801407311236225</v>
      </c>
      <c r="M833" s="1">
        <f t="shared" si="38"/>
        <v>644.43249452286261</v>
      </c>
      <c r="N833"/>
      <c r="P833" s="1"/>
    </row>
    <row r="834" spans="1:19" x14ac:dyDescent="0.3">
      <c r="A834" s="1">
        <v>788</v>
      </c>
      <c r="C834" s="1" t="s">
        <v>15</v>
      </c>
      <c r="D834" s="1">
        <v>23</v>
      </c>
      <c r="E834" s="1">
        <v>536</v>
      </c>
      <c r="F834" s="1">
        <v>45</v>
      </c>
      <c r="G834" s="1">
        <v>0.74774390941392466</v>
      </c>
      <c r="H834" s="1">
        <v>1.8183350256204394</v>
      </c>
      <c r="I834" s="1">
        <v>1514.5678239271897</v>
      </c>
      <c r="K834" s="1">
        <f t="shared" si="36"/>
        <v>0.86215495046552271</v>
      </c>
      <c r="L834" s="1">
        <f t="shared" si="37"/>
        <v>0.89852375021908282</v>
      </c>
      <c r="M834" s="1">
        <f t="shared" si="38"/>
        <v>747.50668031562486</v>
      </c>
      <c r="N834"/>
      <c r="P834" s="1"/>
    </row>
    <row r="835" spans="1:19" x14ac:dyDescent="0.3">
      <c r="A835" s="1">
        <v>789</v>
      </c>
      <c r="C835" s="1" t="s">
        <v>15</v>
      </c>
      <c r="D835" s="1">
        <v>23</v>
      </c>
      <c r="E835" s="1">
        <v>537</v>
      </c>
      <c r="F835" s="1">
        <v>0</v>
      </c>
      <c r="G835" s="1">
        <v>0.4184079358520536</v>
      </c>
      <c r="H835" s="1">
        <v>1.8585607688493231</v>
      </c>
      <c r="I835" s="1">
        <v>460.30012189879534</v>
      </c>
      <c r="K835" s="1">
        <f t="shared" ref="K835:K898" si="39">(G835*28*1)/(0.082*(D835+273.15))</f>
        <v>0.48242783213259188</v>
      </c>
      <c r="L835" s="1">
        <f t="shared" ref="L835:L898" si="40">(H835*12*1)/(0.082*(D835+273.15))</f>
        <v>0.91840115738118377</v>
      </c>
      <c r="M835" s="1">
        <f t="shared" ref="M835:M898" si="41">(I835*12*1)/(0.0821*(D835+273.15))</f>
        <v>227.17861203288501</v>
      </c>
      <c r="N835" s="1">
        <f>SLOPE(K835:K838,F835:F838)</f>
        <v>6.2297926920144306E-3</v>
      </c>
      <c r="O835" s="1">
        <f>SLOPE(L835:L838,F835:F838)</f>
        <v>-2.0726869006634969E-4</v>
      </c>
      <c r="P835" s="1">
        <f>SLOPE(M835:M838,F835:F838)</f>
        <v>8.2840070453511565</v>
      </c>
      <c r="Q835" s="1">
        <f>(N835*41.35/0.31*60)/1000</f>
        <v>4.9858437641573564E-2</v>
      </c>
      <c r="R835" s="1">
        <f>O835*41.35/0.31*60/1000</f>
        <v>-1.6588181292084309E-3</v>
      </c>
      <c r="S835" s="1">
        <f>(O835*41.35/0.31*60)/1000</f>
        <v>-1.6588181292084309E-3</v>
      </c>
    </row>
    <row r="836" spans="1:19" x14ac:dyDescent="0.3">
      <c r="A836" s="1">
        <v>790</v>
      </c>
      <c r="C836" s="1" t="s">
        <v>15</v>
      </c>
      <c r="D836" s="1">
        <v>23</v>
      </c>
      <c r="E836" s="1">
        <v>538</v>
      </c>
      <c r="F836" s="1">
        <v>15</v>
      </c>
      <c r="G836" s="1">
        <v>0.6293604861380534</v>
      </c>
      <c r="H836" s="1">
        <v>1.849277905027273</v>
      </c>
      <c r="I836" s="1">
        <v>1024.6088060531492</v>
      </c>
      <c r="K836" s="1">
        <f t="shared" si="39"/>
        <v>0.72565787821207517</v>
      </c>
      <c r="L836" s="1">
        <f t="shared" si="40"/>
        <v>0.91381406342069882</v>
      </c>
      <c r="M836" s="1">
        <f t="shared" si="41"/>
        <v>505.69008210474499</v>
      </c>
      <c r="N836"/>
      <c r="P836" s="1"/>
    </row>
    <row r="837" spans="1:19" x14ac:dyDescent="0.3">
      <c r="A837" s="1">
        <v>791</v>
      </c>
      <c r="C837" s="1" t="s">
        <v>15</v>
      </c>
      <c r="D837" s="1">
        <v>23</v>
      </c>
      <c r="E837" s="1">
        <v>539</v>
      </c>
      <c r="F837" s="1">
        <v>30</v>
      </c>
      <c r="G837" s="1">
        <v>0.59419054443771568</v>
      </c>
      <c r="H837" s="1">
        <v>1.8668122033578121</v>
      </c>
      <c r="I837" s="1">
        <v>1018.0638635561554</v>
      </c>
      <c r="K837" s="1">
        <f t="shared" si="39"/>
        <v>0.68510664273856114</v>
      </c>
      <c r="L837" s="1">
        <f t="shared" si="40"/>
        <v>0.92247857423494795</v>
      </c>
      <c r="M837" s="1">
        <f t="shared" si="41"/>
        <v>502.45986146919836</v>
      </c>
      <c r="N837"/>
      <c r="P837" s="1"/>
    </row>
    <row r="838" spans="1:19" x14ac:dyDescent="0.3">
      <c r="A838" s="1">
        <v>792</v>
      </c>
      <c r="C838" s="1" t="s">
        <v>15</v>
      </c>
      <c r="D838" s="1">
        <v>23</v>
      </c>
      <c r="E838" s="1">
        <v>540</v>
      </c>
      <c r="F838" s="1">
        <v>45</v>
      </c>
      <c r="G838" s="1">
        <v>0.70028509737839117</v>
      </c>
      <c r="H838" s="1">
        <v>1.8317436066967341</v>
      </c>
      <c r="I838" s="1">
        <v>1301.7177825647484</v>
      </c>
      <c r="K838" s="1">
        <f t="shared" si="39"/>
        <v>0.80743454522448477</v>
      </c>
      <c r="L838" s="1">
        <f t="shared" si="40"/>
        <v>0.90514955260644991</v>
      </c>
      <c r="M838" s="1">
        <f t="shared" si="41"/>
        <v>642.45570451229173</v>
      </c>
      <c r="N838"/>
      <c r="P838" s="1"/>
    </row>
    <row r="839" spans="1:19" x14ac:dyDescent="0.3">
      <c r="A839" s="1">
        <v>793</v>
      </c>
      <c r="C839" s="1" t="s">
        <v>15</v>
      </c>
      <c r="D839" s="1">
        <v>23</v>
      </c>
      <c r="E839" s="1">
        <v>541</v>
      </c>
      <c r="F839" s="1">
        <v>0</v>
      </c>
      <c r="G839" s="1">
        <v>0.42618194040887392</v>
      </c>
      <c r="H839" s="1">
        <v>1.9018808000188903</v>
      </c>
      <c r="I839" s="1">
        <v>459.32608477270122</v>
      </c>
      <c r="K839" s="1">
        <f t="shared" si="39"/>
        <v>0.49139132408381014</v>
      </c>
      <c r="L839" s="1">
        <f t="shared" si="40"/>
        <v>0.93980759586344609</v>
      </c>
      <c r="M839" s="1">
        <f t="shared" si="41"/>
        <v>226.69788132731458</v>
      </c>
      <c r="N839" s="1">
        <f>SLOPE(K839:K842,F839:F842)</f>
        <v>1.0497564309823836E-2</v>
      </c>
      <c r="O839" s="1">
        <f>SLOPE(L839:L842,F839:F842)</f>
        <v>9.1741879209697642E-5</v>
      </c>
      <c r="P839" s="1">
        <f>SLOPE(M839:M842,F839:F842)</f>
        <v>9.8119309801073236</v>
      </c>
      <c r="Q839" s="1">
        <f>(N839*41.35/0.31*60)/1000</f>
        <v>8.4014377589267539E-2</v>
      </c>
      <c r="R839" s="1">
        <f>O839*41.35/0.31*60/1000</f>
        <v>7.3423097522341894E-4</v>
      </c>
      <c r="S839" s="1">
        <f>(O839*41.35/0.31*60)/1000</f>
        <v>7.3423097522341894E-4</v>
      </c>
    </row>
    <row r="840" spans="1:19" x14ac:dyDescent="0.3">
      <c r="A840" s="1">
        <v>794</v>
      </c>
      <c r="C840" s="1" t="s">
        <v>15</v>
      </c>
      <c r="D840" s="1">
        <v>23</v>
      </c>
      <c r="E840" s="1">
        <v>542</v>
      </c>
      <c r="F840" s="1">
        <v>15</v>
      </c>
      <c r="G840" s="1">
        <v>0.7009560965386592</v>
      </c>
      <c r="H840" s="1">
        <v>1.8802207844341068</v>
      </c>
      <c r="I840" s="1">
        <v>1038.0719802282299</v>
      </c>
      <c r="K840" s="1">
        <f t="shared" si="39"/>
        <v>0.80820821284049604</v>
      </c>
      <c r="L840" s="1">
        <f t="shared" si="40"/>
        <v>0.92910437662231504</v>
      </c>
      <c r="M840" s="1">
        <f t="shared" si="41"/>
        <v>512.3347582130956</v>
      </c>
      <c r="N840"/>
      <c r="P840" s="1"/>
    </row>
    <row r="841" spans="1:19" x14ac:dyDescent="0.3">
      <c r="A841" s="1">
        <v>795</v>
      </c>
      <c r="C841" s="1" t="s">
        <v>15</v>
      </c>
      <c r="D841" s="1">
        <v>23</v>
      </c>
      <c r="E841" s="1">
        <v>543</v>
      </c>
      <c r="F841" s="1">
        <v>30</v>
      </c>
      <c r="G841" s="1">
        <v>0.74728379570402648</v>
      </c>
      <c r="H841" s="1">
        <v>1.9173522397223071</v>
      </c>
      <c r="I841" s="1">
        <v>1218.2358303479764</v>
      </c>
      <c r="K841" s="1">
        <f t="shared" si="39"/>
        <v>0.86162443552882906</v>
      </c>
      <c r="L841" s="1">
        <f t="shared" si="40"/>
        <v>0.94745275246425409</v>
      </c>
      <c r="M841" s="1">
        <f t="shared" si="41"/>
        <v>601.25364278750317</v>
      </c>
      <c r="N841"/>
      <c r="P841" s="1"/>
    </row>
    <row r="842" spans="1:19" x14ac:dyDescent="0.3">
      <c r="A842" s="1">
        <v>796</v>
      </c>
      <c r="C842" s="1" t="s">
        <v>15</v>
      </c>
      <c r="D842" s="1">
        <v>23</v>
      </c>
      <c r="E842" s="1">
        <v>544</v>
      </c>
      <c r="F842" s="1">
        <v>45</v>
      </c>
      <c r="G842" s="1">
        <v>0.86596437575087348</v>
      </c>
      <c r="H842" s="1">
        <v>1.898786512078207</v>
      </c>
      <c r="I842" s="1">
        <v>1393.2983673836029</v>
      </c>
      <c r="K842" s="1">
        <f t="shared" si="39"/>
        <v>0.99846413201222428</v>
      </c>
      <c r="L842" s="1">
        <f t="shared" si="40"/>
        <v>0.93827856454328462</v>
      </c>
      <c r="M842" s="1">
        <f t="shared" si="41"/>
        <v>687.65480214121158</v>
      </c>
      <c r="N842"/>
      <c r="P842" s="1"/>
    </row>
    <row r="843" spans="1:19" x14ac:dyDescent="0.3">
      <c r="A843" s="1">
        <v>797</v>
      </c>
      <c r="C843" s="1" t="s">
        <v>15</v>
      </c>
      <c r="D843" s="1">
        <v>23</v>
      </c>
      <c r="E843" s="1">
        <v>545</v>
      </c>
      <c r="F843" s="1">
        <v>0</v>
      </c>
      <c r="G843" s="1">
        <v>0.41208137234095438</v>
      </c>
      <c r="H843" s="1">
        <v>1.8956922241375236</v>
      </c>
      <c r="I843" s="1">
        <v>449.81867531027984</v>
      </c>
      <c r="K843" s="1">
        <f t="shared" si="39"/>
        <v>0.47513325175305543</v>
      </c>
      <c r="L843" s="1">
        <f t="shared" si="40"/>
        <v>0.93674953322312304</v>
      </c>
      <c r="M843" s="1">
        <f t="shared" si="41"/>
        <v>222.00555129535323</v>
      </c>
      <c r="N843" s="1">
        <f>SLOPE(K843:K846,F843:F846)</f>
        <v>2.6331961517524708E-3</v>
      </c>
      <c r="O843" s="1">
        <f>SLOPE(L843:L846,F843:F846)</f>
        <v>-2.4804285860399771E-4</v>
      </c>
      <c r="P843" s="1">
        <f>SLOPE(M843:M846,F843:F846)</f>
        <v>6.1372109814326601</v>
      </c>
      <c r="Q843" s="1">
        <f>(N843*41.35/0.31*60)/1000</f>
        <v>2.1074063395154455E-2</v>
      </c>
      <c r="R843" s="1">
        <f>O843*41.35/0.31*60/1000</f>
        <v>-1.9851430070855431E-3</v>
      </c>
      <c r="S843" s="1">
        <f>(O843*41.35/0.31*60)/1000</f>
        <v>-1.9851430070855431E-3</v>
      </c>
    </row>
    <row r="844" spans="1:19" x14ac:dyDescent="0.3">
      <c r="A844" s="1">
        <v>798</v>
      </c>
      <c r="C844" s="1" t="s">
        <v>15</v>
      </c>
      <c r="D844" s="1">
        <v>23</v>
      </c>
      <c r="E844" s="1">
        <v>546</v>
      </c>
      <c r="F844" s="1">
        <v>15</v>
      </c>
      <c r="G844" s="1">
        <v>0.4853257235353618</v>
      </c>
      <c r="H844" s="1">
        <v>1.8760950671798622</v>
      </c>
      <c r="I844" s="1">
        <v>831.50181852903381</v>
      </c>
      <c r="K844" s="1">
        <f t="shared" si="39"/>
        <v>0.55958459823796158</v>
      </c>
      <c r="L844" s="1">
        <f t="shared" si="40"/>
        <v>0.92706566819543279</v>
      </c>
      <c r="M844" s="1">
        <f t="shared" si="41"/>
        <v>410.38318273089322</v>
      </c>
      <c r="N844"/>
      <c r="P844" s="1"/>
    </row>
    <row r="845" spans="1:19" x14ac:dyDescent="0.3">
      <c r="A845" s="1">
        <v>799</v>
      </c>
      <c r="C845" s="1" t="s">
        <v>15</v>
      </c>
      <c r="D845" s="1">
        <v>23</v>
      </c>
      <c r="E845" s="1">
        <v>547</v>
      </c>
      <c r="F845" s="1">
        <v>30</v>
      </c>
      <c r="G845" s="1">
        <v>0.46833985907828946</v>
      </c>
      <c r="H845" s="1">
        <v>1.9029122293324512</v>
      </c>
      <c r="I845" s="1">
        <v>843.21227618060584</v>
      </c>
      <c r="K845" s="1">
        <f t="shared" si="39"/>
        <v>0.53999975515835763</v>
      </c>
      <c r="L845" s="1">
        <f t="shared" si="40"/>
        <v>0.94031727297016654</v>
      </c>
      <c r="M845" s="1">
        <f t="shared" si="41"/>
        <v>416.16281516848562</v>
      </c>
      <c r="N845"/>
      <c r="P845" s="1"/>
    </row>
    <row r="846" spans="1:19" x14ac:dyDescent="0.3">
      <c r="A846" s="1">
        <v>800</v>
      </c>
      <c r="C846" s="1" t="s">
        <v>15</v>
      </c>
      <c r="D846" s="1">
        <v>23</v>
      </c>
      <c r="E846" s="1">
        <v>548</v>
      </c>
      <c r="F846" s="1">
        <v>45</v>
      </c>
      <c r="G846" s="1">
        <v>0.53193140806712591</v>
      </c>
      <c r="H846" s="1">
        <v>1.8616550567900063</v>
      </c>
      <c r="I846" s="1">
        <v>1067.6636316748404</v>
      </c>
      <c r="K846" s="1">
        <f t="shared" si="39"/>
        <v>0.61332134036721364</v>
      </c>
      <c r="L846" s="1">
        <f t="shared" si="40"/>
        <v>0.91993018870134524</v>
      </c>
      <c r="M846" s="1">
        <f t="shared" si="41"/>
        <v>526.93955622112207</v>
      </c>
      <c r="N846"/>
      <c r="P846" s="1"/>
    </row>
    <row r="847" spans="1:19" x14ac:dyDescent="0.3">
      <c r="A847" s="1">
        <v>801</v>
      </c>
      <c r="C847" s="1" t="s">
        <v>15</v>
      </c>
      <c r="D847" s="1">
        <v>23</v>
      </c>
      <c r="E847" s="1">
        <v>549</v>
      </c>
      <c r="F847" s="1">
        <v>0</v>
      </c>
      <c r="G847" s="1">
        <v>0.41470785476828947</v>
      </c>
      <c r="H847" s="1">
        <v>1.8771264964934231</v>
      </c>
      <c r="I847" s="1">
        <v>453.29109014963228</v>
      </c>
      <c r="K847" s="1">
        <f t="shared" si="39"/>
        <v>0.47816160785001449</v>
      </c>
      <c r="L847" s="1">
        <f t="shared" si="40"/>
        <v>0.92757534530215324</v>
      </c>
      <c r="M847" s="1">
        <f t="shared" si="41"/>
        <v>223.71934268074833</v>
      </c>
      <c r="N847" s="1">
        <f>SLOPE(K847:K850,F847:F850)</f>
        <v>1.3174601626483625E-2</v>
      </c>
      <c r="O847" s="1">
        <f>SLOPE(L847:L850,F847:F850)</f>
        <v>-1.9707514793193843E-4</v>
      </c>
      <c r="P847" s="1">
        <f>SLOPE(M847:M850,F847:F850)</f>
        <v>8.267406294495272</v>
      </c>
      <c r="Q847" s="1">
        <f>(N847*41.35/0.31*60)/1000</f>
        <v>0.10543931172679313</v>
      </c>
      <c r="R847" s="1">
        <f>O847*41.35/0.31*60/1000</f>
        <v>-1.5772369097391589E-3</v>
      </c>
      <c r="S847" s="1">
        <f>(O847*41.35/0.31*60)/1000</f>
        <v>-1.5772369097391589E-3</v>
      </c>
    </row>
    <row r="848" spans="1:19" x14ac:dyDescent="0.3">
      <c r="A848" s="1">
        <v>802</v>
      </c>
      <c r="C848" s="1" t="s">
        <v>15</v>
      </c>
      <c r="D848" s="1">
        <v>23</v>
      </c>
      <c r="E848" s="1">
        <v>550</v>
      </c>
      <c r="F848" s="1">
        <v>15</v>
      </c>
      <c r="G848" s="1">
        <v>0.66311174389953864</v>
      </c>
      <c r="H848" s="1">
        <v>1.851340763654395</v>
      </c>
      <c r="I848" s="1">
        <v>821.09282856289235</v>
      </c>
      <c r="K848" s="1">
        <f t="shared" si="39"/>
        <v>0.76457335929745085</v>
      </c>
      <c r="L848" s="1">
        <f t="shared" si="40"/>
        <v>0.91483341763413983</v>
      </c>
      <c r="M848" s="1">
        <f t="shared" si="41"/>
        <v>405.24588256373795</v>
      </c>
      <c r="N848"/>
      <c r="P848" s="1"/>
    </row>
    <row r="849" spans="1:19" x14ac:dyDescent="0.3">
      <c r="A849" s="1">
        <v>803</v>
      </c>
      <c r="C849" s="1" t="s">
        <v>15</v>
      </c>
      <c r="D849" s="1">
        <v>23</v>
      </c>
      <c r="E849" s="1">
        <v>551</v>
      </c>
      <c r="F849" s="1">
        <v>30</v>
      </c>
      <c r="G849" s="1">
        <v>0.87863667417765112</v>
      </c>
      <c r="H849" s="1">
        <v>1.8595921981628842</v>
      </c>
      <c r="I849" s="1">
        <v>1127.5393997565748</v>
      </c>
      <c r="K849" s="1">
        <f t="shared" si="39"/>
        <v>1.0130753975603264</v>
      </c>
      <c r="L849" s="1">
        <f t="shared" si="40"/>
        <v>0.91891083448790423</v>
      </c>
      <c r="M849" s="1">
        <f t="shared" si="41"/>
        <v>556.49091465026902</v>
      </c>
      <c r="N849"/>
      <c r="P849" s="1"/>
    </row>
    <row r="850" spans="1:19" x14ac:dyDescent="0.3">
      <c r="A850" s="1">
        <v>804</v>
      </c>
      <c r="C850" s="1" t="s">
        <v>15</v>
      </c>
      <c r="D850" s="1">
        <v>23</v>
      </c>
      <c r="E850" s="1">
        <v>552</v>
      </c>
      <c r="F850" s="1">
        <v>45</v>
      </c>
      <c r="G850" s="1">
        <v>0.914180458267281</v>
      </c>
      <c r="H850" s="1">
        <v>1.8544350515950787</v>
      </c>
      <c r="I850" s="1">
        <v>1188.6964577301671</v>
      </c>
      <c r="K850" s="1">
        <f t="shared" si="39"/>
        <v>1.0540576764199039</v>
      </c>
      <c r="L850" s="1">
        <f t="shared" si="40"/>
        <v>0.91636244895430152</v>
      </c>
      <c r="M850" s="1">
        <f t="shared" si="41"/>
        <v>586.67464671000153</v>
      </c>
      <c r="N850"/>
      <c r="P850" s="1"/>
    </row>
    <row r="851" spans="1:19" x14ac:dyDescent="0.3">
      <c r="A851" s="1">
        <v>805</v>
      </c>
      <c r="C851" s="1" t="s">
        <v>15</v>
      </c>
      <c r="D851" s="1">
        <v>23</v>
      </c>
      <c r="E851" s="1">
        <v>553</v>
      </c>
      <c r="F851" s="1">
        <v>0</v>
      </c>
      <c r="G851" s="1">
        <v>0.40828543423429486</v>
      </c>
      <c r="H851" s="1">
        <v>1.851340763654395</v>
      </c>
      <c r="I851" s="1">
        <v>462.86912188955773</v>
      </c>
      <c r="K851" s="1">
        <f t="shared" si="39"/>
        <v>0.47075650352533349</v>
      </c>
      <c r="L851" s="1">
        <f t="shared" si="40"/>
        <v>0.91483341763413983</v>
      </c>
      <c r="M851" s="1">
        <f t="shared" si="41"/>
        <v>228.44652795219082</v>
      </c>
      <c r="N851" s="1">
        <f>SLOPE(K851:K854,F851:F854)</f>
        <v>1.4897154152875589E-3</v>
      </c>
      <c r="O851" s="1">
        <f>SLOPE(L851:L854,F851:F854)</f>
        <v>2.3784931646958423E-4</v>
      </c>
      <c r="P851" s="1">
        <f>SLOPE(M851:M854,F851:F854)</f>
        <v>4.9695423521980722</v>
      </c>
      <c r="Q851" s="1">
        <f>(N851*41.35/0.31*60)/1000</f>
        <v>1.1922528855898173E-2</v>
      </c>
      <c r="R851" s="1">
        <f>O851*41.35/0.31*60/1000</f>
        <v>1.9035617876162533E-3</v>
      </c>
      <c r="S851" s="1">
        <f>(O851*41.35/0.31*60)/1000</f>
        <v>1.9035617876162533E-3</v>
      </c>
    </row>
    <row r="852" spans="1:19" x14ac:dyDescent="0.3">
      <c r="A852" s="1">
        <v>806</v>
      </c>
      <c r="C852" s="1" t="s">
        <v>15</v>
      </c>
      <c r="D852" s="1">
        <v>23</v>
      </c>
      <c r="E852" s="1">
        <v>554</v>
      </c>
      <c r="F852" s="1">
        <v>15</v>
      </c>
      <c r="G852" s="1">
        <v>0.43286317490468629</v>
      </c>
      <c r="H852" s="1">
        <v>1.8637179154171288</v>
      </c>
      <c r="I852" s="1">
        <v>654.74159531600606</v>
      </c>
      <c r="K852" s="1">
        <f t="shared" si="39"/>
        <v>0.49909484306038121</v>
      </c>
      <c r="L852" s="1">
        <f t="shared" si="40"/>
        <v>0.92094954291478637</v>
      </c>
      <c r="M852" s="1">
        <f t="shared" si="41"/>
        <v>323.14413963329525</v>
      </c>
      <c r="N852"/>
      <c r="P852" s="1"/>
    </row>
    <row r="853" spans="1:19" x14ac:dyDescent="0.3">
      <c r="A853" s="1">
        <v>807</v>
      </c>
      <c r="C853" s="1" t="s">
        <v>15</v>
      </c>
      <c r="D853" s="1">
        <v>23</v>
      </c>
      <c r="E853" s="1">
        <v>555</v>
      </c>
      <c r="F853" s="1">
        <v>30</v>
      </c>
      <c r="G853" s="1">
        <v>0.46266512332287929</v>
      </c>
      <c r="H853" s="1">
        <v>1.8585607688493231</v>
      </c>
      <c r="I853" s="1">
        <v>876.65972054444774</v>
      </c>
      <c r="K853" s="1">
        <f t="shared" si="39"/>
        <v>0.53345673760580381</v>
      </c>
      <c r="L853" s="1">
        <f t="shared" si="40"/>
        <v>0.91840115738118377</v>
      </c>
      <c r="M853" s="1">
        <f t="shared" si="41"/>
        <v>432.67061871909038</v>
      </c>
      <c r="N853"/>
      <c r="P853" s="1"/>
    </row>
    <row r="854" spans="1:19" x14ac:dyDescent="0.3">
      <c r="A854" s="1">
        <v>808</v>
      </c>
      <c r="C854" s="1" t="s">
        <v>15</v>
      </c>
      <c r="D854" s="1">
        <v>23</v>
      </c>
      <c r="E854" s="1">
        <v>556</v>
      </c>
      <c r="F854" s="1">
        <v>45</v>
      </c>
      <c r="G854" s="1">
        <v>0.46295269439156561</v>
      </c>
      <c r="H854" s="1">
        <v>1.8771264964934231</v>
      </c>
      <c r="I854" s="1">
        <v>892.35070656442713</v>
      </c>
      <c r="K854" s="1">
        <f t="shared" si="39"/>
        <v>0.53378830944123723</v>
      </c>
      <c r="L854" s="1">
        <f t="shared" si="40"/>
        <v>0.92757534530215324</v>
      </c>
      <c r="M854" s="1">
        <f t="shared" si="41"/>
        <v>440.41481920016275</v>
      </c>
      <c r="N854"/>
      <c r="P854" s="1"/>
    </row>
    <row r="855" spans="1:19" x14ac:dyDescent="0.3">
      <c r="A855" s="1">
        <v>809</v>
      </c>
      <c r="C855" s="1" t="s">
        <v>15</v>
      </c>
      <c r="D855" s="1">
        <v>23</v>
      </c>
      <c r="E855" s="1">
        <v>557</v>
      </c>
      <c r="F855" s="1">
        <v>0</v>
      </c>
      <c r="G855" s="1">
        <v>0.42445651399675594</v>
      </c>
      <c r="H855" s="1">
        <v>1.849277905027273</v>
      </c>
      <c r="I855" s="1">
        <v>436.01798167907629</v>
      </c>
      <c r="K855" s="1">
        <f t="shared" si="39"/>
        <v>0.48940189307120924</v>
      </c>
      <c r="L855" s="1">
        <f t="shared" si="40"/>
        <v>0.91381406342069882</v>
      </c>
      <c r="M855" s="1">
        <f t="shared" si="41"/>
        <v>215.19429430220987</v>
      </c>
      <c r="N855" s="1">
        <f>SLOPE(K855:K858,F855:F858)</f>
        <v>1.26835805795217E-2</v>
      </c>
      <c r="O855" s="1">
        <f>SLOPE(L855:L858,F855:F858)</f>
        <v>2.2765577433517666E-4</v>
      </c>
      <c r="P855" s="1">
        <f>SLOPE(M855:M858,F855:F858)</f>
        <v>8.057632072672817</v>
      </c>
      <c r="Q855" s="1">
        <f>(N855*41.35/0.31*60)/1000</f>
        <v>0.10150955941223658</v>
      </c>
      <c r="R855" s="1">
        <f>O855*41.35/0.31*60/1000</f>
        <v>1.8219805681470107E-3</v>
      </c>
      <c r="S855" s="1">
        <f>(O855*41.35/0.31*60)/1000</f>
        <v>1.8219805681470107E-3</v>
      </c>
    </row>
    <row r="856" spans="1:19" x14ac:dyDescent="0.3">
      <c r="A856" s="1">
        <v>810</v>
      </c>
      <c r="C856" s="1" t="s">
        <v>15</v>
      </c>
      <c r="D856" s="1">
        <v>23</v>
      </c>
      <c r="E856" s="1">
        <v>558</v>
      </c>
      <c r="F856" s="1">
        <v>15</v>
      </c>
      <c r="G856" s="1">
        <v>0.62256422321476657</v>
      </c>
      <c r="H856" s="1">
        <v>1.8544350515950787</v>
      </c>
      <c r="I856" s="1">
        <v>716.73786606773058</v>
      </c>
      <c r="K856" s="1">
        <f t="shared" si="39"/>
        <v>0.71782173050133069</v>
      </c>
      <c r="L856" s="1">
        <f t="shared" si="40"/>
        <v>0.91636244895430152</v>
      </c>
      <c r="M856" s="1">
        <f t="shared" si="41"/>
        <v>353.74206057777064</v>
      </c>
      <c r="N856"/>
      <c r="P856" s="1"/>
    </row>
    <row r="857" spans="1:19" x14ac:dyDescent="0.3">
      <c r="A857" s="1">
        <v>811</v>
      </c>
      <c r="C857" s="1" t="s">
        <v>15</v>
      </c>
      <c r="D857" s="1">
        <v>23</v>
      </c>
      <c r="E857" s="1">
        <v>559</v>
      </c>
      <c r="F857" s="1">
        <v>30</v>
      </c>
      <c r="G857" s="1">
        <v>0.86355836447619805</v>
      </c>
      <c r="H857" s="1">
        <v>1.8678436326713734</v>
      </c>
      <c r="I857" s="1">
        <v>1084.0177333654092</v>
      </c>
      <c r="K857" s="1">
        <f t="shared" si="39"/>
        <v>0.99568998098909778</v>
      </c>
      <c r="L857" s="1">
        <f t="shared" si="40"/>
        <v>0.92298825134166862</v>
      </c>
      <c r="M857" s="1">
        <f t="shared" si="41"/>
        <v>535.01103382095846</v>
      </c>
      <c r="N857"/>
      <c r="P857" s="1"/>
    </row>
    <row r="858" spans="1:19" x14ac:dyDescent="0.3">
      <c r="A858" s="1">
        <v>812</v>
      </c>
      <c r="C858" s="1" t="s">
        <v>15</v>
      </c>
      <c r="D858" s="1">
        <v>23</v>
      </c>
      <c r="E858" s="1">
        <v>560</v>
      </c>
      <c r="F858" s="1">
        <v>45</v>
      </c>
      <c r="G858" s="1">
        <v>0.89414634048213359</v>
      </c>
      <c r="H858" s="1">
        <v>1.8678436326713734</v>
      </c>
      <c r="I858" s="1">
        <v>1129.8937813975197</v>
      </c>
      <c r="K858" s="1">
        <f t="shared" si="39"/>
        <v>1.0309581718847052</v>
      </c>
      <c r="L858" s="1">
        <f t="shared" si="40"/>
        <v>0.92298825134166862</v>
      </c>
      <c r="M858" s="1">
        <f t="shared" si="41"/>
        <v>557.65290685478806</v>
      </c>
      <c r="N858"/>
      <c r="P858" s="1"/>
    </row>
    <row r="859" spans="1:19" x14ac:dyDescent="0.3">
      <c r="A859" s="1">
        <v>813</v>
      </c>
      <c r="C859" s="1" t="s">
        <v>15</v>
      </c>
      <c r="D859" s="1">
        <v>23</v>
      </c>
      <c r="E859" s="1" t="s">
        <v>114</v>
      </c>
      <c r="F859" s="1">
        <v>0</v>
      </c>
      <c r="G859" s="1">
        <v>0.40633953666951733</v>
      </c>
      <c r="H859" s="1">
        <v>1.8822836430612289</v>
      </c>
      <c r="I859" s="1">
        <v>400.22257588133533</v>
      </c>
      <c r="K859" s="1">
        <f t="shared" si="39"/>
        <v>0.4685128674389003</v>
      </c>
      <c r="L859" s="1">
        <f t="shared" si="40"/>
        <v>0.93012373083575606</v>
      </c>
      <c r="M859" s="1">
        <f t="shared" si="41"/>
        <v>197.52766720522069</v>
      </c>
      <c r="O859" s="1"/>
      <c r="P859" s="1"/>
      <c r="Q859" s="1">
        <f>(N859*41.35/0.31*60)/1000</f>
        <v>0</v>
      </c>
      <c r="R859" s="1">
        <f>O859*41.35/0.31*60/1000</f>
        <v>0</v>
      </c>
      <c r="S859" s="1">
        <f>(O859*41.35/0.31*60)/1000</f>
        <v>0</v>
      </c>
    </row>
    <row r="860" spans="1:19" x14ac:dyDescent="0.3">
      <c r="A860" s="1">
        <v>814</v>
      </c>
      <c r="C860" s="1" t="s">
        <v>15</v>
      </c>
      <c r="D860" s="1">
        <v>23</v>
      </c>
      <c r="E860" s="1" t="s">
        <v>115</v>
      </c>
      <c r="G860" s="1">
        <v>0.40587942295961932</v>
      </c>
      <c r="H860" s="1">
        <v>1.8864093603154735</v>
      </c>
      <c r="I860" s="1">
        <v>401.6295183968046</v>
      </c>
      <c r="K860" s="1">
        <f t="shared" si="39"/>
        <v>0.46798235250220682</v>
      </c>
      <c r="L860" s="1">
        <f t="shared" si="40"/>
        <v>0.93216243926263809</v>
      </c>
      <c r="M860" s="1">
        <f t="shared" si="41"/>
        <v>198.22205600215577</v>
      </c>
      <c r="N860"/>
      <c r="P860" s="1"/>
    </row>
    <row r="861" spans="1:19" x14ac:dyDescent="0.3">
      <c r="A861" s="1">
        <v>815</v>
      </c>
      <c r="C861" s="1" t="s">
        <v>15</v>
      </c>
      <c r="D861" s="1">
        <v>23</v>
      </c>
      <c r="E861" s="1" t="s">
        <v>116</v>
      </c>
      <c r="G861" s="1">
        <v>0.37414116267893832</v>
      </c>
      <c r="H861" s="1">
        <v>1.8668122033578121</v>
      </c>
      <c r="I861" s="1">
        <v>383.87397722537719</v>
      </c>
      <c r="K861" s="1">
        <f t="shared" si="39"/>
        <v>0.43138787426486552</v>
      </c>
      <c r="L861" s="1">
        <f t="shared" si="40"/>
        <v>0.92247857423494795</v>
      </c>
      <c r="M861" s="1">
        <f t="shared" si="41"/>
        <v>189.45890559807117</v>
      </c>
      <c r="N861"/>
      <c r="P861" s="1"/>
    </row>
    <row r="862" spans="1:19" x14ac:dyDescent="0.3">
      <c r="A862" s="1">
        <v>978</v>
      </c>
      <c r="B862" s="1" t="s">
        <v>121</v>
      </c>
      <c r="C862" s="1" t="s">
        <v>15</v>
      </c>
      <c r="D862" s="1">
        <v>22</v>
      </c>
      <c r="E862" s="1">
        <v>101</v>
      </c>
      <c r="F862" s="1">
        <v>0</v>
      </c>
      <c r="G862" s="1">
        <v>0.42530005579823588</v>
      </c>
      <c r="H862" s="1">
        <v>1.9173522397223071</v>
      </c>
      <c r="I862" s="1">
        <v>1217.2351952212637</v>
      </c>
      <c r="K862" s="1">
        <f t="shared" si="39"/>
        <v>0.4920359454411608</v>
      </c>
      <c r="L862" s="1">
        <f t="shared" si="40"/>
        <v>0.95066282446989281</v>
      </c>
      <c r="M862" s="1">
        <f t="shared" si="41"/>
        <v>602.79522366175058</v>
      </c>
      <c r="N862" s="1">
        <f>SLOPE(K862:K865,F862:F865)</f>
        <v>2.5508113446595145E-3</v>
      </c>
      <c r="O862" s="1">
        <f>SLOPE(L862:L865,F862:F865)</f>
        <v>-6.2050345650826707E-4</v>
      </c>
      <c r="P862" s="1">
        <f>SLOPE(M862:M865,F862:F865)</f>
        <v>5.1937549065786941</v>
      </c>
      <c r="Q862" s="1">
        <f>(N862*41.35/0.31*60)/1000</f>
        <v>2.0414719180968564E-2</v>
      </c>
      <c r="R862" s="1">
        <f>O862*41.35/0.31*60/1000</f>
        <v>-4.9660292761193898E-3</v>
      </c>
      <c r="S862" s="1">
        <f>(O862*41.35/0.31*60)/1000</f>
        <v>-4.9660292761193898E-3</v>
      </c>
    </row>
    <row r="863" spans="1:19" x14ac:dyDescent="0.3">
      <c r="A863" s="1">
        <v>979</v>
      </c>
      <c r="C863" s="1" t="s">
        <v>15</v>
      </c>
      <c r="D863" s="1">
        <v>22</v>
      </c>
      <c r="E863" s="1">
        <v>102</v>
      </c>
      <c r="F863" s="1">
        <v>15</v>
      </c>
      <c r="G863" s="1">
        <v>0.4973557799087398</v>
      </c>
      <c r="H863" s="1">
        <v>1.8523721929679564</v>
      </c>
      <c r="I863" s="1">
        <v>1537.3944114923781</v>
      </c>
      <c r="K863" s="1">
        <f t="shared" si="39"/>
        <v>0.57539828187588427</v>
      </c>
      <c r="L863" s="1">
        <f t="shared" si="40"/>
        <v>0.91844437576657922</v>
      </c>
      <c r="M863" s="1">
        <f t="shared" si="41"/>
        <v>761.34342136189707</v>
      </c>
      <c r="N863"/>
      <c r="P863" s="1"/>
    </row>
    <row r="864" spans="1:19" x14ac:dyDescent="0.3">
      <c r="A864" s="1">
        <v>980</v>
      </c>
      <c r="C864" s="1" t="s">
        <v>15</v>
      </c>
      <c r="D864" s="1">
        <v>22</v>
      </c>
      <c r="E864" s="1">
        <v>103</v>
      </c>
      <c r="F864" s="1">
        <v>30</v>
      </c>
      <c r="G864" s="1">
        <v>0.50082580413755484</v>
      </c>
      <c r="H864" s="1">
        <v>1.8626864861035677</v>
      </c>
      <c r="I864" s="1">
        <v>1704.0418914358074</v>
      </c>
      <c r="K864" s="1">
        <f t="shared" si="39"/>
        <v>0.57941280439675313</v>
      </c>
      <c r="L864" s="1">
        <f t="shared" si="40"/>
        <v>0.92355841524329563</v>
      </c>
      <c r="M864" s="1">
        <f t="shared" si="41"/>
        <v>843.87004016123808</v>
      </c>
      <c r="N864"/>
      <c r="P864" s="1"/>
    </row>
    <row r="865" spans="1:19" x14ac:dyDescent="0.3">
      <c r="A865" s="1">
        <v>981</v>
      </c>
      <c r="C865" s="1" t="s">
        <v>15</v>
      </c>
      <c r="D865" s="1">
        <v>22</v>
      </c>
      <c r="E865" s="1">
        <v>104</v>
      </c>
      <c r="F865" s="1">
        <v>45</v>
      </c>
      <c r="G865" s="1">
        <v>0.5343853478532492</v>
      </c>
      <c r="H865" s="1">
        <v>1.851340763654395</v>
      </c>
      <c r="I865" s="1">
        <v>1686.0781521216088</v>
      </c>
      <c r="K865" s="1">
        <f t="shared" si="39"/>
        <v>0.61823833850051357</v>
      </c>
      <c r="L865" s="1">
        <f t="shared" si="40"/>
        <v>0.91793297181890732</v>
      </c>
      <c r="M865" s="1">
        <f t="shared" si="41"/>
        <v>834.97409605757161</v>
      </c>
      <c r="N865"/>
      <c r="P865" s="1"/>
    </row>
    <row r="866" spans="1:19" x14ac:dyDescent="0.3">
      <c r="A866" s="1">
        <v>982</v>
      </c>
      <c r="C866" s="1" t="s">
        <v>15</v>
      </c>
      <c r="D866" s="1">
        <v>22</v>
      </c>
      <c r="E866" s="1">
        <v>105</v>
      </c>
      <c r="F866" s="1">
        <v>0</v>
      </c>
      <c r="G866" s="1">
        <v>0.45476650463629487</v>
      </c>
      <c r="H866" s="1">
        <v>1.8802207844341068</v>
      </c>
      <c r="I866" s="1">
        <v>993.12777939019804</v>
      </c>
      <c r="J866"/>
      <c r="K866" s="1">
        <f t="shared" si="39"/>
        <v>0.52612611734489112</v>
      </c>
      <c r="L866" s="1">
        <f t="shared" si="40"/>
        <v>0.93225228235371371</v>
      </c>
      <c r="M866" s="1">
        <f t="shared" si="41"/>
        <v>491.81348374780742</v>
      </c>
      <c r="N866" s="1">
        <f>SLOPE(K866:K869,F866:F869)</f>
        <v>3.9791828935210804E-3</v>
      </c>
      <c r="O866" s="1">
        <f>SLOPE(L866:L869,F866:F869)</f>
        <v>-2.8979557034726657E-4</v>
      </c>
      <c r="P866" s="1">
        <f>SLOPE(M866:M869,F866:F869)</f>
        <v>7.7586446293424425</v>
      </c>
      <c r="Q866" s="1">
        <f>(N866*41.35/0.31*60)/1000</f>
        <v>3.184629922201871E-2</v>
      </c>
      <c r="R866" s="1">
        <f>O866*41.35/0.31*60/1000</f>
        <v>-2.3192993871986077E-3</v>
      </c>
      <c r="S866" s="1">
        <f>(O866*41.35/0.31*60)/1000</f>
        <v>-2.3192993871986077E-3</v>
      </c>
    </row>
    <row r="867" spans="1:19" x14ac:dyDescent="0.3">
      <c r="A867" s="1">
        <v>983</v>
      </c>
      <c r="C867" s="1" t="s">
        <v>15</v>
      </c>
      <c r="D867" s="1">
        <v>22</v>
      </c>
      <c r="E867" s="1">
        <v>106</v>
      </c>
      <c r="F867" s="1">
        <v>15</v>
      </c>
      <c r="G867" s="1">
        <v>0.55488916505058439</v>
      </c>
      <c r="H867" s="1">
        <v>1.8389636118916617</v>
      </c>
      <c r="I867" s="1">
        <v>1037.1703997245099</v>
      </c>
      <c r="J867"/>
      <c r="K867" s="1">
        <f t="shared" si="39"/>
        <v>0.6419595088655361</v>
      </c>
      <c r="L867" s="1">
        <f t="shared" si="40"/>
        <v>0.91179612444684777</v>
      </c>
      <c r="M867" s="1">
        <f t="shared" si="41"/>
        <v>513.62412583185039</v>
      </c>
      <c r="N867"/>
      <c r="P867" s="1"/>
    </row>
    <row r="868" spans="1:19" x14ac:dyDescent="0.3">
      <c r="A868" s="1">
        <v>984</v>
      </c>
      <c r="C868" s="1" t="s">
        <v>15</v>
      </c>
      <c r="D868" s="1">
        <v>22</v>
      </c>
      <c r="E868" s="1">
        <v>107</v>
      </c>
      <c r="F868" s="1">
        <v>30</v>
      </c>
      <c r="G868" s="1">
        <v>0.56074602914949578</v>
      </c>
      <c r="H868" s="1">
        <v>1.8503093343408341</v>
      </c>
      <c r="I868" s="1">
        <v>1251.0394196623661</v>
      </c>
      <c r="J868"/>
      <c r="K868" s="1">
        <f t="shared" si="39"/>
        <v>0.64873540184965417</v>
      </c>
      <c r="L868" s="1">
        <f t="shared" si="40"/>
        <v>0.91742156787123585</v>
      </c>
      <c r="M868" s="1">
        <f t="shared" si="41"/>
        <v>619.53564088981329</v>
      </c>
      <c r="N868"/>
      <c r="P868" s="1"/>
    </row>
    <row r="869" spans="1:19" x14ac:dyDescent="0.3">
      <c r="A869" s="1">
        <v>985</v>
      </c>
      <c r="C869" s="1" t="s">
        <v>15</v>
      </c>
      <c r="D869" s="1">
        <v>22</v>
      </c>
      <c r="E869" s="1">
        <v>108</v>
      </c>
      <c r="F869" s="1">
        <v>45</v>
      </c>
      <c r="G869" s="1">
        <v>0.62478810614594082</v>
      </c>
      <c r="H869" s="1">
        <v>1.8472150464001509</v>
      </c>
      <c r="I869" s="1">
        <v>1705.1966115316197</v>
      </c>
      <c r="J869"/>
      <c r="K869" s="1">
        <f t="shared" si="39"/>
        <v>0.72282663102623912</v>
      </c>
      <c r="L869" s="1">
        <f t="shared" si="40"/>
        <v>0.91588735602822102</v>
      </c>
      <c r="M869" s="1">
        <f t="shared" si="41"/>
        <v>844.44187686227531</v>
      </c>
      <c r="N869"/>
      <c r="P869" s="1"/>
    </row>
    <row r="870" spans="1:19" x14ac:dyDescent="0.3">
      <c r="A870" s="1">
        <v>986</v>
      </c>
      <c r="C870" s="1" t="s">
        <v>15</v>
      </c>
      <c r="D870" s="1">
        <v>22</v>
      </c>
      <c r="E870" s="1">
        <v>109</v>
      </c>
      <c r="F870" s="1">
        <v>0</v>
      </c>
      <c r="G870" s="1">
        <v>0.43490492949235915</v>
      </c>
      <c r="H870" s="1">
        <v>1.9204465276629905</v>
      </c>
      <c r="I870" s="1">
        <v>1187.0831514167967</v>
      </c>
      <c r="J870"/>
      <c r="K870" s="1">
        <f t="shared" si="39"/>
        <v>0.50314796634146586</v>
      </c>
      <c r="L870" s="1">
        <f t="shared" si="40"/>
        <v>0.95219703631290775</v>
      </c>
      <c r="M870" s="1">
        <f t="shared" si="41"/>
        <v>587.8634273578582</v>
      </c>
      <c r="N870" s="1">
        <f>SLOPE(K870:K873,F870:F873)</f>
        <v>1.4630457857361064E-3</v>
      </c>
      <c r="O870" s="1">
        <f>SLOPE(L870:L873,F870:F873)</f>
        <v>-3.1366108790527851E-4</v>
      </c>
      <c r="P870" s="1">
        <f>SLOPE(M870:M873,F870:F873)</f>
        <v>2.8194017176395079</v>
      </c>
      <c r="Q870" s="1">
        <f>(N870*41.35/0.31*60)/1000</f>
        <v>1.1709085788423486E-2</v>
      </c>
      <c r="R870" s="1">
        <f>O870*41.35/0.31*60/1000</f>
        <v>-2.510300513203213E-3</v>
      </c>
      <c r="S870" s="1">
        <f>(O870*41.35/0.31*60)/1000</f>
        <v>-2.510300513203213E-3</v>
      </c>
    </row>
    <row r="871" spans="1:19" x14ac:dyDescent="0.3">
      <c r="A871" s="1">
        <v>987</v>
      </c>
      <c r="C871" s="1" t="s">
        <v>15</v>
      </c>
      <c r="D871" s="1">
        <v>22</v>
      </c>
      <c r="E871" s="1">
        <v>110</v>
      </c>
      <c r="F871" s="1">
        <v>15</v>
      </c>
      <c r="G871" s="1">
        <v>0.54719184611208027</v>
      </c>
      <c r="H871" s="1">
        <v>1.873000779239179</v>
      </c>
      <c r="I871" s="1">
        <v>1135.3445371794194</v>
      </c>
      <c r="J871"/>
      <c r="K871" s="1">
        <f t="shared" si="39"/>
        <v>0.63305436636758694</v>
      </c>
      <c r="L871" s="1">
        <f t="shared" si="40"/>
        <v>0.92867245472001214</v>
      </c>
      <c r="M871" s="1">
        <f t="shared" si="41"/>
        <v>562.24160039819674</v>
      </c>
      <c r="N871"/>
      <c r="P871" s="1"/>
    </row>
    <row r="872" spans="1:19" x14ac:dyDescent="0.3">
      <c r="A872" s="1">
        <v>988</v>
      </c>
      <c r="C872" s="1" t="s">
        <v>15</v>
      </c>
      <c r="D872" s="1">
        <v>22</v>
      </c>
      <c r="E872" s="1">
        <v>111</v>
      </c>
      <c r="F872" s="1">
        <v>30</v>
      </c>
      <c r="G872" s="1">
        <v>0.52917072580773716</v>
      </c>
      <c r="H872" s="1">
        <v>1.8647493447306898</v>
      </c>
      <c r="I872" s="1">
        <v>1459.2137159505817</v>
      </c>
      <c r="K872" s="1">
        <f t="shared" si="39"/>
        <v>0.61220546487799266</v>
      </c>
      <c r="L872" s="1">
        <f t="shared" si="40"/>
        <v>0.92458122313863889</v>
      </c>
      <c r="M872" s="1">
        <f t="shared" si="41"/>
        <v>722.62703356752183</v>
      </c>
      <c r="N872"/>
      <c r="P872" s="1"/>
    </row>
    <row r="873" spans="1:19" x14ac:dyDescent="0.3">
      <c r="A873" s="1">
        <v>989</v>
      </c>
      <c r="C873" s="1" t="s">
        <v>15</v>
      </c>
      <c r="D873" s="1">
        <v>22</v>
      </c>
      <c r="E873" s="1">
        <v>112</v>
      </c>
      <c r="F873" s="1">
        <v>45</v>
      </c>
      <c r="G873" s="1">
        <v>0.50414245712973715</v>
      </c>
      <c r="H873" s="1">
        <v>1.891566506883279</v>
      </c>
      <c r="I873" s="1">
        <v>1363.7901786285875</v>
      </c>
      <c r="K873" s="1">
        <f t="shared" si="39"/>
        <v>0.58324988945813594</v>
      </c>
      <c r="L873" s="1">
        <f t="shared" si="40"/>
        <v>0.93787772577810158</v>
      </c>
      <c r="M873" s="1">
        <f t="shared" si="41"/>
        <v>675.3717021833919</v>
      </c>
      <c r="N873"/>
      <c r="P873" s="1"/>
    </row>
    <row r="874" spans="1:19" x14ac:dyDescent="0.3">
      <c r="A874" s="1">
        <v>990</v>
      </c>
      <c r="C874" s="1" t="s">
        <v>15</v>
      </c>
      <c r="D874" s="1">
        <v>22</v>
      </c>
      <c r="E874" s="1">
        <v>113</v>
      </c>
      <c r="F874" s="1">
        <v>0</v>
      </c>
      <c r="G874" s="1">
        <v>0.43009290694300795</v>
      </c>
      <c r="H874" s="1">
        <v>1.8802207844341068</v>
      </c>
      <c r="I874" s="1">
        <v>473.81649207511265</v>
      </c>
      <c r="K874" s="1">
        <f t="shared" si="39"/>
        <v>0.49758086605009538</v>
      </c>
      <c r="L874" s="1">
        <f t="shared" si="40"/>
        <v>0.93225228235371371</v>
      </c>
      <c r="M874" s="1">
        <f t="shared" si="41"/>
        <v>234.64185018337884</v>
      </c>
      <c r="N874" s="1">
        <f>SLOPE(K874:K877,F874:F877)</f>
        <v>2.5610139985799566E-3</v>
      </c>
      <c r="O874" s="1">
        <f>SLOPE(L874:L877,F874:F877)</f>
        <v>-5.1140394767164776E-4</v>
      </c>
      <c r="P874" s="1">
        <f>SLOPE(M874:M877,F874:F877)</f>
        <v>7.1332245432823624</v>
      </c>
      <c r="Q874" s="1">
        <f>(N874*41.35/0.31*60)/1000</f>
        <v>2.0496373324118945E-2</v>
      </c>
      <c r="R874" s="1">
        <f>O874*41.35/0.31*60/1000</f>
        <v>-4.0928812715269628E-3</v>
      </c>
      <c r="S874" s="1">
        <f>(O874*41.35/0.31*60)/1000</f>
        <v>-4.0928812715269628E-3</v>
      </c>
    </row>
    <row r="875" spans="1:19" x14ac:dyDescent="0.3">
      <c r="A875" s="1">
        <v>991</v>
      </c>
      <c r="C875" s="1" t="s">
        <v>15</v>
      </c>
      <c r="D875" s="1">
        <v>22</v>
      </c>
      <c r="E875" s="1">
        <v>114</v>
      </c>
      <c r="F875" s="1">
        <v>15</v>
      </c>
      <c r="G875" s="1">
        <v>0.46273222323890606</v>
      </c>
      <c r="H875" s="1">
        <v>1.875063637866301</v>
      </c>
      <c r="I875" s="1">
        <v>782.47711752716702</v>
      </c>
      <c r="K875" s="1">
        <f t="shared" si="39"/>
        <v>0.53534177539694039</v>
      </c>
      <c r="L875" s="1">
        <f t="shared" si="40"/>
        <v>0.9296952626153554</v>
      </c>
      <c r="M875" s="1">
        <f t="shared" si="41"/>
        <v>387.49575342688956</v>
      </c>
      <c r="N875"/>
      <c r="P875" s="1"/>
    </row>
    <row r="876" spans="1:19" x14ac:dyDescent="0.3">
      <c r="A876" s="1">
        <v>992</v>
      </c>
      <c r="C876" s="1" t="s">
        <v>15</v>
      </c>
      <c r="D876" s="1">
        <v>22</v>
      </c>
      <c r="E876" s="1">
        <v>115</v>
      </c>
      <c r="F876" s="1">
        <v>30</v>
      </c>
      <c r="G876" s="1">
        <v>0.5039315716793672</v>
      </c>
      <c r="H876" s="1">
        <v>1.8348378946374173</v>
      </c>
      <c r="I876" s="1">
        <v>1012.7460977773478</v>
      </c>
      <c r="K876" s="1">
        <f t="shared" si="39"/>
        <v>0.58300591295134274</v>
      </c>
      <c r="L876" s="1">
        <f t="shared" si="40"/>
        <v>0.90975050865616125</v>
      </c>
      <c r="M876" s="1">
        <f t="shared" si="41"/>
        <v>501.52880307678862</v>
      </c>
      <c r="N876"/>
      <c r="P876" s="1"/>
    </row>
    <row r="877" spans="1:19" x14ac:dyDescent="0.3">
      <c r="A877" s="1">
        <v>993</v>
      </c>
      <c r="C877" s="1" t="s">
        <v>15</v>
      </c>
      <c r="D877" s="1">
        <v>22</v>
      </c>
      <c r="E877" s="1">
        <v>116</v>
      </c>
      <c r="F877" s="1">
        <v>45</v>
      </c>
      <c r="G877" s="1">
        <v>0.5270426998994584</v>
      </c>
      <c r="H877" s="1">
        <v>1.8420578998323451</v>
      </c>
      <c r="I877" s="1">
        <v>1117.2725715178765</v>
      </c>
      <c r="K877" s="1">
        <f t="shared" si="39"/>
        <v>0.60974352012762578</v>
      </c>
      <c r="L877" s="1">
        <f t="shared" si="40"/>
        <v>0.91333033628986271</v>
      </c>
      <c r="M877" s="1">
        <f t="shared" si="41"/>
        <v>553.29206079753067</v>
      </c>
      <c r="N877"/>
      <c r="P877" s="1"/>
    </row>
    <row r="878" spans="1:19" x14ac:dyDescent="0.3">
      <c r="A878" s="1">
        <v>994</v>
      </c>
      <c r="C878" s="1" t="s">
        <v>15</v>
      </c>
      <c r="D878" s="1">
        <v>22</v>
      </c>
      <c r="E878" s="1">
        <v>117</v>
      </c>
      <c r="F878" s="1">
        <v>0</v>
      </c>
      <c r="G878" s="1">
        <v>0.42824286640112591</v>
      </c>
      <c r="H878" s="1">
        <v>1.8719693499256176</v>
      </c>
      <c r="I878" s="1">
        <v>478.70685549915572</v>
      </c>
      <c r="K878" s="1">
        <f t="shared" si="39"/>
        <v>0.49544052669504662</v>
      </c>
      <c r="L878" s="1">
        <f t="shared" si="40"/>
        <v>0.92816105077234046</v>
      </c>
      <c r="M878" s="1">
        <f t="shared" si="41"/>
        <v>237.06363992915385</v>
      </c>
      <c r="N878" s="1">
        <f>SLOPE(K878:K881,F878:F881)</f>
        <v>6.1548618759174839E-4</v>
      </c>
      <c r="O878" s="1">
        <f>SLOPE(L878:L881,F878:F881)</f>
        <v>9.8871429883185726E-5</v>
      </c>
      <c r="P878" s="1">
        <f>SLOPE(M878:M881,F878:F881)</f>
        <v>1.6936146771907252</v>
      </c>
      <c r="Q878" s="1">
        <f>(N878*41.35/0.31*60)/1000</f>
        <v>4.9258749400488003E-3</v>
      </c>
      <c r="R878" s="1">
        <f>O878*41.35/0.31*60/1000</f>
        <v>7.9129037916188315E-4</v>
      </c>
      <c r="S878" s="1">
        <f>(O878*41.35/0.31*60)/1000</f>
        <v>7.9129037916188315E-4</v>
      </c>
    </row>
    <row r="879" spans="1:19" x14ac:dyDescent="0.3">
      <c r="A879" s="1">
        <v>995</v>
      </c>
      <c r="C879" s="1" t="s">
        <v>15</v>
      </c>
      <c r="D879" s="1">
        <v>22</v>
      </c>
      <c r="E879" s="1">
        <v>118</v>
      </c>
      <c r="F879" s="1">
        <v>15</v>
      </c>
      <c r="G879" s="1">
        <v>0.45680825922396773</v>
      </c>
      <c r="H879" s="1">
        <v>1.8616550567900063</v>
      </c>
      <c r="I879" s="1">
        <v>640.67492167861872</v>
      </c>
      <c r="K879" s="1">
        <f t="shared" si="39"/>
        <v>0.52848825352429718</v>
      </c>
      <c r="L879" s="1">
        <f t="shared" si="40"/>
        <v>0.92304701129562394</v>
      </c>
      <c r="M879" s="1">
        <f t="shared" si="41"/>
        <v>317.27293478195605</v>
      </c>
      <c r="N879"/>
      <c r="P879" s="1"/>
    </row>
    <row r="880" spans="1:19" x14ac:dyDescent="0.3">
      <c r="A880" s="1">
        <v>996</v>
      </c>
      <c r="C880" s="1" t="s">
        <v>15</v>
      </c>
      <c r="D880" s="1">
        <v>22</v>
      </c>
      <c r="E880" s="1">
        <v>119</v>
      </c>
      <c r="F880" s="1">
        <v>30</v>
      </c>
      <c r="G880" s="1">
        <v>0.45286853558296508</v>
      </c>
      <c r="H880" s="1">
        <v>1.873000779239179</v>
      </c>
      <c r="I880" s="1">
        <v>635.34156396841411</v>
      </c>
      <c r="K880" s="1">
        <f t="shared" si="39"/>
        <v>0.5239303287837529</v>
      </c>
      <c r="L880" s="1">
        <f t="shared" si="40"/>
        <v>0.92867245472001214</v>
      </c>
      <c r="M880" s="1">
        <f t="shared" si="41"/>
        <v>314.63176685778467</v>
      </c>
      <c r="N880"/>
      <c r="P880" s="1"/>
    </row>
    <row r="881" spans="1:19" x14ac:dyDescent="0.3">
      <c r="A881" s="1">
        <v>997</v>
      </c>
      <c r="C881" s="1" t="s">
        <v>15</v>
      </c>
      <c r="D881" s="1">
        <v>22</v>
      </c>
      <c r="E881" s="1">
        <v>120</v>
      </c>
      <c r="F881" s="1">
        <v>45</v>
      </c>
      <c r="G881" s="1">
        <v>0.45615643146827878</v>
      </c>
      <c r="H881" s="1">
        <v>1.8781579258069845</v>
      </c>
      <c r="I881" s="1">
        <v>651.48196448160058</v>
      </c>
      <c r="K881" s="1">
        <f t="shared" si="39"/>
        <v>0.52773414432148213</v>
      </c>
      <c r="L881" s="1">
        <f t="shared" si="40"/>
        <v>0.93122947445837034</v>
      </c>
      <c r="M881" s="1">
        <f t="shared" si="41"/>
        <v>322.62476309674724</v>
      </c>
      <c r="N881"/>
      <c r="P881" s="1"/>
    </row>
    <row r="882" spans="1:19" x14ac:dyDescent="0.3">
      <c r="A882" s="1">
        <v>998</v>
      </c>
      <c r="C882" s="1" t="s">
        <v>15</v>
      </c>
      <c r="D882" s="1">
        <v>22</v>
      </c>
      <c r="E882" s="1">
        <v>121</v>
      </c>
      <c r="F882" s="1">
        <v>0</v>
      </c>
      <c r="G882" s="1">
        <v>0.43351500266037524</v>
      </c>
      <c r="H882" s="1">
        <v>1.8719693499256176</v>
      </c>
      <c r="I882" s="1">
        <v>460.02680451313057</v>
      </c>
      <c r="K882" s="1">
        <f t="shared" si="39"/>
        <v>0.50153993936487473</v>
      </c>
      <c r="L882" s="1">
        <f t="shared" si="40"/>
        <v>0.92816105077234046</v>
      </c>
      <c r="M882" s="1">
        <f t="shared" si="41"/>
        <v>227.81296630721084</v>
      </c>
      <c r="N882" s="1">
        <f>SLOPE(K882:K885,F882:F885)</f>
        <v>9.9796741796858036E-3</v>
      </c>
      <c r="O882" s="1">
        <f>SLOPE(L882:L885,F882:F885)</f>
        <v>-4.023044388350283E-4</v>
      </c>
      <c r="P882" s="1">
        <f>SLOPE(M882:M885,F882:F885)</f>
        <v>9.6563430863224813</v>
      </c>
      <c r="Q882" s="1">
        <f>(N882*41.35/0.31*60)/1000</f>
        <v>7.986958593484024E-2</v>
      </c>
      <c r="R882" s="1">
        <f>O882*41.35/0.31*60/1000</f>
        <v>-3.2197332669345337E-3</v>
      </c>
      <c r="S882" s="1">
        <f>(O882*41.35/0.31*60)/1000</f>
        <v>-3.2197332669345337E-3</v>
      </c>
    </row>
    <row r="883" spans="1:19" x14ac:dyDescent="0.3">
      <c r="A883" s="1">
        <v>999</v>
      </c>
      <c r="C883" s="1" t="s">
        <v>15</v>
      </c>
      <c r="D883" s="1">
        <v>22</v>
      </c>
      <c r="E883" s="1">
        <v>122</v>
      </c>
      <c r="F883" s="1">
        <v>15</v>
      </c>
      <c r="G883" s="1">
        <v>0.61599801714642877</v>
      </c>
      <c r="H883" s="1">
        <v>1.8441207584594674</v>
      </c>
      <c r="I883" s="1">
        <v>893.75214604528571</v>
      </c>
      <c r="K883" s="1">
        <f t="shared" si="39"/>
        <v>0.71265724662945296</v>
      </c>
      <c r="L883" s="1">
        <f t="shared" si="40"/>
        <v>0.91435314418520597</v>
      </c>
      <c r="M883" s="1">
        <f t="shared" si="41"/>
        <v>442.60100832494089</v>
      </c>
      <c r="N883"/>
      <c r="P883" s="1"/>
    </row>
    <row r="884" spans="1:19" x14ac:dyDescent="0.3">
      <c r="A884" s="1">
        <v>1000</v>
      </c>
      <c r="C884" s="1" t="s">
        <v>15</v>
      </c>
      <c r="D884" s="1">
        <v>22</v>
      </c>
      <c r="E884" s="1">
        <v>123</v>
      </c>
      <c r="F884" s="1">
        <v>30</v>
      </c>
      <c r="G884" s="1">
        <v>0.75031287762752252</v>
      </c>
      <c r="H884" s="1">
        <v>1.8399950412052228</v>
      </c>
      <c r="I884" s="1">
        <v>1192.1422745689015</v>
      </c>
      <c r="K884" s="1">
        <f t="shared" si="39"/>
        <v>0.86804810177423763</v>
      </c>
      <c r="L884" s="1">
        <f t="shared" si="40"/>
        <v>0.91230752839451945</v>
      </c>
      <c r="M884" s="1">
        <f t="shared" si="41"/>
        <v>590.36878974302249</v>
      </c>
      <c r="N884"/>
      <c r="P884" s="1"/>
    </row>
    <row r="885" spans="1:19" x14ac:dyDescent="0.3">
      <c r="A885" s="1">
        <v>1001</v>
      </c>
      <c r="C885" s="1" t="s">
        <v>15</v>
      </c>
      <c r="D885" s="1">
        <v>22</v>
      </c>
      <c r="E885" s="1">
        <v>124</v>
      </c>
      <c r="F885" s="1">
        <v>45</v>
      </c>
      <c r="G885" s="1">
        <v>0.82004886178395664</v>
      </c>
      <c r="H885" s="1">
        <v>1.832775036010295</v>
      </c>
      <c r="I885" s="1">
        <v>1335.5247585231562</v>
      </c>
      <c r="K885" s="1">
        <f t="shared" si="39"/>
        <v>0.9487266966342367</v>
      </c>
      <c r="L885" s="1">
        <f t="shared" si="40"/>
        <v>0.90872770076081788</v>
      </c>
      <c r="M885" s="1">
        <f t="shared" si="41"/>
        <v>661.37419348397441</v>
      </c>
      <c r="N885"/>
      <c r="P885" s="1"/>
    </row>
    <row r="886" spans="1:19" x14ac:dyDescent="0.3">
      <c r="A886" s="1">
        <v>1002</v>
      </c>
      <c r="C886" s="1" t="s">
        <v>15</v>
      </c>
      <c r="D886" s="1">
        <v>22</v>
      </c>
      <c r="E886" s="1">
        <v>125</v>
      </c>
      <c r="F886" s="1">
        <v>0</v>
      </c>
      <c r="G886" s="1">
        <v>0.43522125766791414</v>
      </c>
      <c r="H886" s="1">
        <v>1.8575293395357622</v>
      </c>
      <c r="I886" s="1">
        <v>472.31783231613167</v>
      </c>
      <c r="K886" s="1">
        <f t="shared" si="39"/>
        <v>0.50351393110165554</v>
      </c>
      <c r="L886" s="1">
        <f t="shared" si="40"/>
        <v>0.92100139550493743</v>
      </c>
      <c r="M886" s="1">
        <f t="shared" si="41"/>
        <v>233.89968880967356</v>
      </c>
      <c r="N886" s="1">
        <f>SLOPE(K886:K889,F886:F889)</f>
        <v>3.0015024917537242E-3</v>
      </c>
      <c r="O886" s="1">
        <f>SLOPE(L886:L889,F886:F889)</f>
        <v>2.1819901767323587E-4</v>
      </c>
      <c r="P886" s="1">
        <f>SLOPE(M886:M889,F886:F889)</f>
        <v>6.208257104896032</v>
      </c>
      <c r="Q886" s="1">
        <f>(N886*41.35/0.31*60)/1000</f>
        <v>2.4021702200132226E-2</v>
      </c>
      <c r="R886" s="1">
        <f>O886*41.35/0.31*60/1000</f>
        <v>1.7462960091848331E-3</v>
      </c>
      <c r="S886" s="1">
        <f>(O886*41.35/0.31*60)/1000</f>
        <v>1.7462960091848331E-3</v>
      </c>
    </row>
    <row r="887" spans="1:19" x14ac:dyDescent="0.3">
      <c r="A887" s="1">
        <v>1003</v>
      </c>
      <c r="C887" s="1" t="s">
        <v>15</v>
      </c>
      <c r="D887" s="1">
        <v>22</v>
      </c>
      <c r="E887" s="1">
        <v>126</v>
      </c>
      <c r="F887" s="1">
        <v>15</v>
      </c>
      <c r="G887" s="1">
        <v>0.49290801404639134</v>
      </c>
      <c r="H887" s="1">
        <v>1.8585607688493231</v>
      </c>
      <c r="I887" s="1">
        <v>825.73555542945394</v>
      </c>
      <c r="K887" s="1">
        <f t="shared" si="39"/>
        <v>0.570252595550793</v>
      </c>
      <c r="L887" s="1">
        <f t="shared" si="40"/>
        <v>0.92151279945260911</v>
      </c>
      <c r="M887" s="1">
        <f t="shared" si="41"/>
        <v>408.91805525724948</v>
      </c>
      <c r="N887"/>
      <c r="P887" s="1"/>
    </row>
    <row r="888" spans="1:19" x14ac:dyDescent="0.3">
      <c r="A888" s="1">
        <v>1004</v>
      </c>
      <c r="C888" s="1" t="s">
        <v>15</v>
      </c>
      <c r="D888" s="1">
        <v>22</v>
      </c>
      <c r="E888" s="1">
        <v>127</v>
      </c>
      <c r="F888" s="1">
        <v>30</v>
      </c>
      <c r="G888" s="1">
        <v>0.55297202459267547</v>
      </c>
      <c r="H888" s="1">
        <v>1.8595921981628842</v>
      </c>
      <c r="I888" s="1">
        <v>1067.5856720178554</v>
      </c>
      <c r="K888" s="1">
        <f t="shared" si="39"/>
        <v>0.6397415406219622</v>
      </c>
      <c r="L888" s="1">
        <f t="shared" si="40"/>
        <v>0.92202420340028068</v>
      </c>
      <c r="M888" s="1">
        <f t="shared" si="41"/>
        <v>528.68627728522461</v>
      </c>
      <c r="N888"/>
      <c r="P888" s="1"/>
    </row>
    <row r="889" spans="1:19" x14ac:dyDescent="0.3">
      <c r="A889" s="1">
        <v>1005</v>
      </c>
      <c r="C889" s="1" t="s">
        <v>15</v>
      </c>
      <c r="D889" s="1">
        <v>22</v>
      </c>
      <c r="E889" s="1">
        <v>128</v>
      </c>
      <c r="F889" s="1">
        <v>45</v>
      </c>
      <c r="G889" s="1">
        <v>0.54492003466945838</v>
      </c>
      <c r="H889" s="1">
        <v>1.8791893551205456</v>
      </c>
      <c r="I889" s="1">
        <v>1018.5233669461489</v>
      </c>
      <c r="K889" s="1">
        <f t="shared" si="39"/>
        <v>0.63042607399895201</v>
      </c>
      <c r="L889" s="1">
        <f t="shared" si="40"/>
        <v>0.93174087840604203</v>
      </c>
      <c r="M889" s="1">
        <f t="shared" si="41"/>
        <v>504.38980337848346</v>
      </c>
      <c r="N889"/>
      <c r="P889" s="1"/>
    </row>
    <row r="890" spans="1:19" x14ac:dyDescent="0.3">
      <c r="A890" s="1">
        <v>1006</v>
      </c>
      <c r="C890" s="1" t="s">
        <v>15</v>
      </c>
      <c r="D890" s="1">
        <v>22</v>
      </c>
      <c r="E890" s="1">
        <v>129</v>
      </c>
      <c r="F890" s="1">
        <v>0</v>
      </c>
      <c r="G890" s="1">
        <v>0.42727471046988202</v>
      </c>
      <c r="H890" s="1">
        <v>1.873000779239179</v>
      </c>
      <c r="I890" s="1">
        <v>454.61456997350592</v>
      </c>
      <c r="K890" s="1">
        <f t="shared" si="39"/>
        <v>0.49432045273204189</v>
      </c>
      <c r="L890" s="1">
        <f t="shared" si="40"/>
        <v>0.92867245472001214</v>
      </c>
      <c r="M890" s="1">
        <f t="shared" si="41"/>
        <v>225.1327372581076</v>
      </c>
      <c r="N890" s="1">
        <f>SLOPE(K890:K893,F890:F893)</f>
        <v>5.4214537100423781E-4</v>
      </c>
      <c r="O890" s="1">
        <f>SLOPE(L890:L893,F890:F893)</f>
        <v>6.4777833371742295E-5</v>
      </c>
      <c r="P890" s="1">
        <f>SLOPE(M890:M893,F890:F893)</f>
        <v>0.78530423479277645</v>
      </c>
      <c r="Q890" s="1">
        <f>(N890*41.35/0.31*60)/1000</f>
        <v>4.3389118240694004E-3</v>
      </c>
      <c r="R890" s="1">
        <f>O890*41.35/0.31*60/1000</f>
        <v>5.1843162772675043E-4</v>
      </c>
      <c r="S890" s="1">
        <f>(O890*41.35/0.31*60)/1000</f>
        <v>5.1843162772675043E-4</v>
      </c>
    </row>
    <row r="891" spans="1:19" x14ac:dyDescent="0.3">
      <c r="A891" s="1">
        <v>1007</v>
      </c>
      <c r="C891" s="1" t="s">
        <v>15</v>
      </c>
      <c r="D891" s="1">
        <v>22</v>
      </c>
      <c r="E891" s="1">
        <v>130</v>
      </c>
      <c r="F891" s="1">
        <v>15</v>
      </c>
      <c r="G891" s="1">
        <v>0.43005456413384985</v>
      </c>
      <c r="H891" s="1">
        <v>1.8647493447306898</v>
      </c>
      <c r="I891" s="1">
        <v>489.20481119150338</v>
      </c>
      <c r="K891" s="1">
        <f t="shared" si="39"/>
        <v>0.49753650668522398</v>
      </c>
      <c r="L891" s="1">
        <f t="shared" si="40"/>
        <v>0.92458122313863889</v>
      </c>
      <c r="M891" s="1">
        <f t="shared" si="41"/>
        <v>242.26240313810752</v>
      </c>
      <c r="N891"/>
      <c r="P891" s="1"/>
    </row>
    <row r="892" spans="1:19" x14ac:dyDescent="0.3">
      <c r="A892" s="1">
        <v>1008</v>
      </c>
      <c r="C892" s="1" t="s">
        <v>15</v>
      </c>
      <c r="D892" s="1">
        <v>22</v>
      </c>
      <c r="E892" s="1">
        <v>131</v>
      </c>
      <c r="F892" s="1">
        <v>30</v>
      </c>
      <c r="G892" s="1">
        <v>0.43733969787390342</v>
      </c>
      <c r="H892" s="1">
        <v>1.875063637866301</v>
      </c>
      <c r="I892" s="1">
        <v>503.77226097846454</v>
      </c>
      <c r="K892" s="1">
        <f t="shared" si="39"/>
        <v>0.50596478601080463</v>
      </c>
      <c r="L892" s="1">
        <f t="shared" si="40"/>
        <v>0.9296952626153554</v>
      </c>
      <c r="M892" s="1">
        <f t="shared" si="41"/>
        <v>249.47644787406861</v>
      </c>
      <c r="N892"/>
      <c r="P892" s="1"/>
    </row>
    <row r="893" spans="1:19" x14ac:dyDescent="0.3">
      <c r="A893" s="1">
        <v>1009</v>
      </c>
      <c r="C893" s="1" t="s">
        <v>15</v>
      </c>
      <c r="D893" s="1">
        <v>22</v>
      </c>
      <c r="E893" s="1">
        <v>132</v>
      </c>
      <c r="F893" s="1">
        <v>45</v>
      </c>
      <c r="G893" s="1">
        <v>0.44827698418627338</v>
      </c>
      <c r="H893" s="1">
        <v>1.8760950671798622</v>
      </c>
      <c r="I893" s="1">
        <v>529.04769894541516</v>
      </c>
      <c r="K893" s="1">
        <f t="shared" si="39"/>
        <v>0.51861829484039357</v>
      </c>
      <c r="L893" s="1">
        <f t="shared" si="40"/>
        <v>0.93020666656302708</v>
      </c>
      <c r="M893" s="1">
        <f t="shared" si="41"/>
        <v>261.99326741909272</v>
      </c>
      <c r="N893"/>
      <c r="P893" s="1"/>
    </row>
    <row r="894" spans="1:19" x14ac:dyDescent="0.3">
      <c r="A894" s="1">
        <v>1010</v>
      </c>
      <c r="C894" s="1" t="s">
        <v>15</v>
      </c>
      <c r="D894" s="1">
        <v>22</v>
      </c>
      <c r="E894" s="1">
        <v>133</v>
      </c>
      <c r="F894" s="1">
        <v>0</v>
      </c>
      <c r="G894" s="1">
        <v>0.42729388187446105</v>
      </c>
      <c r="H894" s="1">
        <v>1.8699064912984955</v>
      </c>
      <c r="I894" s="1">
        <v>443.58465426879047</v>
      </c>
      <c r="K894" s="1">
        <f t="shared" si="39"/>
        <v>0.49434263241447757</v>
      </c>
      <c r="L894" s="1">
        <f t="shared" si="40"/>
        <v>0.9271382428769972</v>
      </c>
      <c r="M894" s="1">
        <f t="shared" si="41"/>
        <v>219.67053855542747</v>
      </c>
      <c r="N894" s="1">
        <f>SLOPE(K894:K897,F894:F897)</f>
        <v>5.9122161500704887E-3</v>
      </c>
      <c r="O894" s="1">
        <f>SLOPE(L894:L897,F894:F897)</f>
        <v>-2.9320492999841186E-4</v>
      </c>
      <c r="P894" s="1">
        <f>SLOPE(M894:M897,F894:F897)</f>
        <v>6.8854013875519193</v>
      </c>
      <c r="Q894" s="1">
        <f>(N894*41.35/0.31*60)/1000</f>
        <v>4.731680086556414E-2</v>
      </c>
      <c r="R894" s="1">
        <f>O894*41.35/0.31*60/1000</f>
        <v>-2.346585262342128E-3</v>
      </c>
      <c r="S894" s="1">
        <f>(O894*41.35/0.31*60)/1000</f>
        <v>-2.346585262342128E-3</v>
      </c>
    </row>
    <row r="895" spans="1:19" x14ac:dyDescent="0.3">
      <c r="A895" s="1">
        <v>1011</v>
      </c>
      <c r="C895" s="1" t="s">
        <v>15</v>
      </c>
      <c r="D895" s="1">
        <v>22</v>
      </c>
      <c r="E895" s="1">
        <v>134</v>
      </c>
      <c r="F895" s="1">
        <v>15</v>
      </c>
      <c r="G895" s="1">
        <v>0.5673985065384396</v>
      </c>
      <c r="H895" s="1">
        <v>1.8905350775697178</v>
      </c>
      <c r="I895" s="1">
        <v>818.59720236693954</v>
      </c>
      <c r="K895" s="1">
        <f t="shared" si="39"/>
        <v>0.65643175165485557</v>
      </c>
      <c r="L895" s="1">
        <f t="shared" si="40"/>
        <v>0.93736632183043</v>
      </c>
      <c r="M895" s="1">
        <f t="shared" si="41"/>
        <v>405.38302345091665</v>
      </c>
      <c r="N895"/>
      <c r="P895" s="1"/>
    </row>
    <row r="896" spans="1:19" x14ac:dyDescent="0.3">
      <c r="A896" s="1">
        <v>1012</v>
      </c>
      <c r="C896" s="1" t="s">
        <v>15</v>
      </c>
      <c r="D896" s="1">
        <v>22</v>
      </c>
      <c r="E896" s="1">
        <v>135</v>
      </c>
      <c r="F896" s="1">
        <v>30</v>
      </c>
      <c r="G896" s="1">
        <v>0.6398664158473939</v>
      </c>
      <c r="H896" s="1">
        <v>1.8637179154171288</v>
      </c>
      <c r="I896" s="1">
        <v>1030.2484993566829</v>
      </c>
      <c r="K896" s="1">
        <f t="shared" si="39"/>
        <v>0.74027095126194753</v>
      </c>
      <c r="L896" s="1">
        <f t="shared" si="40"/>
        <v>0.92406981919096731</v>
      </c>
      <c r="M896" s="1">
        <f t="shared" si="41"/>
        <v>510.19628501951644</v>
      </c>
      <c r="N896"/>
      <c r="P896" s="1"/>
    </row>
    <row r="897" spans="1:19" x14ac:dyDescent="0.3">
      <c r="A897" s="1">
        <v>1013</v>
      </c>
      <c r="C897" s="1" t="s">
        <v>15</v>
      </c>
      <c r="D897" s="1">
        <v>22</v>
      </c>
      <c r="E897" s="1">
        <v>136</v>
      </c>
      <c r="F897" s="1">
        <v>45</v>
      </c>
      <c r="G897" s="1">
        <v>0.65865439233490064</v>
      </c>
      <c r="H897" s="1">
        <v>1.849277905027273</v>
      </c>
      <c r="I897" s="1">
        <v>1068.2249412051319</v>
      </c>
      <c r="K897" s="1">
        <f t="shared" si="39"/>
        <v>0.76200704004897135</v>
      </c>
      <c r="L897" s="1">
        <f t="shared" si="40"/>
        <v>0.91691016392356417</v>
      </c>
      <c r="M897" s="1">
        <f t="shared" si="41"/>
        <v>529.0028540768235</v>
      </c>
      <c r="N897"/>
      <c r="P897" s="1"/>
    </row>
    <row r="898" spans="1:19" x14ac:dyDescent="0.3">
      <c r="A898" s="1">
        <v>1014</v>
      </c>
      <c r="C898" s="1" t="s">
        <v>15</v>
      </c>
      <c r="D898" s="1">
        <v>22</v>
      </c>
      <c r="E898" s="1">
        <v>137</v>
      </c>
      <c r="F898" s="1">
        <v>0</v>
      </c>
      <c r="G898" s="1">
        <v>0.42919185092779083</v>
      </c>
      <c r="H898" s="1">
        <v>1.875063637866301</v>
      </c>
      <c r="I898" s="1">
        <v>441.86679029781658</v>
      </c>
      <c r="K898" s="1">
        <f t="shared" si="39"/>
        <v>0.49653842097561574</v>
      </c>
      <c r="L898" s="1">
        <f t="shared" si="40"/>
        <v>0.9296952626153554</v>
      </c>
      <c r="M898" s="1">
        <f t="shared" si="41"/>
        <v>218.81982359034183</v>
      </c>
      <c r="N898" s="1">
        <f>SLOPE(K898:K901,F898:F901)</f>
        <v>1.9561740585573608E-2</v>
      </c>
      <c r="O898" s="1">
        <f>SLOPE(L898:L901,F898:F901)</f>
        <v>-2.9661428964955716E-4</v>
      </c>
      <c r="P898" s="1">
        <f>SLOPE(M898:M901,F898:F901)</f>
        <v>12.455587446700642</v>
      </c>
      <c r="Q898" s="1">
        <f>(N898*41.35/0.31*60)/1000</f>
        <v>0.15655702707357461</v>
      </c>
      <c r="R898" s="1">
        <f>O898*41.35/0.31*60/1000</f>
        <v>-2.3738711374856492E-3</v>
      </c>
      <c r="S898" s="1">
        <f>(O898*41.35/0.31*60)/1000</f>
        <v>-2.3738711374856492E-3</v>
      </c>
    </row>
    <row r="899" spans="1:19" x14ac:dyDescent="0.3">
      <c r="A899" s="1">
        <v>1015</v>
      </c>
      <c r="C899" s="1" t="s">
        <v>15</v>
      </c>
      <c r="D899" s="1">
        <v>22</v>
      </c>
      <c r="E899" s="1">
        <v>138</v>
      </c>
      <c r="F899" s="1">
        <v>15</v>
      </c>
      <c r="G899" s="1">
        <v>0.76217039135968867</v>
      </c>
      <c r="H899" s="1">
        <v>1.8585607688493231</v>
      </c>
      <c r="I899" s="1">
        <v>1049.6320216004428</v>
      </c>
      <c r="K899" s="1">
        <f t="shared" ref="K899:K962" si="42">(G899*28*1)/(0.082*(D899+273.15))</f>
        <v>0.88176623536074195</v>
      </c>
      <c r="L899" s="1">
        <f t="shared" ref="L899:L962" si="43">(H899*12*1)/(0.082*(D899+273.15))</f>
        <v>0.92151279945260911</v>
      </c>
      <c r="M899" s="1">
        <f t="shared" ref="M899:M962" si="44">(I899*12*1)/(0.0821*(D899+273.15))</f>
        <v>519.79532937195643</v>
      </c>
      <c r="N899"/>
      <c r="P899" s="1"/>
    </row>
    <row r="900" spans="1:19" x14ac:dyDescent="0.3">
      <c r="A900" s="1">
        <v>1016</v>
      </c>
      <c r="C900" s="1" t="s">
        <v>15</v>
      </c>
      <c r="D900" s="1">
        <v>22</v>
      </c>
      <c r="E900" s="1">
        <v>139</v>
      </c>
      <c r="F900" s="1">
        <v>30</v>
      </c>
      <c r="G900" s="1">
        <v>1.0341455224209271</v>
      </c>
      <c r="H900" s="1">
        <v>1.8554664809086396</v>
      </c>
      <c r="I900" s="1">
        <v>1352.2640726364743</v>
      </c>
      <c r="K900" s="1">
        <f t="shared" si="42"/>
        <v>1.1964183002353479</v>
      </c>
      <c r="L900" s="1">
        <f t="shared" si="43"/>
        <v>0.91997858760959406</v>
      </c>
      <c r="M900" s="1">
        <f t="shared" si="44"/>
        <v>669.66378175294301</v>
      </c>
      <c r="N900"/>
      <c r="P900" s="1"/>
    </row>
    <row r="901" spans="1:19" x14ac:dyDescent="0.3">
      <c r="A901" s="1">
        <v>1017</v>
      </c>
      <c r="C901" s="1" t="s">
        <v>15</v>
      </c>
      <c r="D901" s="1">
        <v>22</v>
      </c>
      <c r="E901" s="1">
        <v>140</v>
      </c>
      <c r="F901" s="1">
        <v>45</v>
      </c>
      <c r="G901" s="1">
        <v>1.183960463504214</v>
      </c>
      <c r="H901" s="1">
        <v>1.8461836170865895</v>
      </c>
      <c r="I901" s="1">
        <v>1598.5789846390244</v>
      </c>
      <c r="K901" s="1">
        <f t="shared" si="42"/>
        <v>1.3697414286294276</v>
      </c>
      <c r="L901" s="1">
        <f t="shared" si="43"/>
        <v>0.91537595208054923</v>
      </c>
      <c r="M901" s="1">
        <f t="shared" si="44"/>
        <v>791.6430451317118</v>
      </c>
      <c r="N901"/>
      <c r="P901" s="1"/>
    </row>
    <row r="902" spans="1:19" x14ac:dyDescent="0.3">
      <c r="A902" s="1">
        <v>1018</v>
      </c>
      <c r="C902" s="1" t="s">
        <v>15</v>
      </c>
      <c r="D902" s="1">
        <v>22</v>
      </c>
      <c r="E902" s="1">
        <v>141</v>
      </c>
      <c r="F902" s="1">
        <v>0</v>
      </c>
      <c r="G902" s="1">
        <v>0.43592101393505089</v>
      </c>
      <c r="H902" s="1">
        <v>1.8936293655104015</v>
      </c>
      <c r="I902" s="1">
        <v>494.3097929653639</v>
      </c>
      <c r="K902" s="1">
        <f t="shared" si="42"/>
        <v>0.50432348951056005</v>
      </c>
      <c r="L902" s="1">
        <f t="shared" si="43"/>
        <v>0.93890053367344517</v>
      </c>
      <c r="M902" s="1">
        <f t="shared" si="44"/>
        <v>244.79047547962736</v>
      </c>
      <c r="N902" s="1">
        <f>SLOPE(K902:K905,F902:F905)</f>
        <v>6.8646117138611014E-4</v>
      </c>
      <c r="O902" s="1">
        <f>SLOPE(L902:L905,F902:F905)</f>
        <v>-2.7274877209154967E-4</v>
      </c>
      <c r="P902" s="1">
        <f>SLOPE(M902:M905,F902:F905)</f>
        <v>2.9973751036080922</v>
      </c>
      <c r="Q902" s="1">
        <f>(N902*41.35/0.31*60)/1000</f>
        <v>5.4939037619643203E-3</v>
      </c>
      <c r="R902" s="1">
        <f>O902*41.35/0.31*60/1000</f>
        <v>-2.1828700114810799E-3</v>
      </c>
      <c r="S902" s="1">
        <f>(O902*41.35/0.31*60)/1000</f>
        <v>-2.1828700114810799E-3</v>
      </c>
    </row>
    <row r="903" spans="1:19" x14ac:dyDescent="0.3">
      <c r="A903" s="1">
        <v>1019</v>
      </c>
      <c r="C903" s="1" t="s">
        <v>15</v>
      </c>
      <c r="D903" s="1">
        <v>22</v>
      </c>
      <c r="E903" s="1">
        <v>142</v>
      </c>
      <c r="F903" s="1">
        <v>15</v>
      </c>
      <c r="G903" s="1">
        <v>0.45386544862107764</v>
      </c>
      <c r="H903" s="1">
        <v>1.8771264964934231</v>
      </c>
      <c r="I903" s="1">
        <v>720.08279393860175</v>
      </c>
      <c r="K903" s="1">
        <f t="shared" si="42"/>
        <v>0.52508367227041131</v>
      </c>
      <c r="L903" s="1">
        <f t="shared" si="43"/>
        <v>0.93071807051069855</v>
      </c>
      <c r="M903" s="1">
        <f t="shared" si="44"/>
        <v>356.59704100841066</v>
      </c>
      <c r="N903"/>
      <c r="P903" s="1"/>
    </row>
    <row r="904" spans="1:19" x14ac:dyDescent="0.3">
      <c r="A904" s="1">
        <v>1020</v>
      </c>
      <c r="C904" s="1" t="s">
        <v>15</v>
      </c>
      <c r="D904" s="1">
        <v>22</v>
      </c>
      <c r="E904" s="1">
        <v>143</v>
      </c>
      <c r="F904" s="1">
        <v>30</v>
      </c>
      <c r="G904" s="1">
        <v>0.46240630936106158</v>
      </c>
      <c r="H904" s="1">
        <v>1.8626864861035677</v>
      </c>
      <c r="I904" s="1">
        <v>737.11376888628683</v>
      </c>
      <c r="K904" s="1">
        <f t="shared" si="42"/>
        <v>0.53496472079553281</v>
      </c>
      <c r="L904" s="1">
        <f t="shared" si="43"/>
        <v>0.92355841524329563</v>
      </c>
      <c r="M904" s="1">
        <f t="shared" si="44"/>
        <v>365.0310645998016</v>
      </c>
      <c r="N904"/>
      <c r="P904" s="1"/>
    </row>
    <row r="905" spans="1:19" x14ac:dyDescent="0.3">
      <c r="A905" s="1">
        <v>1021</v>
      </c>
      <c r="C905" s="1" t="s">
        <v>15</v>
      </c>
      <c r="D905" s="1">
        <v>22</v>
      </c>
      <c r="E905" s="1">
        <v>144</v>
      </c>
      <c r="F905" s="1">
        <v>45</v>
      </c>
      <c r="G905" s="1">
        <v>0.46274180894119565</v>
      </c>
      <c r="H905" s="1">
        <v>1.8709379206120564</v>
      </c>
      <c r="I905" s="1">
        <v>791.26546380045693</v>
      </c>
      <c r="K905" s="1">
        <f t="shared" si="42"/>
        <v>0.53535286523815839</v>
      </c>
      <c r="L905" s="1">
        <f t="shared" si="43"/>
        <v>0.92764964682466866</v>
      </c>
      <c r="M905" s="1">
        <f t="shared" si="44"/>
        <v>391.84788946290166</v>
      </c>
      <c r="N905"/>
      <c r="P905" s="1"/>
    </row>
    <row r="906" spans="1:19" x14ac:dyDescent="0.3">
      <c r="A906" s="1">
        <v>1022</v>
      </c>
      <c r="C906" s="1" t="s">
        <v>15</v>
      </c>
      <c r="D906" s="1">
        <v>22</v>
      </c>
      <c r="E906" s="1">
        <v>145</v>
      </c>
      <c r="F906" s="1">
        <v>0</v>
      </c>
      <c r="G906" s="1">
        <v>0.42915350811863262</v>
      </c>
      <c r="H906" s="1">
        <v>1.891566506883279</v>
      </c>
      <c r="I906" s="1">
        <v>466.92577557007957</v>
      </c>
      <c r="K906" s="1">
        <f t="shared" si="42"/>
        <v>0.49649406161074416</v>
      </c>
      <c r="L906" s="1">
        <f t="shared" si="43"/>
        <v>0.93787772577810158</v>
      </c>
      <c r="M906" s="1">
        <f t="shared" si="44"/>
        <v>231.22945214136681</v>
      </c>
      <c r="N906" s="1">
        <f>SLOPE(K906:K909,F906:F909)</f>
        <v>1.0062182598346754E-3</v>
      </c>
      <c r="O906" s="1">
        <f>SLOPE(L906:L909,F906:F909)</f>
        <v>-5.9322857929910609E-4</v>
      </c>
      <c r="P906" s="1">
        <f>SLOPE(M906:M909,F906:F909)</f>
        <v>4.7286035245122697</v>
      </c>
      <c r="Q906" s="1">
        <f>(N906*41.35/0.31*60)/1000</f>
        <v>8.0529919440317076E-3</v>
      </c>
      <c r="R906" s="1">
        <f>O906*41.35/0.31*60/1000</f>
        <v>-4.7477422749712334E-3</v>
      </c>
      <c r="S906" s="1">
        <f>(O906*41.35/0.31*60)/1000</f>
        <v>-4.7477422749712334E-3</v>
      </c>
    </row>
    <row r="907" spans="1:19" x14ac:dyDescent="0.3">
      <c r="A907" s="1">
        <v>1023</v>
      </c>
      <c r="C907" s="1" t="s">
        <v>15</v>
      </c>
      <c r="D907" s="1">
        <v>22</v>
      </c>
      <c r="E907" s="1">
        <v>146</v>
      </c>
      <c r="F907" s="1">
        <v>15</v>
      </c>
      <c r="G907" s="1">
        <v>0.44982028225489001</v>
      </c>
      <c r="H907" s="1">
        <v>1.875063637866301</v>
      </c>
      <c r="I907" s="1">
        <v>666.8069986999684</v>
      </c>
      <c r="K907" s="1">
        <f t="shared" si="42"/>
        <v>0.52040375927647053</v>
      </c>
      <c r="L907" s="1">
        <f t="shared" si="43"/>
        <v>0.9296952626153554</v>
      </c>
      <c r="M907" s="1">
        <f t="shared" si="44"/>
        <v>330.2139763117051</v>
      </c>
      <c r="N907"/>
      <c r="P907" s="1"/>
    </row>
    <row r="908" spans="1:19" x14ac:dyDescent="0.3">
      <c r="A908" s="1">
        <v>1024</v>
      </c>
      <c r="C908" s="1" t="s">
        <v>15</v>
      </c>
      <c r="D908" s="1">
        <v>22</v>
      </c>
      <c r="E908" s="1">
        <v>147</v>
      </c>
      <c r="F908" s="1">
        <v>30</v>
      </c>
      <c r="G908" s="1">
        <v>0.46352783652893825</v>
      </c>
      <c r="H908" s="1">
        <v>1.841026470518784</v>
      </c>
      <c r="I908" s="1">
        <v>782.46702863038081</v>
      </c>
      <c r="K908" s="1">
        <f t="shared" si="42"/>
        <v>0.5362622322180236</v>
      </c>
      <c r="L908" s="1">
        <f t="shared" si="43"/>
        <v>0.91281893234219103</v>
      </c>
      <c r="M908" s="1">
        <f t="shared" si="44"/>
        <v>387.49075723649133</v>
      </c>
      <c r="N908"/>
      <c r="P908" s="1"/>
    </row>
    <row r="909" spans="1:19" x14ac:dyDescent="0.3">
      <c r="A909" s="1">
        <v>1025</v>
      </c>
      <c r="C909" s="1" t="s">
        <v>15</v>
      </c>
      <c r="D909" s="1">
        <v>22</v>
      </c>
      <c r="E909" s="1">
        <v>148</v>
      </c>
      <c r="F909" s="1">
        <v>45</v>
      </c>
      <c r="G909" s="1">
        <v>0.46807145941418221</v>
      </c>
      <c r="H909" s="1">
        <v>1.8430893291459063</v>
      </c>
      <c r="I909" s="1">
        <v>905.80012315298075</v>
      </c>
      <c r="K909" s="1">
        <f t="shared" si="42"/>
        <v>0.54151881695529358</v>
      </c>
      <c r="L909" s="1">
        <f t="shared" si="43"/>
        <v>0.91384174023753439</v>
      </c>
      <c r="M909" s="1">
        <f t="shared" si="44"/>
        <v>448.56736805871822</v>
      </c>
      <c r="N909"/>
      <c r="P909" s="1"/>
    </row>
    <row r="910" spans="1:19" x14ac:dyDescent="0.3">
      <c r="A910" s="1">
        <v>1026</v>
      </c>
      <c r="C910" s="1" t="s">
        <v>15</v>
      </c>
      <c r="D910" s="1">
        <v>22</v>
      </c>
      <c r="E910" s="1">
        <v>149</v>
      </c>
      <c r="F910" s="1">
        <v>0</v>
      </c>
      <c r="G910" s="1">
        <v>0.43004497843156025</v>
      </c>
      <c r="H910" s="1">
        <v>1.8905350775697178</v>
      </c>
      <c r="I910" s="1">
        <v>496.42570977317848</v>
      </c>
      <c r="K910" s="1">
        <f t="shared" si="42"/>
        <v>0.49752541684400609</v>
      </c>
      <c r="L910" s="1">
        <f t="shared" si="43"/>
        <v>0.93736632183043</v>
      </c>
      <c r="M910" s="1">
        <f t="shared" si="44"/>
        <v>245.83831286588074</v>
      </c>
      <c r="N910" s="1">
        <f>SLOPE(K910:K913,F910:F913)</f>
        <v>6.5821904241793498E-4</v>
      </c>
      <c r="O910" s="1">
        <f>SLOPE(L910:L913,F910:F913)</f>
        <v>-3.409359651144313E-4</v>
      </c>
      <c r="P910" s="1">
        <f>SLOPE(M910:M913,F910:F913)</f>
        <v>3.3597563631793812</v>
      </c>
      <c r="Q910" s="1">
        <f>(N910*41.35/0.31*60)/1000</f>
        <v>5.2678756265770862E-3</v>
      </c>
      <c r="R910" s="1">
        <f>O910*41.35/0.31*60/1000</f>
        <v>-2.7285875143513035E-3</v>
      </c>
      <c r="S910" s="1">
        <f>(O910*41.35/0.31*60)/1000</f>
        <v>-2.7285875143513035E-3</v>
      </c>
    </row>
    <row r="911" spans="1:19" x14ac:dyDescent="0.3">
      <c r="A911" s="1">
        <v>1027</v>
      </c>
      <c r="C911" s="1" t="s">
        <v>15</v>
      </c>
      <c r="D911" s="1">
        <v>22</v>
      </c>
      <c r="E911" s="1">
        <v>150</v>
      </c>
      <c r="F911" s="1">
        <v>15</v>
      </c>
      <c r="G911" s="1">
        <v>0.43982239476689539</v>
      </c>
      <c r="H911" s="1">
        <v>1.8802207844341068</v>
      </c>
      <c r="I911" s="1">
        <v>759.85414224257443</v>
      </c>
      <c r="K911" s="1">
        <f t="shared" si="42"/>
        <v>0.50883705488623276</v>
      </c>
      <c r="L911" s="1">
        <f t="shared" si="43"/>
        <v>0.93225228235371371</v>
      </c>
      <c r="M911" s="1">
        <f t="shared" si="44"/>
        <v>376.29247775748098</v>
      </c>
      <c r="N911"/>
      <c r="P911" s="1"/>
    </row>
    <row r="912" spans="1:19" x14ac:dyDescent="0.3">
      <c r="A912" s="1">
        <v>1028</v>
      </c>
      <c r="C912" s="1" t="s">
        <v>15</v>
      </c>
      <c r="D912" s="1">
        <v>22</v>
      </c>
      <c r="E912" s="1">
        <v>151</v>
      </c>
      <c r="F912" s="1">
        <v>30</v>
      </c>
      <c r="G912" s="1">
        <v>0.45350119193407495</v>
      </c>
      <c r="H912" s="1">
        <v>1.851340763654395</v>
      </c>
      <c r="I912" s="1">
        <v>809.43923560229757</v>
      </c>
      <c r="K912" s="1">
        <f t="shared" si="42"/>
        <v>0.52466225830413227</v>
      </c>
      <c r="L912" s="1">
        <f t="shared" si="43"/>
        <v>0.91793297181890732</v>
      </c>
      <c r="M912" s="1">
        <f t="shared" si="44"/>
        <v>400.84784516667736</v>
      </c>
      <c r="N912"/>
      <c r="P912" s="1"/>
    </row>
    <row r="913" spans="1:19" x14ac:dyDescent="0.3">
      <c r="A913" s="1">
        <v>1029</v>
      </c>
      <c r="C913" s="1" t="s">
        <v>15</v>
      </c>
      <c r="D913" s="1">
        <v>22</v>
      </c>
      <c r="E913" s="1">
        <v>152</v>
      </c>
      <c r="F913" s="1">
        <v>45</v>
      </c>
      <c r="G913" s="1">
        <v>0.45393254853710446</v>
      </c>
      <c r="H913" s="1">
        <v>1.8657807740442509</v>
      </c>
      <c r="I913" s="1">
        <v>819.11815631008574</v>
      </c>
      <c r="K913" s="1">
        <f t="shared" si="42"/>
        <v>0.52516130115893633</v>
      </c>
      <c r="L913" s="1">
        <f t="shared" si="43"/>
        <v>0.92509262708631057</v>
      </c>
      <c r="M913" s="1">
        <f t="shared" si="44"/>
        <v>405.64100855511765</v>
      </c>
      <c r="N913"/>
      <c r="P913" s="1"/>
    </row>
    <row r="914" spans="1:19" x14ac:dyDescent="0.3">
      <c r="A914" s="1">
        <v>1030</v>
      </c>
      <c r="C914" s="1" t="s">
        <v>15</v>
      </c>
      <c r="D914" s="1">
        <v>22</v>
      </c>
      <c r="E914" s="1">
        <v>153</v>
      </c>
      <c r="F914" s="1">
        <v>0</v>
      </c>
      <c r="G914" s="1">
        <v>0.43870086759901872</v>
      </c>
      <c r="H914" s="1">
        <v>1.8946607948239624</v>
      </c>
      <c r="I914" s="1">
        <v>483.13312967102968</v>
      </c>
      <c r="K914" s="1">
        <f t="shared" si="42"/>
        <v>0.50753954346374208</v>
      </c>
      <c r="L914" s="1">
        <f t="shared" si="43"/>
        <v>0.93941193762111674</v>
      </c>
      <c r="M914" s="1">
        <f t="shared" si="44"/>
        <v>239.25560491660886</v>
      </c>
      <c r="N914" s="1">
        <f>SLOPE(K914:K917,F914:F917)</f>
        <v>2.3392171742225654E-3</v>
      </c>
      <c r="O914" s="1">
        <f>SLOPE(L914:L917,F914:F917)</f>
        <v>-3.4434532476557589E-4</v>
      </c>
      <c r="P914" s="1">
        <f>SLOPE(M914:M917,F914:F917)</f>
        <v>4.4006929506947978</v>
      </c>
      <c r="Q914" s="1">
        <f>(N914*41.35/0.31*60)/1000</f>
        <v>1.8721283255632853E-2</v>
      </c>
      <c r="R914" s="1">
        <f>O914*41.35/0.31*60/1000</f>
        <v>-2.755873389494819E-3</v>
      </c>
      <c r="S914" s="1">
        <f>(O914*41.35/0.31*60)/1000</f>
        <v>-2.755873389494819E-3</v>
      </c>
    </row>
    <row r="915" spans="1:19" x14ac:dyDescent="0.3">
      <c r="A915" s="1">
        <v>1031</v>
      </c>
      <c r="C915" s="1" t="s">
        <v>15</v>
      </c>
      <c r="D915" s="1">
        <v>22</v>
      </c>
      <c r="E915" s="1">
        <v>154</v>
      </c>
      <c r="F915" s="1">
        <v>15</v>
      </c>
      <c r="G915" s="1">
        <v>0.51782125429691672</v>
      </c>
      <c r="H915" s="1">
        <v>1.8657807740442509</v>
      </c>
      <c r="I915" s="1">
        <v>733.90458253581289</v>
      </c>
      <c r="K915" s="1">
        <f t="shared" si="42"/>
        <v>0.59907509287603533</v>
      </c>
      <c r="L915" s="1">
        <f t="shared" si="43"/>
        <v>0.92509262708631057</v>
      </c>
      <c r="M915" s="1">
        <f t="shared" si="44"/>
        <v>363.44182185402758</v>
      </c>
      <c r="N915"/>
      <c r="P915" s="1"/>
    </row>
    <row r="916" spans="1:19" x14ac:dyDescent="0.3">
      <c r="A916" s="1">
        <v>1032</v>
      </c>
      <c r="C916" s="1" t="s">
        <v>15</v>
      </c>
      <c r="D916" s="1">
        <v>22</v>
      </c>
      <c r="E916" s="1">
        <v>155</v>
      </c>
      <c r="F916" s="1">
        <v>30</v>
      </c>
      <c r="G916" s="1">
        <v>0.53564107485317947</v>
      </c>
      <c r="H916" s="1">
        <v>1.8544350515950787</v>
      </c>
      <c r="I916" s="1">
        <v>833.07293491038888</v>
      </c>
      <c r="K916" s="1">
        <f t="shared" si="42"/>
        <v>0.61969110770005431</v>
      </c>
      <c r="L916" s="1">
        <f t="shared" si="43"/>
        <v>0.91946718366192248</v>
      </c>
      <c r="M916" s="1">
        <f t="shared" si="44"/>
        <v>412.55164827416627</v>
      </c>
      <c r="N916"/>
      <c r="P916" s="1"/>
    </row>
    <row r="917" spans="1:19" x14ac:dyDescent="0.3">
      <c r="A917" s="1">
        <v>1033</v>
      </c>
      <c r="C917" s="1" t="s">
        <v>15</v>
      </c>
      <c r="D917" s="1">
        <v>22</v>
      </c>
      <c r="E917" s="1">
        <v>156</v>
      </c>
      <c r="F917" s="1">
        <v>45</v>
      </c>
      <c r="G917" s="1">
        <v>0.5338581342273242</v>
      </c>
      <c r="H917" s="1">
        <v>1.8637179154171288</v>
      </c>
      <c r="I917" s="1">
        <v>894.39691826717285</v>
      </c>
      <c r="K917" s="1">
        <f t="shared" si="42"/>
        <v>0.61762839723353069</v>
      </c>
      <c r="L917" s="1">
        <f t="shared" si="43"/>
        <v>0.92406981919096731</v>
      </c>
      <c r="M917" s="1">
        <f t="shared" si="44"/>
        <v>442.9203103113025</v>
      </c>
      <c r="N917"/>
      <c r="P917" s="1"/>
    </row>
    <row r="918" spans="1:19" x14ac:dyDescent="0.3">
      <c r="A918" s="1">
        <v>1034</v>
      </c>
      <c r="C918" s="1" t="s">
        <v>15</v>
      </c>
      <c r="D918" s="1">
        <v>22</v>
      </c>
      <c r="E918" s="1">
        <v>157</v>
      </c>
      <c r="F918" s="1">
        <v>0</v>
      </c>
      <c r="G918" s="1">
        <v>0.43155951939330828</v>
      </c>
      <c r="H918" s="1">
        <v>1.8833150723747902</v>
      </c>
      <c r="I918" s="1">
        <v>467.18625254165278</v>
      </c>
      <c r="K918" s="1">
        <f t="shared" si="42"/>
        <v>0.49927761175642943</v>
      </c>
      <c r="L918" s="1">
        <f t="shared" si="43"/>
        <v>0.93378649419672866</v>
      </c>
      <c r="M918" s="1">
        <f t="shared" si="44"/>
        <v>231.35844469346739</v>
      </c>
      <c r="N918" s="1">
        <f>SLOPE(K918:K921,F918:F921)</f>
        <v>3.9209981932646597E-3</v>
      </c>
      <c r="O918" s="1">
        <f>SLOPE(L918:L921,F918:F921)</f>
        <v>-1.6364926325492728E-4</v>
      </c>
      <c r="P918" s="1">
        <f>SLOPE(M918:M921,F918:F921)</f>
        <v>3.1842477644739424</v>
      </c>
      <c r="Q918" s="1">
        <f>(N918*41.35/0.31*60)/1000</f>
        <v>3.1380633927385874E-2</v>
      </c>
      <c r="R918" s="1">
        <f>O918*41.35/0.31*60/1000</f>
        <v>-1.3097220068886274E-3</v>
      </c>
      <c r="S918" s="1">
        <f>(O918*41.35/0.31*60)/1000</f>
        <v>-1.3097220068886274E-3</v>
      </c>
    </row>
    <row r="919" spans="1:19" x14ac:dyDescent="0.3">
      <c r="A919" s="1">
        <v>1035</v>
      </c>
      <c r="C919" s="1" t="s">
        <v>15</v>
      </c>
      <c r="D919" s="1">
        <v>22</v>
      </c>
      <c r="E919" s="1">
        <v>158</v>
      </c>
      <c r="F919" s="1">
        <v>15</v>
      </c>
      <c r="G919" s="1">
        <v>0.47472393680312591</v>
      </c>
      <c r="H919" s="1">
        <v>1.8822836430612289</v>
      </c>
      <c r="I919" s="1">
        <v>677.72960522977507</v>
      </c>
      <c r="K919" s="1">
        <f t="shared" si="42"/>
        <v>0.54921516676049498</v>
      </c>
      <c r="L919" s="1">
        <f t="shared" si="43"/>
        <v>0.93327509024905697</v>
      </c>
      <c r="M919" s="1">
        <f t="shared" si="44"/>
        <v>335.62303371651279</v>
      </c>
      <c r="N919"/>
      <c r="P919" s="1"/>
    </row>
    <row r="920" spans="1:19" x14ac:dyDescent="0.3">
      <c r="A920" s="1">
        <v>1036</v>
      </c>
      <c r="C920" s="1" t="s">
        <v>15</v>
      </c>
      <c r="D920" s="1">
        <v>22</v>
      </c>
      <c r="E920" s="1">
        <v>159</v>
      </c>
      <c r="F920" s="1">
        <v>30</v>
      </c>
      <c r="G920" s="1">
        <v>0.49138388738235383</v>
      </c>
      <c r="H920" s="1">
        <v>1.8606236274764454</v>
      </c>
      <c r="I920" s="1">
        <v>750.56868850945125</v>
      </c>
      <c r="K920" s="1">
        <f t="shared" si="42"/>
        <v>0.56848931079715193</v>
      </c>
      <c r="L920" s="1">
        <f t="shared" si="43"/>
        <v>0.92253560734795237</v>
      </c>
      <c r="M920" s="1">
        <f t="shared" si="44"/>
        <v>371.69416579457277</v>
      </c>
      <c r="N920"/>
      <c r="P920" s="1"/>
    </row>
    <row r="921" spans="1:19" x14ac:dyDescent="0.3">
      <c r="A921" s="1">
        <v>1037</v>
      </c>
      <c r="C921" s="1" t="s">
        <v>15</v>
      </c>
      <c r="D921" s="1">
        <v>22</v>
      </c>
      <c r="E921" s="1">
        <v>160</v>
      </c>
      <c r="F921" s="1">
        <v>45</v>
      </c>
      <c r="G921" s="1">
        <v>0.59546544284222502</v>
      </c>
      <c r="H921" s="1">
        <v>1.8740322085527401</v>
      </c>
      <c r="I921" s="1">
        <v>764.40698621049455</v>
      </c>
      <c r="K921" s="1">
        <f t="shared" si="42"/>
        <v>0.68890280674077675</v>
      </c>
      <c r="L921" s="1">
        <f t="shared" si="43"/>
        <v>0.92918385866768383</v>
      </c>
      <c r="M921" s="1">
        <f t="shared" si="44"/>
        <v>378.54712222447785</v>
      </c>
      <c r="N921"/>
      <c r="P921" s="1"/>
    </row>
    <row r="922" spans="1:19" x14ac:dyDescent="0.3">
      <c r="A922" s="1">
        <v>1038</v>
      </c>
      <c r="C922" s="1" t="s">
        <v>15</v>
      </c>
      <c r="D922" s="1">
        <v>22</v>
      </c>
      <c r="E922" s="1">
        <v>161</v>
      </c>
      <c r="F922" s="1">
        <v>0</v>
      </c>
      <c r="G922" s="1">
        <v>0.42880842283620907</v>
      </c>
      <c r="H922" s="1">
        <v>1.8956922241375236</v>
      </c>
      <c r="I922" s="1">
        <v>462.30322649709058</v>
      </c>
      <c r="K922" s="1">
        <f t="shared" si="42"/>
        <v>0.49609482732690091</v>
      </c>
      <c r="L922" s="1">
        <f t="shared" si="43"/>
        <v>0.93992334156878843</v>
      </c>
      <c r="M922" s="1">
        <f t="shared" si="44"/>
        <v>228.94028854070925</v>
      </c>
      <c r="N922" s="1">
        <f>SLOPE(K922:K925,F922:F925)</f>
        <v>3.8456612052579346E-3</v>
      </c>
      <c r="O922" s="1">
        <f>SLOPE(L922:L925,F922:F925)</f>
        <v>-8.5233991278607459E-5</v>
      </c>
      <c r="P922" s="1">
        <f>SLOPE(M922:M925,F922:F925)</f>
        <v>2.6158872007561813</v>
      </c>
      <c r="Q922" s="1">
        <f>(N922*41.35/0.31*60)/1000</f>
        <v>3.0777695000790119E-2</v>
      </c>
      <c r="R922" s="1">
        <f>O922*41.35/0.31*60/1000</f>
        <v>-6.8214687858782284E-4</v>
      </c>
      <c r="S922" s="1">
        <f>(O922*41.35/0.31*60)/1000</f>
        <v>-6.8214687858782284E-4</v>
      </c>
    </row>
    <row r="923" spans="1:19" x14ac:dyDescent="0.3">
      <c r="A923" s="1">
        <v>1039</v>
      </c>
      <c r="C923" s="1" t="s">
        <v>15</v>
      </c>
      <c r="D923" s="1">
        <v>22</v>
      </c>
      <c r="E923" s="1">
        <v>162</v>
      </c>
      <c r="F923" s="1">
        <v>15</v>
      </c>
      <c r="G923" s="1">
        <v>0.55564643553145832</v>
      </c>
      <c r="H923" s="1">
        <v>1.8771264964934231</v>
      </c>
      <c r="I923" s="1">
        <v>632.61205880150624</v>
      </c>
      <c r="K923" s="1">
        <f t="shared" si="42"/>
        <v>0.64283560632174774</v>
      </c>
      <c r="L923" s="1">
        <f t="shared" si="43"/>
        <v>0.93071807051069855</v>
      </c>
      <c r="M923" s="1">
        <f t="shared" si="44"/>
        <v>313.28007025549158</v>
      </c>
      <c r="N923"/>
      <c r="P923" s="1"/>
    </row>
    <row r="924" spans="1:19" x14ac:dyDescent="0.3">
      <c r="A924" s="1">
        <v>1040</v>
      </c>
      <c r="C924" s="1" t="s">
        <v>15</v>
      </c>
      <c r="D924" s="1">
        <v>22</v>
      </c>
      <c r="E924" s="1">
        <v>163</v>
      </c>
      <c r="F924" s="1">
        <v>30</v>
      </c>
      <c r="G924" s="1">
        <v>0.59851369617030004</v>
      </c>
      <c r="H924" s="1">
        <v>1.873000779239179</v>
      </c>
      <c r="I924" s="1">
        <v>713.41861902504252</v>
      </c>
      <c r="K924" s="1">
        <f t="shared" si="42"/>
        <v>0.69242937624805923</v>
      </c>
      <c r="L924" s="1">
        <f t="shared" si="43"/>
        <v>0.92867245472001214</v>
      </c>
      <c r="M924" s="1">
        <f t="shared" si="44"/>
        <v>353.29683015079598</v>
      </c>
      <c r="N924"/>
      <c r="P924" s="1"/>
    </row>
    <row r="925" spans="1:19" x14ac:dyDescent="0.3">
      <c r="A925" s="1">
        <v>1041</v>
      </c>
      <c r="C925" s="1" t="s">
        <v>15</v>
      </c>
      <c r="D925" s="1">
        <v>22</v>
      </c>
      <c r="E925" s="1">
        <v>164</v>
      </c>
      <c r="F925" s="1">
        <v>45</v>
      </c>
      <c r="G925" s="1">
        <v>0.58072263272090607</v>
      </c>
      <c r="H925" s="1">
        <v>1.8884722189425958</v>
      </c>
      <c r="I925" s="1">
        <v>699.48310104587699</v>
      </c>
      <c r="K925" s="1">
        <f t="shared" si="42"/>
        <v>0.67184663094769381</v>
      </c>
      <c r="L925" s="1">
        <f t="shared" si="43"/>
        <v>0.93634351393508686</v>
      </c>
      <c r="M925" s="1">
        <f t="shared" si="44"/>
        <v>346.39572861341685</v>
      </c>
      <c r="N925"/>
      <c r="P925" s="1"/>
    </row>
    <row r="926" spans="1:19" x14ac:dyDescent="0.3">
      <c r="A926" s="1">
        <v>1042</v>
      </c>
      <c r="C926" s="1" t="s">
        <v>15</v>
      </c>
      <c r="D926" s="1">
        <v>22</v>
      </c>
      <c r="E926" s="1">
        <v>165</v>
      </c>
      <c r="F926" s="1">
        <v>0</v>
      </c>
      <c r="G926" s="1">
        <v>0.42437024267615009</v>
      </c>
      <c r="H926" s="1">
        <v>1.8822836430612289</v>
      </c>
      <c r="I926" s="1">
        <v>457.04966278874122</v>
      </c>
      <c r="K926" s="1">
        <f t="shared" si="42"/>
        <v>0.49096023084302748</v>
      </c>
      <c r="L926" s="1">
        <f t="shared" si="43"/>
        <v>0.93327509024905697</v>
      </c>
      <c r="M926" s="1">
        <f t="shared" si="44"/>
        <v>226.33863594059687</v>
      </c>
      <c r="N926" s="1">
        <f>SLOPE(K926:K929,F926:F929)</f>
        <v>9.5025152782183078E-4</v>
      </c>
      <c r="O926" s="1">
        <f>SLOPE(L926:L929,F926:F929)</f>
        <v>-3.4093596511444169E-5</v>
      </c>
      <c r="P926" s="1">
        <f>SLOPE(M926:M929,F926:F929)</f>
        <v>2.4626767511978844</v>
      </c>
      <c r="Q926" s="1">
        <f>(N926*41.35/0.31*60)/1000</f>
        <v>7.6050775500837477E-3</v>
      </c>
      <c r="R926" s="1">
        <f>O926*41.35/0.31*60/1000</f>
        <v>-2.7285875143513868E-4</v>
      </c>
      <c r="S926" s="1">
        <f>(O926*41.35/0.31*60)/1000</f>
        <v>-2.7285875143513868E-4</v>
      </c>
    </row>
    <row r="927" spans="1:19" x14ac:dyDescent="0.3">
      <c r="A927" s="1">
        <v>1043</v>
      </c>
      <c r="C927" s="1" t="s">
        <v>15</v>
      </c>
      <c r="D927" s="1">
        <v>22</v>
      </c>
      <c r="E927" s="1">
        <v>166</v>
      </c>
      <c r="F927" s="1">
        <v>15</v>
      </c>
      <c r="G927" s="1">
        <v>0.46307730852132967</v>
      </c>
      <c r="H927" s="1">
        <v>1.8802207844341068</v>
      </c>
      <c r="I927" s="1">
        <v>635.87535832565209</v>
      </c>
      <c r="K927" s="1">
        <f t="shared" si="42"/>
        <v>0.53574100968078375</v>
      </c>
      <c r="L927" s="1">
        <f t="shared" si="43"/>
        <v>0.93225228235371371</v>
      </c>
      <c r="M927" s="1">
        <f t="shared" si="44"/>
        <v>314.89611074976534</v>
      </c>
      <c r="N927"/>
      <c r="P927" s="1"/>
    </row>
    <row r="928" spans="1:19" x14ac:dyDescent="0.3">
      <c r="A928" s="1">
        <v>1044</v>
      </c>
      <c r="C928" s="1" t="s">
        <v>15</v>
      </c>
      <c r="D928" s="1">
        <v>22</v>
      </c>
      <c r="E928" s="1">
        <v>167</v>
      </c>
      <c r="F928" s="1">
        <v>30</v>
      </c>
      <c r="G928" s="1">
        <v>0.45440224794929218</v>
      </c>
      <c r="H928" s="1">
        <v>1.8822836430612289</v>
      </c>
      <c r="I928" s="1">
        <v>650.78583060334699</v>
      </c>
      <c r="K928" s="1">
        <f t="shared" si="42"/>
        <v>0.52570470337861208</v>
      </c>
      <c r="L928" s="1">
        <f t="shared" si="43"/>
        <v>0.93327509024905697</v>
      </c>
      <c r="M928" s="1">
        <f t="shared" si="44"/>
        <v>322.28002595926733</v>
      </c>
      <c r="N928"/>
      <c r="P928" s="1"/>
    </row>
    <row r="929" spans="1:19" x14ac:dyDescent="0.3">
      <c r="A929" s="1">
        <v>1045</v>
      </c>
      <c r="C929" s="1" t="s">
        <v>15</v>
      </c>
      <c r="D929" s="1">
        <v>22</v>
      </c>
      <c r="E929" s="1">
        <v>168</v>
      </c>
      <c r="F929" s="1">
        <v>45</v>
      </c>
      <c r="G929" s="1">
        <v>0.46833027337599997</v>
      </c>
      <c r="H929" s="1">
        <v>1.8781579258069845</v>
      </c>
      <c r="I929" s="1">
        <v>700.72586969546035</v>
      </c>
      <c r="K929" s="1">
        <f t="shared" si="42"/>
        <v>0.54181824266817624</v>
      </c>
      <c r="L929" s="1">
        <f t="shared" si="43"/>
        <v>0.93122947445837034</v>
      </c>
      <c r="M929" s="1">
        <f t="shared" si="44"/>
        <v>347.01116843065711</v>
      </c>
      <c r="N929"/>
      <c r="P929" s="1"/>
    </row>
    <row r="930" spans="1:19" x14ac:dyDescent="0.3">
      <c r="A930" s="1">
        <v>1046</v>
      </c>
      <c r="C930" s="1" t="s">
        <v>15</v>
      </c>
      <c r="D930" s="1">
        <v>22</v>
      </c>
      <c r="E930" s="1">
        <v>169</v>
      </c>
      <c r="F930" s="1">
        <v>0</v>
      </c>
      <c r="G930" s="1">
        <v>0.4232678869128525</v>
      </c>
      <c r="H930" s="1">
        <v>1.8874407896290344</v>
      </c>
      <c r="I930" s="1">
        <v>452.58211585728691</v>
      </c>
      <c r="K930" s="1">
        <f t="shared" si="42"/>
        <v>0.48968489910297247</v>
      </c>
      <c r="L930" s="1">
        <f t="shared" si="43"/>
        <v>0.93583210998741506</v>
      </c>
      <c r="M930" s="1">
        <f t="shared" si="44"/>
        <v>224.12623199242165</v>
      </c>
      <c r="N930" s="1">
        <f>SLOPE(K930:K933,F930:F933)</f>
        <v>4.5651701034732954E-3</v>
      </c>
      <c r="O930" s="1">
        <f>SLOPE(L930:L933,F930:F933)</f>
        <v>-1.3296502639462617E-4</v>
      </c>
      <c r="P930" s="1">
        <f>SLOPE(M930:M933,F930:F933)</f>
        <v>7.4289142310223317</v>
      </c>
      <c r="Q930" s="1">
        <f>(N930*41.35/0.31*60)/1000</f>
        <v>3.6536087182958858E-2</v>
      </c>
      <c r="R930" s="1">
        <f>O930*41.35/0.31*60/1000</f>
        <v>-1.0641491305969923E-3</v>
      </c>
      <c r="S930" s="1">
        <f>(O930*41.35/0.31*60)/1000</f>
        <v>-1.0641491305969923E-3</v>
      </c>
    </row>
    <row r="931" spans="1:19" x14ac:dyDescent="0.3">
      <c r="A931" s="1">
        <v>1047</v>
      </c>
      <c r="C931" s="1" t="s">
        <v>15</v>
      </c>
      <c r="D931" s="1">
        <v>22</v>
      </c>
      <c r="E931" s="1">
        <v>170</v>
      </c>
      <c r="F931" s="1">
        <v>15</v>
      </c>
      <c r="G931" s="1">
        <v>0.53886187082246628</v>
      </c>
      <c r="H931" s="1">
        <v>1.8802207844341068</v>
      </c>
      <c r="I931" s="1">
        <v>870.91180089357033</v>
      </c>
      <c r="K931" s="1">
        <f t="shared" si="42"/>
        <v>0.62341729434925841</v>
      </c>
      <c r="L931" s="1">
        <f t="shared" si="43"/>
        <v>0.93225228235371371</v>
      </c>
      <c r="M931" s="1">
        <f t="shared" si="44"/>
        <v>431.29008746240612</v>
      </c>
      <c r="N931"/>
      <c r="P931" s="1"/>
    </row>
    <row r="932" spans="1:19" x14ac:dyDescent="0.3">
      <c r="A932" s="1">
        <v>1048</v>
      </c>
      <c r="C932" s="1" t="s">
        <v>15</v>
      </c>
      <c r="D932" s="1">
        <v>22</v>
      </c>
      <c r="E932" s="1">
        <v>171</v>
      </c>
      <c r="F932" s="1">
        <v>30</v>
      </c>
      <c r="G932" s="1">
        <v>0.59073010591119013</v>
      </c>
      <c r="H932" s="1">
        <v>1.8678436326713734</v>
      </c>
      <c r="I932" s="1">
        <v>1110.5680410171722</v>
      </c>
      <c r="K932" s="1">
        <f t="shared" si="42"/>
        <v>0.68342442517914936</v>
      </c>
      <c r="L932" s="1">
        <f t="shared" si="43"/>
        <v>0.92611543498165394</v>
      </c>
      <c r="M932" s="1">
        <f t="shared" si="44"/>
        <v>549.97186517832301</v>
      </c>
      <c r="N932"/>
      <c r="P932" s="1"/>
    </row>
    <row r="933" spans="1:19" x14ac:dyDescent="0.3">
      <c r="A933" s="1">
        <v>1049</v>
      </c>
      <c r="C933" s="1" t="s">
        <v>15</v>
      </c>
      <c r="D933" s="1">
        <v>22</v>
      </c>
      <c r="E933" s="1">
        <v>172</v>
      </c>
      <c r="F933" s="1">
        <v>45</v>
      </c>
      <c r="G933" s="1">
        <v>0.60327779020820349</v>
      </c>
      <c r="H933" s="1">
        <v>1.8781579258069845</v>
      </c>
      <c r="I933" s="1">
        <v>1122.7636828869213</v>
      </c>
      <c r="K933" s="1">
        <f t="shared" si="42"/>
        <v>0.69794102733334029</v>
      </c>
      <c r="L933" s="1">
        <f t="shared" si="43"/>
        <v>0.93122947445837034</v>
      </c>
      <c r="M933" s="1">
        <f t="shared" si="44"/>
        <v>556.01135097156589</v>
      </c>
      <c r="N933"/>
      <c r="P933" s="1"/>
    </row>
    <row r="934" spans="1:19" x14ac:dyDescent="0.3">
      <c r="A934" s="1">
        <v>1050</v>
      </c>
      <c r="C934" s="1" t="s">
        <v>15</v>
      </c>
      <c r="D934" s="1">
        <v>22</v>
      </c>
      <c r="E934" s="1">
        <v>173</v>
      </c>
      <c r="F934" s="1">
        <v>0</v>
      </c>
      <c r="G934" s="1">
        <v>0.42848250895836454</v>
      </c>
      <c r="H934" s="1">
        <v>1.9111636638409404</v>
      </c>
      <c r="I934" s="1">
        <v>458.43642751063788</v>
      </c>
      <c r="K934" s="1">
        <f t="shared" si="42"/>
        <v>0.49571777272549339</v>
      </c>
      <c r="L934" s="1">
        <f t="shared" si="43"/>
        <v>0.94759440078386292</v>
      </c>
      <c r="M934" s="1">
        <f t="shared" si="44"/>
        <v>227.02538502079412</v>
      </c>
      <c r="N934" s="1">
        <f>SLOPE(K934:K937,F934:F937)</f>
        <v>1.7781451408731652E-3</v>
      </c>
      <c r="O934" s="1">
        <f>SLOPE(L934:L937,F934:F937)</f>
        <v>-3.3070788616099909E-4</v>
      </c>
      <c r="P934" s="1">
        <f>SLOPE(M934:M937,F934:F937)</f>
        <v>4.0311989327928908</v>
      </c>
      <c r="Q934" s="1">
        <f>(N934*41.35/0.31*60)/1000</f>
        <v>1.4230897079052654E-2</v>
      </c>
      <c r="R934" s="1">
        <f>O934*41.35/0.31*60/1000</f>
        <v>-2.6467298889207699E-3</v>
      </c>
      <c r="S934" s="1">
        <f>(O934*41.35/0.31*60)/1000</f>
        <v>-2.6467298889207699E-3</v>
      </c>
    </row>
    <row r="935" spans="1:19" x14ac:dyDescent="0.3">
      <c r="A935" s="1">
        <v>1051</v>
      </c>
      <c r="C935" s="1" t="s">
        <v>15</v>
      </c>
      <c r="D935" s="1">
        <v>22</v>
      </c>
      <c r="E935" s="1">
        <v>174</v>
      </c>
      <c r="F935" s="1">
        <v>15</v>
      </c>
      <c r="G935" s="1">
        <v>0.46584757648300795</v>
      </c>
      <c r="H935" s="1">
        <v>1.8874407896290344</v>
      </c>
      <c r="I935" s="1">
        <v>669.63647566230395</v>
      </c>
      <c r="K935" s="1">
        <f t="shared" si="42"/>
        <v>0.53894597379274789</v>
      </c>
      <c r="L935" s="1">
        <f t="shared" si="43"/>
        <v>0.93583210998741506</v>
      </c>
      <c r="M935" s="1">
        <f t="shared" si="44"/>
        <v>331.61518061885369</v>
      </c>
      <c r="N935"/>
      <c r="P935" s="1"/>
    </row>
    <row r="936" spans="1:19" x14ac:dyDescent="0.3">
      <c r="A936" s="1">
        <v>1052</v>
      </c>
      <c r="C936" s="1" t="s">
        <v>15</v>
      </c>
      <c r="D936" s="1">
        <v>22</v>
      </c>
      <c r="E936" s="1">
        <v>175</v>
      </c>
      <c r="F936" s="1">
        <v>30</v>
      </c>
      <c r="G936" s="1">
        <v>0.4922466005884128</v>
      </c>
      <c r="H936" s="1">
        <v>1.9080693759002569</v>
      </c>
      <c r="I936" s="1">
        <v>800.85908747177928</v>
      </c>
      <c r="K936" s="1">
        <f t="shared" si="42"/>
        <v>0.56948739650676006</v>
      </c>
      <c r="L936" s="1">
        <f t="shared" si="43"/>
        <v>0.94606018894084798</v>
      </c>
      <c r="M936" s="1">
        <f t="shared" si="44"/>
        <v>396.59881233252031</v>
      </c>
      <c r="N936"/>
      <c r="P936" s="1"/>
    </row>
    <row r="937" spans="1:19" x14ac:dyDescent="0.3">
      <c r="A937" s="1">
        <v>1053</v>
      </c>
      <c r="C937" s="1" t="s">
        <v>15</v>
      </c>
      <c r="D937" s="1">
        <v>22</v>
      </c>
      <c r="E937" s="1">
        <v>176</v>
      </c>
      <c r="F937" s="1">
        <v>45</v>
      </c>
      <c r="G937" s="1">
        <v>0.49653140951183905</v>
      </c>
      <c r="H937" s="1">
        <v>1.8709379206120564</v>
      </c>
      <c r="I937" s="1">
        <v>821.70916843929092</v>
      </c>
      <c r="K937" s="1">
        <f t="shared" si="42"/>
        <v>0.57444455553114759</v>
      </c>
      <c r="L937" s="1">
        <f t="shared" si="43"/>
        <v>0.92764964682466866</v>
      </c>
      <c r="M937" s="1">
        <f t="shared" si="44"/>
        <v>406.92412108921644</v>
      </c>
      <c r="N937"/>
      <c r="P937" s="1"/>
    </row>
    <row r="938" spans="1:19" x14ac:dyDescent="0.3">
      <c r="A938" s="1">
        <v>1054</v>
      </c>
      <c r="C938" s="1" t="s">
        <v>15</v>
      </c>
      <c r="D938" s="1">
        <v>22</v>
      </c>
      <c r="E938" s="1">
        <v>177</v>
      </c>
      <c r="F938" s="1">
        <v>0</v>
      </c>
      <c r="G938" s="1">
        <v>0.43223051855357636</v>
      </c>
      <c r="H938" s="1">
        <v>1.9049750879595737</v>
      </c>
      <c r="I938" s="1">
        <v>468.05022897553283</v>
      </c>
      <c r="K938" s="1">
        <f t="shared" si="42"/>
        <v>0.50005390064168032</v>
      </c>
      <c r="L938" s="1">
        <f t="shared" si="43"/>
        <v>0.94452597709783304</v>
      </c>
      <c r="M938" s="1">
        <f t="shared" si="44"/>
        <v>231.78630027120931</v>
      </c>
      <c r="N938" s="1">
        <f>SLOPE(K938:K941,F938:F941)</f>
        <v>1.1308828615784836E-2</v>
      </c>
      <c r="O938" s="1">
        <f>SLOPE(L938:L941,F938:F941)</f>
        <v>-2.3865517558010029E-4</v>
      </c>
      <c r="P938" s="1">
        <f>SLOPE(M938:M941,F938:F941)</f>
        <v>5.0481356384315683</v>
      </c>
      <c r="Q938" s="1">
        <f>(N938*41.35/0.31*60)/1000</f>
        <v>9.0507109018587689E-2</v>
      </c>
      <c r="R938" s="1">
        <f>O938*41.35/0.31*60/1000</f>
        <v>-1.9100112600458994E-3</v>
      </c>
      <c r="S938" s="1">
        <f>(O938*41.35/0.31*60)/1000</f>
        <v>-1.9100112600458994E-3</v>
      </c>
    </row>
    <row r="939" spans="1:19" x14ac:dyDescent="0.3">
      <c r="A939" s="1">
        <v>1055</v>
      </c>
      <c r="C939" s="1" t="s">
        <v>15</v>
      </c>
      <c r="D939" s="1">
        <v>22</v>
      </c>
      <c r="E939" s="1">
        <v>178</v>
      </c>
      <c r="F939" s="1">
        <v>15</v>
      </c>
      <c r="G939" s="1">
        <v>0.69433237625658417</v>
      </c>
      <c r="H939" s="1">
        <v>1.8925979361968401</v>
      </c>
      <c r="I939" s="1">
        <v>716.83325200098272</v>
      </c>
      <c r="K939" s="1">
        <f t="shared" si="42"/>
        <v>0.80328342906188088</v>
      </c>
      <c r="L939" s="1">
        <f t="shared" si="43"/>
        <v>0.93838912972577326</v>
      </c>
      <c r="M939" s="1">
        <f t="shared" si="44"/>
        <v>354.98781350104366</v>
      </c>
      <c r="N939"/>
      <c r="P939" s="1"/>
    </row>
    <row r="940" spans="1:19" x14ac:dyDescent="0.3">
      <c r="A940" s="1">
        <v>1056</v>
      </c>
      <c r="C940" s="1" t="s">
        <v>15</v>
      </c>
      <c r="D940" s="1">
        <v>22</v>
      </c>
      <c r="E940" s="1">
        <v>179</v>
      </c>
      <c r="F940" s="1">
        <v>30</v>
      </c>
      <c r="G940" s="1">
        <v>0.85621571652240713</v>
      </c>
      <c r="H940" s="1">
        <v>1.873000779239179</v>
      </c>
      <c r="I940" s="1">
        <v>924.50493779475414</v>
      </c>
      <c r="K940" s="1">
        <f t="shared" si="42"/>
        <v>0.99056866754925776</v>
      </c>
      <c r="L940" s="1">
        <f t="shared" si="43"/>
        <v>0.92867245472001214</v>
      </c>
      <c r="M940" s="1">
        <f t="shared" si="44"/>
        <v>457.83030505709326</v>
      </c>
      <c r="N940"/>
      <c r="P940" s="1"/>
    </row>
    <row r="941" spans="1:19" x14ac:dyDescent="0.3">
      <c r="A941" s="1">
        <v>1057</v>
      </c>
      <c r="C941" s="1" t="s">
        <v>15</v>
      </c>
      <c r="D941" s="1">
        <v>22</v>
      </c>
      <c r="E941" s="1">
        <v>180</v>
      </c>
      <c r="F941" s="1">
        <v>45</v>
      </c>
      <c r="G941" s="1">
        <v>0.86701880300272338</v>
      </c>
      <c r="H941" s="1">
        <v>1.8874407896290344</v>
      </c>
      <c r="I941" s="1">
        <v>908.51587073336179</v>
      </c>
      <c r="K941" s="1">
        <f t="shared" si="42"/>
        <v>1.0030669186017964</v>
      </c>
      <c r="L941" s="1">
        <f t="shared" si="43"/>
        <v>0.93583210998741506</v>
      </c>
      <c r="M941" s="1">
        <f t="shared" si="44"/>
        <v>449.91225167410454</v>
      </c>
      <c r="N941"/>
      <c r="P941" s="1"/>
    </row>
    <row r="942" spans="1:19" x14ac:dyDescent="0.3">
      <c r="A942" s="1">
        <v>1058</v>
      </c>
      <c r="C942" s="1" t="s">
        <v>15</v>
      </c>
      <c r="D942" s="1">
        <v>22</v>
      </c>
      <c r="E942" s="1">
        <v>181</v>
      </c>
      <c r="F942" s="1">
        <v>0</v>
      </c>
      <c r="G942" s="1">
        <v>0.43649615607242354</v>
      </c>
      <c r="H942" s="1">
        <v>1.8699064912984955</v>
      </c>
      <c r="I942" s="1">
        <v>488.85720283859411</v>
      </c>
      <c r="K942" s="1">
        <f t="shared" si="42"/>
        <v>0.50498887998363218</v>
      </c>
      <c r="L942" s="1">
        <f t="shared" si="43"/>
        <v>0.9271382428769972</v>
      </c>
      <c r="M942" s="1">
        <f t="shared" si="44"/>
        <v>242.09026166893108</v>
      </c>
      <c r="N942" s="1">
        <f>SLOPE(K942:K945,F942:F945)</f>
        <v>4.1692627719953591E-3</v>
      </c>
      <c r="O942" s="1">
        <f>SLOPE(L942:L945,F942:F945)</f>
        <v>-9.8189557952956365E-4</v>
      </c>
      <c r="P942" s="1">
        <f>SLOPE(M942:M945,F942:F945)</f>
        <v>8.8258823743119699</v>
      </c>
      <c r="Q942" s="1">
        <f>(N942*41.35/0.31*60)/1000</f>
        <v>3.3367551410711245E-2</v>
      </c>
      <c r="R942" s="1">
        <f>O942*41.35/0.31*60/1000</f>
        <v>-7.8583320413317653E-3</v>
      </c>
      <c r="S942" s="1">
        <f>(O942*41.35/0.31*60)/1000</f>
        <v>-7.8583320413317653E-3</v>
      </c>
    </row>
    <row r="943" spans="1:19" x14ac:dyDescent="0.3">
      <c r="A943" s="1">
        <v>1059</v>
      </c>
      <c r="C943" s="1" t="s">
        <v>15</v>
      </c>
      <c r="D943" s="1">
        <v>22</v>
      </c>
      <c r="E943" s="1">
        <v>182</v>
      </c>
      <c r="F943" s="1">
        <v>15</v>
      </c>
      <c r="G943" s="1">
        <v>0.50628006874030551</v>
      </c>
      <c r="H943" s="1">
        <v>1.8348378946374173</v>
      </c>
      <c r="I943" s="1">
        <v>867.84202475323423</v>
      </c>
      <c r="K943" s="1">
        <f t="shared" si="42"/>
        <v>0.58572292404972071</v>
      </c>
      <c r="L943" s="1">
        <f t="shared" si="43"/>
        <v>0.90975050865616125</v>
      </c>
      <c r="M943" s="1">
        <f t="shared" si="44"/>
        <v>429.76988298395361</v>
      </c>
      <c r="N943"/>
      <c r="P943" s="1"/>
    </row>
    <row r="944" spans="1:19" x14ac:dyDescent="0.3">
      <c r="A944" s="1">
        <v>1060</v>
      </c>
      <c r="C944" s="1" t="s">
        <v>15</v>
      </c>
      <c r="D944" s="1">
        <v>22</v>
      </c>
      <c r="E944" s="1">
        <v>183</v>
      </c>
      <c r="F944" s="1">
        <v>30</v>
      </c>
      <c r="G944" s="1">
        <v>0.55892474571448236</v>
      </c>
      <c r="H944" s="1">
        <v>1.7977064393492168</v>
      </c>
      <c r="I944" s="1">
        <v>1131.0971116323931</v>
      </c>
      <c r="K944" s="1">
        <f t="shared" si="42"/>
        <v>0.64662833201825887</v>
      </c>
      <c r="L944" s="1">
        <f t="shared" si="43"/>
        <v>0.89133996653998193</v>
      </c>
      <c r="M944" s="1">
        <f t="shared" si="44"/>
        <v>560.13820424052903</v>
      </c>
      <c r="N944"/>
      <c r="P944" s="1"/>
    </row>
    <row r="945" spans="1:19" x14ac:dyDescent="0.3">
      <c r="A945" s="1">
        <v>1061</v>
      </c>
      <c r="C945" s="1" t="s">
        <v>15</v>
      </c>
      <c r="D945" s="1">
        <v>22</v>
      </c>
      <c r="E945" s="1">
        <v>184</v>
      </c>
      <c r="F945" s="1">
        <v>45</v>
      </c>
      <c r="G945" s="1">
        <v>0.59913676681912043</v>
      </c>
      <c r="H945" s="1">
        <v>1.7832664289593609</v>
      </c>
      <c r="I945" s="1">
        <v>1292.2186276542429</v>
      </c>
      <c r="K945" s="1">
        <f t="shared" si="42"/>
        <v>0.6931502159272207</v>
      </c>
      <c r="L945" s="1">
        <f t="shared" si="43"/>
        <v>0.88418031127257879</v>
      </c>
      <c r="M945" s="1">
        <f t="shared" si="44"/>
        <v>639.92827329900445</v>
      </c>
      <c r="N945"/>
      <c r="P945" s="1"/>
    </row>
    <row r="946" spans="1:19" x14ac:dyDescent="0.3">
      <c r="A946" s="1">
        <v>1062</v>
      </c>
      <c r="C946" s="1" t="s">
        <v>15</v>
      </c>
      <c r="D946" s="1">
        <v>22</v>
      </c>
      <c r="E946" s="1">
        <v>185</v>
      </c>
      <c r="F946" s="1">
        <v>0</v>
      </c>
      <c r="G946" s="1">
        <v>0.40099071479195175</v>
      </c>
      <c r="H946" s="1">
        <v>1.8626864861035677</v>
      </c>
      <c r="I946" s="1">
        <v>411.81930415095297</v>
      </c>
      <c r="K946" s="1">
        <f t="shared" si="42"/>
        <v>0.46391210811264427</v>
      </c>
      <c r="L946" s="1">
        <f t="shared" si="43"/>
        <v>0.92355841524329563</v>
      </c>
      <c r="M946" s="1">
        <f t="shared" si="44"/>
        <v>203.93980598694051</v>
      </c>
      <c r="N946" s="1">
        <f>SLOPE(K946:K949,F946:F949)</f>
        <v>2.2322371726075214E-3</v>
      </c>
      <c r="O946" s="1">
        <f>SLOPE(L946:L949,F946:F949)</f>
        <v>-7.807433601120491E-4</v>
      </c>
      <c r="P946" s="1">
        <f>SLOPE(M946:M949,F946:F949)</f>
        <v>8.1264338865205783</v>
      </c>
      <c r="Q946" s="1">
        <f>(N946*41.35/0.31*60)/1000</f>
        <v>1.7865098145933098E-2</v>
      </c>
      <c r="R946" s="1">
        <f>O946*41.35/0.31*60/1000</f>
        <v>-6.2484654078644964E-3</v>
      </c>
      <c r="S946" s="1">
        <f>(O946*41.35/0.31*60)/1000</f>
        <v>-6.2484654078644964E-3</v>
      </c>
    </row>
    <row r="947" spans="1:19" x14ac:dyDescent="0.3">
      <c r="A947" s="1">
        <v>1063</v>
      </c>
      <c r="C947" s="1" t="s">
        <v>15</v>
      </c>
      <c r="D947" s="1">
        <v>22</v>
      </c>
      <c r="E947" s="1">
        <v>186</v>
      </c>
      <c r="F947" s="1">
        <v>15</v>
      </c>
      <c r="G947" s="1">
        <v>0.44976276804115273</v>
      </c>
      <c r="H947" s="1">
        <v>1.8451521877730284</v>
      </c>
      <c r="I947" s="1">
        <v>848.58323796065019</v>
      </c>
      <c r="K947" s="1">
        <f t="shared" si="42"/>
        <v>0.52033722022916329</v>
      </c>
      <c r="L947" s="1">
        <f t="shared" si="43"/>
        <v>0.91486454813287765</v>
      </c>
      <c r="M947" s="1">
        <f t="shared" si="44"/>
        <v>420.23260971280126</v>
      </c>
      <c r="N947"/>
      <c r="P947" s="1"/>
    </row>
    <row r="948" spans="1:19" x14ac:dyDescent="0.3">
      <c r="A948" s="1">
        <v>1064</v>
      </c>
      <c r="C948" s="1" t="s">
        <v>15</v>
      </c>
      <c r="D948" s="1">
        <v>22</v>
      </c>
      <c r="E948" s="1">
        <v>187</v>
      </c>
      <c r="F948" s="1">
        <v>30</v>
      </c>
      <c r="G948" s="1">
        <v>0.47274928213147976</v>
      </c>
      <c r="H948" s="1">
        <v>1.8131778790526336</v>
      </c>
      <c r="I948" s="1">
        <v>1081.2249433004783</v>
      </c>
      <c r="K948" s="1">
        <f t="shared" si="42"/>
        <v>0.54693065946961383</v>
      </c>
      <c r="L948" s="1">
        <f t="shared" si="43"/>
        <v>0.89901102575505654</v>
      </c>
      <c r="M948" s="1">
        <f t="shared" si="44"/>
        <v>535.44067250454577</v>
      </c>
      <c r="N948"/>
      <c r="P948" s="1"/>
    </row>
    <row r="949" spans="1:19" x14ac:dyDescent="0.3">
      <c r="A949" s="1">
        <v>1065</v>
      </c>
      <c r="C949" s="1" t="s">
        <v>15</v>
      </c>
      <c r="D949" s="1">
        <v>22</v>
      </c>
      <c r="E949" s="1">
        <v>188</v>
      </c>
      <c r="F949" s="1">
        <v>45</v>
      </c>
      <c r="G949" s="1">
        <v>0.48980224650457904</v>
      </c>
      <c r="H949" s="1">
        <v>1.7946121514085334</v>
      </c>
      <c r="I949" s="1">
        <v>1154.7647463205838</v>
      </c>
      <c r="K949" s="1">
        <f t="shared" si="42"/>
        <v>0.5666594869962035</v>
      </c>
      <c r="L949" s="1">
        <f t="shared" si="43"/>
        <v>0.88980575469696688</v>
      </c>
      <c r="M949" s="1">
        <f t="shared" si="44"/>
        <v>571.85881271572123</v>
      </c>
      <c r="N949"/>
      <c r="P949" s="1"/>
    </row>
    <row r="950" spans="1:19" x14ac:dyDescent="0.3">
      <c r="A950" s="1">
        <v>1066</v>
      </c>
      <c r="C950" s="1" t="s">
        <v>15</v>
      </c>
      <c r="D950" s="1">
        <v>22</v>
      </c>
      <c r="E950" s="1">
        <v>189</v>
      </c>
      <c r="F950" s="1">
        <v>0</v>
      </c>
      <c r="G950" s="1">
        <v>0.43960192361423583</v>
      </c>
      <c r="H950" s="1">
        <v>1.8606236274764454</v>
      </c>
      <c r="I950" s="1">
        <v>483.9163949306195</v>
      </c>
      <c r="K950" s="1">
        <f t="shared" si="42"/>
        <v>0.50858198853822179</v>
      </c>
      <c r="L950" s="1">
        <f t="shared" si="43"/>
        <v>0.92253560734795237</v>
      </c>
      <c r="M950" s="1">
        <f t="shared" si="44"/>
        <v>239.64349097116474</v>
      </c>
      <c r="N950" s="1">
        <f>SLOPE(K950:K953,F950:F953)</f>
        <v>4.9685445947045964E-3</v>
      </c>
      <c r="O950" s="1">
        <f>SLOPE(L950:L953,F950:F953)</f>
        <v>-4.398073949976178E-4</v>
      </c>
      <c r="P950" s="1">
        <f>SLOPE(M950:M953,F950:F953)</f>
        <v>6.9787150842205232</v>
      </c>
      <c r="Q950" s="1">
        <f>(N950*41.35/0.31*60)/1000</f>
        <v>3.9764384320845503E-2</v>
      </c>
      <c r="R950" s="1">
        <f>O950*41.35/0.31*60/1000</f>
        <v>-3.5198778935131934E-3</v>
      </c>
      <c r="S950" s="1">
        <f>(O950*41.35/0.31*60)/1000</f>
        <v>-3.5198778935131934E-3</v>
      </c>
    </row>
    <row r="951" spans="1:19" x14ac:dyDescent="0.3">
      <c r="A951" s="1">
        <v>1067</v>
      </c>
      <c r="C951" s="1" t="s">
        <v>15</v>
      </c>
      <c r="D951" s="1">
        <v>22</v>
      </c>
      <c r="E951" s="1">
        <v>190</v>
      </c>
      <c r="F951" s="1">
        <v>15</v>
      </c>
      <c r="G951" s="1">
        <v>0.54138291052461651</v>
      </c>
      <c r="H951" s="1">
        <v>1.8441207584594674</v>
      </c>
      <c r="I951" s="1">
        <v>862.14454958628824</v>
      </c>
      <c r="K951" s="1">
        <f t="shared" si="42"/>
        <v>0.62633392258955811</v>
      </c>
      <c r="L951" s="1">
        <f t="shared" si="43"/>
        <v>0.91435314418520597</v>
      </c>
      <c r="M951" s="1">
        <f t="shared" si="44"/>
        <v>426.94839800631769</v>
      </c>
      <c r="N951"/>
      <c r="P951" s="1"/>
    </row>
    <row r="952" spans="1:19" x14ac:dyDescent="0.3">
      <c r="A952" s="1">
        <v>1068</v>
      </c>
      <c r="C952" s="1" t="s">
        <v>15</v>
      </c>
      <c r="D952" s="1">
        <v>22</v>
      </c>
      <c r="E952" s="1">
        <v>191</v>
      </c>
      <c r="F952" s="1">
        <v>30</v>
      </c>
      <c r="G952" s="1">
        <v>0.61121475170394612</v>
      </c>
      <c r="H952" s="1">
        <v>1.825555030815367</v>
      </c>
      <c r="I952" s="1">
        <v>1075.3816377163489</v>
      </c>
      <c r="K952" s="1">
        <f t="shared" si="42"/>
        <v>0.7071234158617361</v>
      </c>
      <c r="L952" s="1">
        <f t="shared" si="43"/>
        <v>0.90514787312711631</v>
      </c>
      <c r="M952" s="1">
        <f t="shared" si="44"/>
        <v>532.54696986569877</v>
      </c>
      <c r="N952"/>
      <c r="P952" s="1"/>
    </row>
    <row r="953" spans="1:19" x14ac:dyDescent="0.3">
      <c r="A953" s="1">
        <v>1069</v>
      </c>
      <c r="C953" s="1" t="s">
        <v>15</v>
      </c>
      <c r="D953" s="1">
        <v>22</v>
      </c>
      <c r="E953" s="1">
        <v>192</v>
      </c>
      <c r="F953" s="1">
        <v>45</v>
      </c>
      <c r="G953" s="1">
        <v>0.63105715544330276</v>
      </c>
      <c r="H953" s="1">
        <v>1.8224607428746837</v>
      </c>
      <c r="I953" s="1">
        <v>1117.4495857978541</v>
      </c>
      <c r="K953" s="1">
        <f t="shared" si="42"/>
        <v>0.73007938718272558</v>
      </c>
      <c r="L953" s="1">
        <f t="shared" si="43"/>
        <v>0.90361366128410137</v>
      </c>
      <c r="M953" s="1">
        <f t="shared" si="44"/>
        <v>553.37972122906388</v>
      </c>
      <c r="N953"/>
      <c r="P953" s="1"/>
    </row>
    <row r="954" spans="1:19" x14ac:dyDescent="0.3">
      <c r="A954" s="1">
        <v>1070</v>
      </c>
      <c r="C954" s="1" t="s">
        <v>15</v>
      </c>
      <c r="D954" s="1">
        <v>22</v>
      </c>
      <c r="E954" s="1">
        <v>193</v>
      </c>
      <c r="F954" s="1">
        <v>0</v>
      </c>
      <c r="G954" s="1">
        <v>0.42237641659992486</v>
      </c>
      <c r="H954" s="1">
        <v>1.8472150464001509</v>
      </c>
      <c r="I954" s="1">
        <v>465.69493016215279</v>
      </c>
      <c r="K954" s="1">
        <f t="shared" si="42"/>
        <v>0.4886535438697106</v>
      </c>
      <c r="L954" s="1">
        <f t="shared" si="43"/>
        <v>0.91588735602822102</v>
      </c>
      <c r="M954" s="1">
        <f t="shared" si="44"/>
        <v>230.61991691277905</v>
      </c>
      <c r="N954" s="1">
        <f>SLOPE(K954:K957,F954:F957)</f>
        <v>8.8400820961375738E-4</v>
      </c>
      <c r="O954" s="1">
        <f>SLOPE(L954:L957,F954:F957)</f>
        <v>-1.636492632549295E-4</v>
      </c>
      <c r="P954" s="1">
        <f>SLOPE(M954:M957,F954:F957)</f>
        <v>3.6884875234198438</v>
      </c>
      <c r="Q954" s="1">
        <f>(N954*41.35/0.31*60)/1000</f>
        <v>7.0749173162959105E-3</v>
      </c>
      <c r="R954" s="1">
        <f>O954*41.35/0.31*60/1000</f>
        <v>-1.3097220068886454E-3</v>
      </c>
      <c r="S954" s="1">
        <f>(O954*41.35/0.31*60)/1000</f>
        <v>-1.3097220068886454E-3</v>
      </c>
    </row>
    <row r="955" spans="1:19" x14ac:dyDescent="0.3">
      <c r="A955" s="1">
        <v>1071</v>
      </c>
      <c r="C955" s="1" t="s">
        <v>15</v>
      </c>
      <c r="D955" s="1">
        <v>22</v>
      </c>
      <c r="E955" s="1">
        <v>194</v>
      </c>
      <c r="F955" s="1">
        <v>15</v>
      </c>
      <c r="G955" s="1">
        <v>0.45393254853710446</v>
      </c>
      <c r="H955" s="1">
        <v>1.8420578998323451</v>
      </c>
      <c r="I955" s="1">
        <v>735.15101987513674</v>
      </c>
      <c r="K955" s="1">
        <f t="shared" si="42"/>
        <v>0.52516130115893633</v>
      </c>
      <c r="L955" s="1">
        <f t="shared" si="43"/>
        <v>0.91333033628986271</v>
      </c>
      <c r="M955" s="1">
        <f t="shared" si="44"/>
        <v>364.05907846777637</v>
      </c>
      <c r="N955"/>
      <c r="P955" s="1"/>
    </row>
    <row r="956" spans="1:19" x14ac:dyDescent="0.3">
      <c r="A956" s="1">
        <v>1072</v>
      </c>
      <c r="C956" s="1" t="s">
        <v>15</v>
      </c>
      <c r="D956" s="1">
        <v>22</v>
      </c>
      <c r="E956" s="1">
        <v>195</v>
      </c>
      <c r="F956" s="1">
        <v>30</v>
      </c>
      <c r="G956" s="1">
        <v>0.43410931620232707</v>
      </c>
      <c r="H956" s="1">
        <v>1.8575293395357622</v>
      </c>
      <c r="I956" s="1">
        <v>706.98098570295735</v>
      </c>
      <c r="K956" s="1">
        <f t="shared" si="42"/>
        <v>0.50222750952038275</v>
      </c>
      <c r="L956" s="1">
        <f t="shared" si="43"/>
        <v>0.92100139550493743</v>
      </c>
      <c r="M956" s="1">
        <f t="shared" si="44"/>
        <v>350.1088064775787</v>
      </c>
      <c r="N956"/>
      <c r="P956" s="1"/>
    </row>
    <row r="957" spans="1:19" x14ac:dyDescent="0.3">
      <c r="A957" s="1">
        <v>1073</v>
      </c>
      <c r="C957" s="1" t="s">
        <v>15</v>
      </c>
      <c r="D957" s="1">
        <v>22</v>
      </c>
      <c r="E957" s="1">
        <v>196</v>
      </c>
      <c r="F957" s="1">
        <v>45</v>
      </c>
      <c r="G957" s="1">
        <v>0.46718957480354412</v>
      </c>
      <c r="H957" s="1">
        <v>1.825555030815367</v>
      </c>
      <c r="I957" s="1">
        <v>847.49638862503673</v>
      </c>
      <c r="K957" s="1">
        <f t="shared" si="42"/>
        <v>0.54049855156324966</v>
      </c>
      <c r="L957" s="1">
        <f t="shared" si="43"/>
        <v>0.90514787312711631</v>
      </c>
      <c r="M957" s="1">
        <f t="shared" si="44"/>
        <v>419.69438374717043</v>
      </c>
      <c r="N957"/>
      <c r="P957" s="1"/>
    </row>
    <row r="958" spans="1:19" x14ac:dyDescent="0.3">
      <c r="A958" s="1">
        <v>1074</v>
      </c>
      <c r="C958" s="1" t="s">
        <v>15</v>
      </c>
      <c r="D958" s="1">
        <v>22</v>
      </c>
      <c r="E958" s="1">
        <v>197</v>
      </c>
      <c r="F958" s="1">
        <v>0</v>
      </c>
      <c r="G958" s="1">
        <v>0.42415935722578013</v>
      </c>
      <c r="H958" s="1">
        <v>1.8626864861035677</v>
      </c>
      <c r="I958" s="1">
        <v>457.2615296212532</v>
      </c>
      <c r="K958" s="1">
        <f t="shared" si="42"/>
        <v>0.49071625433623439</v>
      </c>
      <c r="L958" s="1">
        <f t="shared" si="43"/>
        <v>0.92355841524329563</v>
      </c>
      <c r="M958" s="1">
        <f t="shared" si="44"/>
        <v>226.44355593896034</v>
      </c>
      <c r="N958" s="1">
        <f>SLOPE(K958:K961,F958:F961)</f>
        <v>5.0443991086348227E-4</v>
      </c>
      <c r="O958" s="1">
        <f>SLOPE(L958:L961,F958:F961)</f>
        <v>-4.6708227220677064E-4</v>
      </c>
      <c r="P958" s="1">
        <f>SLOPE(M958:M961,F958:F961)</f>
        <v>1.2425041041405094</v>
      </c>
      <c r="Q958" s="1">
        <f>(N958*41.35/0.31*60)/1000</f>
        <v>4.037146512426773E-3</v>
      </c>
      <c r="R958" s="1">
        <f>O958*41.35/0.31*60/1000</f>
        <v>-3.7381648946612834E-3</v>
      </c>
      <c r="S958" s="1">
        <f>(O958*41.35/0.31*60)/1000</f>
        <v>-3.7381648946612834E-3</v>
      </c>
    </row>
    <row r="959" spans="1:19" x14ac:dyDescent="0.3">
      <c r="A959" s="1">
        <v>1075</v>
      </c>
      <c r="C959" s="1" t="s">
        <v>15</v>
      </c>
      <c r="D959" s="1">
        <v>22</v>
      </c>
      <c r="E959" s="1">
        <v>198</v>
      </c>
      <c r="F959" s="1">
        <v>15</v>
      </c>
      <c r="G959" s="1">
        <v>0.4353458717976782</v>
      </c>
      <c r="H959" s="1">
        <v>1.8595921981628842</v>
      </c>
      <c r="I959" s="1">
        <v>535.57704951101209</v>
      </c>
      <c r="K959" s="1">
        <f t="shared" si="42"/>
        <v>0.50365809903748782</v>
      </c>
      <c r="L959" s="1">
        <f t="shared" si="43"/>
        <v>0.92202420340028068</v>
      </c>
      <c r="M959" s="1">
        <f t="shared" si="44"/>
        <v>265.22671100502151</v>
      </c>
      <c r="N959"/>
      <c r="P959" s="1"/>
    </row>
    <row r="960" spans="1:19" x14ac:dyDescent="0.3">
      <c r="A960" s="1">
        <v>1076</v>
      </c>
      <c r="C960" s="1" t="s">
        <v>15</v>
      </c>
      <c r="D960" s="1">
        <v>22</v>
      </c>
      <c r="E960" s="1">
        <v>199</v>
      </c>
      <c r="F960" s="1">
        <v>30</v>
      </c>
      <c r="G960" s="1">
        <v>0.44038795120197854</v>
      </c>
      <c r="H960" s="1">
        <v>1.8451521877730284</v>
      </c>
      <c r="I960" s="1">
        <v>543.09052609948947</v>
      </c>
      <c r="K960" s="1">
        <f t="shared" si="42"/>
        <v>0.50949135551808722</v>
      </c>
      <c r="L960" s="1">
        <f t="shared" si="43"/>
        <v>0.91486454813287765</v>
      </c>
      <c r="M960" s="1">
        <f t="shared" si="44"/>
        <v>268.94751025434425</v>
      </c>
      <c r="N960"/>
      <c r="P960" s="1"/>
    </row>
    <row r="961" spans="1:19" x14ac:dyDescent="0.3">
      <c r="A961" s="1">
        <v>1077</v>
      </c>
      <c r="C961" s="1" t="s">
        <v>15</v>
      </c>
      <c r="D961" s="1">
        <v>22</v>
      </c>
      <c r="E961" s="1">
        <v>200</v>
      </c>
      <c r="F961" s="1">
        <v>45</v>
      </c>
      <c r="G961" s="1">
        <v>0.44427974633153344</v>
      </c>
      <c r="H961" s="1">
        <v>1.8203978842475614</v>
      </c>
      <c r="I961" s="1">
        <v>580.20757737623398</v>
      </c>
      <c r="K961" s="1">
        <f t="shared" si="42"/>
        <v>0.51399383105254204</v>
      </c>
      <c r="L961" s="1">
        <f t="shared" si="43"/>
        <v>0.90259085338875811</v>
      </c>
      <c r="M961" s="1">
        <f t="shared" si="44"/>
        <v>287.3284947295449</v>
      </c>
      <c r="N961"/>
      <c r="P961" s="1"/>
    </row>
    <row r="962" spans="1:19" x14ac:dyDescent="0.3">
      <c r="A962" s="1">
        <v>1078</v>
      </c>
      <c r="C962" s="1" t="s">
        <v>15</v>
      </c>
      <c r="D962" s="1">
        <v>22</v>
      </c>
      <c r="E962" s="1">
        <v>201</v>
      </c>
      <c r="F962" s="1">
        <v>0</v>
      </c>
      <c r="G962" s="1">
        <v>0.40544806635658981</v>
      </c>
      <c r="H962" s="1">
        <v>1.8441207584594674</v>
      </c>
      <c r="I962" s="1">
        <v>417.33334483087555</v>
      </c>
      <c r="K962" s="1">
        <f t="shared" si="42"/>
        <v>0.46906888427895349</v>
      </c>
      <c r="L962" s="1">
        <f t="shared" si="43"/>
        <v>0.91435314418520597</v>
      </c>
      <c r="M962" s="1">
        <f t="shared" si="44"/>
        <v>206.67045113915347</v>
      </c>
      <c r="N962" s="1">
        <f>SLOPE(K962:K965,F962:F965)</f>
        <v>5.2674527816635635E-3</v>
      </c>
      <c r="O962" s="1">
        <f>SLOPE(L962:L965,F962:F965)</f>
        <v>-3.8184828092815943E-4</v>
      </c>
      <c r="P962" s="1">
        <f>SLOPE(M962:M965,F962:F965)</f>
        <v>5.6945366961701591</v>
      </c>
      <c r="Q962" s="1">
        <f>(N962*41.35/0.31*60)/1000</f>
        <v>4.2156614036475172E-2</v>
      </c>
      <c r="R962" s="1">
        <f>O962*41.35/0.31*60/1000</f>
        <v>-3.056018016073431E-3</v>
      </c>
      <c r="S962" s="1">
        <f>(O962*41.35/0.31*60)/1000</f>
        <v>-3.056018016073431E-3</v>
      </c>
    </row>
    <row r="963" spans="1:19" x14ac:dyDescent="0.3">
      <c r="A963" s="1">
        <v>1079</v>
      </c>
      <c r="C963" s="1" t="s">
        <v>15</v>
      </c>
      <c r="D963" s="1">
        <v>22</v>
      </c>
      <c r="E963" s="1">
        <v>202</v>
      </c>
      <c r="F963" s="1">
        <v>15</v>
      </c>
      <c r="G963" s="1">
        <v>0.50637592576320101</v>
      </c>
      <c r="H963" s="1">
        <v>1.8121464497390727</v>
      </c>
      <c r="I963" s="1">
        <v>665.07721148733799</v>
      </c>
      <c r="K963" s="1">
        <f t="shared" ref="K963:K1026" si="45">(G963*28*1)/(0.082*(D963+273.15))</f>
        <v>0.58583382246189952</v>
      </c>
      <c r="L963" s="1">
        <f t="shared" ref="L963:L1026" si="46">(H963*12*1)/(0.082*(D963+273.15))</f>
        <v>0.89849962180738496</v>
      </c>
      <c r="M963" s="1">
        <f t="shared" ref="M963:M1026" si="47">(I963*12*1)/(0.0821*(D963+273.15))</f>
        <v>329.35735675796695</v>
      </c>
      <c r="N963"/>
      <c r="P963" s="1"/>
    </row>
    <row r="964" spans="1:19" x14ac:dyDescent="0.3">
      <c r="A964" s="1">
        <v>1080</v>
      </c>
      <c r="C964" s="1" t="s">
        <v>15</v>
      </c>
      <c r="D964" s="1">
        <v>22</v>
      </c>
      <c r="E964" s="1">
        <v>203</v>
      </c>
      <c r="F964" s="1">
        <v>30</v>
      </c>
      <c r="G964" s="1">
        <v>0.56742726364530816</v>
      </c>
      <c r="H964" s="1">
        <v>1.7956435807220947</v>
      </c>
      <c r="I964" s="1">
        <v>817.9258321444338</v>
      </c>
      <c r="K964" s="1">
        <f t="shared" si="45"/>
        <v>0.65646502117850902</v>
      </c>
      <c r="L964" s="1">
        <f t="shared" si="46"/>
        <v>0.89031715864463878</v>
      </c>
      <c r="M964" s="1">
        <f t="shared" si="47"/>
        <v>405.05054968986866</v>
      </c>
      <c r="N964"/>
      <c r="P964" s="1"/>
    </row>
    <row r="965" spans="1:19" x14ac:dyDescent="0.3">
      <c r="A965" s="1">
        <v>1081</v>
      </c>
      <c r="C965" s="1" t="s">
        <v>15</v>
      </c>
      <c r="D965" s="1">
        <v>22</v>
      </c>
      <c r="E965" s="1">
        <v>204</v>
      </c>
      <c r="F965" s="1">
        <v>45</v>
      </c>
      <c r="G965" s="1">
        <v>0.61274846407027328</v>
      </c>
      <c r="H965" s="1">
        <v>1.8111150204255115</v>
      </c>
      <c r="I965" s="1">
        <v>941.33780349645406</v>
      </c>
      <c r="K965" s="1">
        <f t="shared" si="45"/>
        <v>0.70889779045659518</v>
      </c>
      <c r="L965" s="1">
        <f t="shared" si="46"/>
        <v>0.89798821785971339</v>
      </c>
      <c r="M965" s="1">
        <f t="shared" si="47"/>
        <v>466.16622163702755</v>
      </c>
      <c r="N965"/>
      <c r="P965" s="1"/>
    </row>
    <row r="966" spans="1:19" x14ac:dyDescent="0.3">
      <c r="A966" s="1">
        <v>1082</v>
      </c>
      <c r="C966" s="1" t="s">
        <v>15</v>
      </c>
      <c r="D966" s="1">
        <v>22</v>
      </c>
      <c r="E966" s="1">
        <v>205</v>
      </c>
      <c r="F966" s="1">
        <v>0</v>
      </c>
      <c r="G966" s="1">
        <v>0.40542889495201068</v>
      </c>
      <c r="H966" s="1">
        <v>1.8286493187560504</v>
      </c>
      <c r="I966" s="1">
        <v>423.51967290573879</v>
      </c>
      <c r="K966" s="1">
        <f t="shared" si="45"/>
        <v>0.46904670459651765</v>
      </c>
      <c r="L966" s="1">
        <f t="shared" si="46"/>
        <v>0.90668208497013125</v>
      </c>
      <c r="M966" s="1">
        <f t="shared" si="47"/>
        <v>209.73402425154143</v>
      </c>
      <c r="N966" s="1">
        <f>SLOPE(K966:K969,F966:F969)</f>
        <v>3.8248123037683424E-3</v>
      </c>
      <c r="O966" s="1">
        <f>SLOPE(L966:L969,F966:F969)</f>
        <v>-4.4321675464876163E-4</v>
      </c>
      <c r="P966" s="1">
        <f>SLOPE(M966:M969,F966:F969)</f>
        <v>5.4602032545150152</v>
      </c>
      <c r="Q966" s="1">
        <f>(N966*41.35/0.31*60)/1000</f>
        <v>3.061083653435244E-2</v>
      </c>
      <c r="R966" s="1">
        <f>O966*41.35/0.31*60/1000</f>
        <v>-3.5471637686567015E-3</v>
      </c>
      <c r="S966" s="1">
        <f>(O966*41.35/0.31*60)/1000</f>
        <v>-3.5471637686567015E-3</v>
      </c>
    </row>
    <row r="967" spans="1:19" x14ac:dyDescent="0.3">
      <c r="A967" s="1">
        <v>1083</v>
      </c>
      <c r="C967" s="1" t="s">
        <v>15</v>
      </c>
      <c r="D967" s="1">
        <v>22</v>
      </c>
      <c r="E967" s="1">
        <v>206</v>
      </c>
      <c r="F967" s="1">
        <v>15</v>
      </c>
      <c r="G967" s="1">
        <v>0.51098664856447173</v>
      </c>
      <c r="H967" s="1">
        <v>1.7863607169000446</v>
      </c>
      <c r="I967" s="1">
        <v>744.18241684373254</v>
      </c>
      <c r="K967" s="1">
        <f t="shared" si="45"/>
        <v>0.59116803608769453</v>
      </c>
      <c r="L967" s="1">
        <f t="shared" si="46"/>
        <v>0.88571452311559395</v>
      </c>
      <c r="M967" s="1">
        <f t="shared" si="47"/>
        <v>368.53157727247384</v>
      </c>
      <c r="N967"/>
      <c r="P967" s="1"/>
    </row>
    <row r="968" spans="1:19" x14ac:dyDescent="0.3">
      <c r="A968" s="1">
        <v>1084</v>
      </c>
      <c r="C968" s="1" t="s">
        <v>15</v>
      </c>
      <c r="D968" s="1">
        <v>22</v>
      </c>
      <c r="E968" s="1">
        <v>207</v>
      </c>
      <c r="F968" s="1">
        <v>30</v>
      </c>
      <c r="G968" s="1">
        <v>0.56294115497380148</v>
      </c>
      <c r="H968" s="1">
        <v>1.7729521358237499</v>
      </c>
      <c r="I968" s="1">
        <v>908.43791107637696</v>
      </c>
      <c r="K968" s="1">
        <f t="shared" si="45"/>
        <v>0.65127497548854629</v>
      </c>
      <c r="L968" s="1">
        <f t="shared" si="46"/>
        <v>0.8790662717958625</v>
      </c>
      <c r="M968" s="1">
        <f t="shared" si="47"/>
        <v>449.8736447482998</v>
      </c>
      <c r="N968"/>
      <c r="P968" s="1"/>
    </row>
    <row r="969" spans="1:19" x14ac:dyDescent="0.3">
      <c r="A969" s="1">
        <v>1085</v>
      </c>
      <c r="C969" s="1" t="s">
        <v>15</v>
      </c>
      <c r="D969" s="1">
        <v>22</v>
      </c>
      <c r="E969" s="1">
        <v>208</v>
      </c>
      <c r="F969" s="1">
        <v>45</v>
      </c>
      <c r="G969" s="1">
        <v>0.55341296689799446</v>
      </c>
      <c r="H969" s="1">
        <v>1.7884235755271667</v>
      </c>
      <c r="I969" s="1">
        <v>920.06215451904802</v>
      </c>
      <c r="K969" s="1">
        <f t="shared" si="45"/>
        <v>0.64025167331798416</v>
      </c>
      <c r="L969" s="1">
        <f t="shared" si="46"/>
        <v>0.88673733101093699</v>
      </c>
      <c r="M969" s="1">
        <f t="shared" si="47"/>
        <v>455.63016448535018</v>
      </c>
      <c r="N969"/>
      <c r="P969" s="1"/>
    </row>
    <row r="970" spans="1:19" x14ac:dyDescent="0.3">
      <c r="A970" s="1">
        <v>1086</v>
      </c>
      <c r="C970" s="1" t="s">
        <v>15</v>
      </c>
      <c r="D970" s="1">
        <v>22</v>
      </c>
      <c r="E970" s="1">
        <v>209</v>
      </c>
      <c r="F970" s="1">
        <v>0</v>
      </c>
      <c r="G970" s="1">
        <v>0.40201638493693298</v>
      </c>
      <c r="H970" s="1">
        <v>1.8451521877730284</v>
      </c>
      <c r="I970" s="1">
        <v>408.09650123681359</v>
      </c>
      <c r="K970" s="1">
        <f t="shared" si="45"/>
        <v>0.46509872112295625</v>
      </c>
      <c r="L970" s="1">
        <f t="shared" si="46"/>
        <v>0.91486454813287765</v>
      </c>
      <c r="M970" s="1">
        <f t="shared" si="47"/>
        <v>202.0962117299824</v>
      </c>
      <c r="N970" s="1">
        <f>SLOPE(K970:K973,F970:F973)</f>
        <v>1.2296415942373471E-3</v>
      </c>
      <c r="O970" s="1">
        <f>SLOPE(L970:L973,F970:F973)</f>
        <v>-2.8979557034726727E-4</v>
      </c>
      <c r="P970" s="1">
        <f>SLOPE(M970:M973,F970:F973)</f>
        <v>5.0195937652836866</v>
      </c>
      <c r="Q970" s="1">
        <f>(N970*41.35/0.31*60)/1000</f>
        <v>9.8410993396866389E-3</v>
      </c>
      <c r="R970" s="1">
        <f>O970*41.35/0.31*60/1000</f>
        <v>-2.3192993871986134E-3</v>
      </c>
      <c r="S970" s="1">
        <f>(O970*41.35/0.31*60)/1000</f>
        <v>-2.3192993871986134E-3</v>
      </c>
    </row>
    <row r="971" spans="1:19" x14ac:dyDescent="0.3">
      <c r="A971" s="1">
        <v>1087</v>
      </c>
      <c r="C971" s="1" t="s">
        <v>15</v>
      </c>
      <c r="D971" s="1">
        <v>22</v>
      </c>
      <c r="E971" s="1">
        <v>210</v>
      </c>
      <c r="F971" s="1">
        <v>15</v>
      </c>
      <c r="G971" s="1">
        <v>0.43209631872152277</v>
      </c>
      <c r="H971" s="1">
        <v>1.8028635859170223</v>
      </c>
      <c r="I971" s="1">
        <v>711.15412028273909</v>
      </c>
      <c r="K971" s="1">
        <f t="shared" si="45"/>
        <v>0.4998986428646302</v>
      </c>
      <c r="L971" s="1">
        <f t="shared" si="46"/>
        <v>0.89389698627834013</v>
      </c>
      <c r="M971" s="1">
        <f t="shared" si="47"/>
        <v>352.17541250595002</v>
      </c>
      <c r="N971"/>
      <c r="P971" s="1"/>
    </row>
    <row r="972" spans="1:19" x14ac:dyDescent="0.3">
      <c r="A972" s="1">
        <v>1088</v>
      </c>
      <c r="C972" s="1" t="s">
        <v>15</v>
      </c>
      <c r="D972" s="1">
        <v>22</v>
      </c>
      <c r="E972" s="1">
        <v>211</v>
      </c>
      <c r="F972" s="1">
        <v>30</v>
      </c>
      <c r="G972" s="1">
        <v>0.44992572498007505</v>
      </c>
      <c r="H972" s="1">
        <v>1.8111150204255115</v>
      </c>
      <c r="I972" s="1">
        <v>854.53935575429909</v>
      </c>
      <c r="K972" s="1">
        <f t="shared" si="45"/>
        <v>0.52052574752986713</v>
      </c>
      <c r="L972" s="1">
        <f t="shared" si="46"/>
        <v>0.89798821785971339</v>
      </c>
      <c r="M972" s="1">
        <f t="shared" si="47"/>
        <v>423.18217884428333</v>
      </c>
      <c r="N972"/>
      <c r="P972" s="1"/>
    </row>
    <row r="973" spans="1:19" x14ac:dyDescent="0.3">
      <c r="A973" s="1">
        <v>1089</v>
      </c>
      <c r="C973" s="1" t="s">
        <v>15</v>
      </c>
      <c r="D973" s="1">
        <v>22</v>
      </c>
      <c r="E973" s="1">
        <v>212</v>
      </c>
      <c r="F973" s="1">
        <v>45</v>
      </c>
      <c r="G973" s="1">
        <v>0.4492163830106487</v>
      </c>
      <c r="H973" s="1">
        <v>1.8131778790526336</v>
      </c>
      <c r="I973" s="1">
        <v>867.10920397757582</v>
      </c>
      <c r="K973" s="1">
        <f t="shared" si="45"/>
        <v>0.51970509927974462</v>
      </c>
      <c r="L973" s="1">
        <f t="shared" si="46"/>
        <v>0.89901102575505654</v>
      </c>
      <c r="M973" s="1">
        <f t="shared" si="47"/>
        <v>429.40697788138897</v>
      </c>
      <c r="N973"/>
      <c r="P973" s="1"/>
    </row>
    <row r="974" spans="1:19" x14ac:dyDescent="0.3">
      <c r="A974" s="1">
        <v>1090</v>
      </c>
      <c r="C974" s="1" t="s">
        <v>15</v>
      </c>
      <c r="D974" s="1">
        <v>22</v>
      </c>
      <c r="E974" s="1">
        <v>213</v>
      </c>
      <c r="F974" s="1">
        <v>0</v>
      </c>
      <c r="G974" s="1">
        <v>0.3987572461584879</v>
      </c>
      <c r="H974" s="1">
        <v>1.8307121773831727</v>
      </c>
      <c r="I974" s="1">
        <v>412.81076755331429</v>
      </c>
      <c r="K974" s="1">
        <f t="shared" si="45"/>
        <v>0.46132817510888063</v>
      </c>
      <c r="L974" s="1">
        <f t="shared" si="46"/>
        <v>0.90770489286547451</v>
      </c>
      <c r="M974" s="1">
        <f t="shared" si="47"/>
        <v>204.43079524335141</v>
      </c>
      <c r="N974" s="1">
        <f>SLOPE(K974:K977,F974:F977)</f>
        <v>8.7350982659417133E-4</v>
      </c>
      <c r="O974" s="1">
        <f>SLOPE(L974:L977,F974:F977)</f>
        <v>-3.0343300895184261E-4</v>
      </c>
      <c r="P974" s="1">
        <f>SLOPE(M974:M977,F974:F977)</f>
        <v>3.708460173036161</v>
      </c>
      <c r="Q974" s="1">
        <f>(N974*41.35/0.31*60)/1000</f>
        <v>6.9908963863875451E-3</v>
      </c>
      <c r="R974" s="1">
        <f>O974*41.35/0.31*60/1000</f>
        <v>-2.4284428877726504E-3</v>
      </c>
      <c r="S974" s="1">
        <f>(O974*41.35/0.31*60)/1000</f>
        <v>-2.4284428877726504E-3</v>
      </c>
    </row>
    <row r="975" spans="1:19" x14ac:dyDescent="0.3">
      <c r="A975" s="1">
        <v>1091</v>
      </c>
      <c r="C975" s="1" t="s">
        <v>15</v>
      </c>
      <c r="D975" s="1">
        <v>22</v>
      </c>
      <c r="E975" s="1">
        <v>214</v>
      </c>
      <c r="F975" s="1">
        <v>15</v>
      </c>
      <c r="G975" s="1">
        <v>0.42638324015695439</v>
      </c>
      <c r="H975" s="1">
        <v>1.809052161798389</v>
      </c>
      <c r="I975" s="1">
        <v>692.10444880536181</v>
      </c>
      <c r="K975" s="1">
        <f t="shared" si="45"/>
        <v>0.49328909749878008</v>
      </c>
      <c r="L975" s="1">
        <f t="shared" si="46"/>
        <v>0.89696540996436991</v>
      </c>
      <c r="M975" s="1">
        <f t="shared" si="47"/>
        <v>342.74169663577993</v>
      </c>
      <c r="N975"/>
      <c r="P975" s="1"/>
    </row>
    <row r="976" spans="1:19" x14ac:dyDescent="0.3">
      <c r="A976" s="1">
        <v>1092</v>
      </c>
      <c r="C976" s="1" t="s">
        <v>15</v>
      </c>
      <c r="D976" s="1">
        <v>22</v>
      </c>
      <c r="E976" s="1">
        <v>215</v>
      </c>
      <c r="F976" s="1">
        <v>30</v>
      </c>
      <c r="G976" s="1">
        <v>0.43090769163761922</v>
      </c>
      <c r="H976" s="1">
        <v>1.8131778790526336</v>
      </c>
      <c r="I976" s="1">
        <v>746.86147752670888</v>
      </c>
      <c r="K976" s="1">
        <f t="shared" si="45"/>
        <v>0.49852350255361433</v>
      </c>
      <c r="L976" s="1">
        <f t="shared" si="46"/>
        <v>0.89901102575505654</v>
      </c>
      <c r="M976" s="1">
        <f t="shared" si="47"/>
        <v>369.85829292277555</v>
      </c>
      <c r="N976"/>
      <c r="P976" s="1"/>
    </row>
    <row r="977" spans="1:19" x14ac:dyDescent="0.3">
      <c r="A977" s="1">
        <v>1093</v>
      </c>
      <c r="C977" s="1" t="s">
        <v>15</v>
      </c>
      <c r="D977" s="1">
        <v>22</v>
      </c>
      <c r="E977" s="1">
        <v>216</v>
      </c>
      <c r="F977" s="1">
        <v>45</v>
      </c>
      <c r="G977" s="1">
        <v>0.43500078651525459</v>
      </c>
      <c r="H977" s="1">
        <v>1.798737868662778</v>
      </c>
      <c r="I977" s="1">
        <v>768.98642817903306</v>
      </c>
      <c r="K977" s="1">
        <f t="shared" si="45"/>
        <v>0.50325886475364445</v>
      </c>
      <c r="L977" s="1">
        <f t="shared" si="46"/>
        <v>0.89185137048765351</v>
      </c>
      <c r="M977" s="1">
        <f t="shared" si="47"/>
        <v>380.81493846616092</v>
      </c>
      <c r="N977"/>
      <c r="P977" s="1"/>
    </row>
    <row r="978" spans="1:19" x14ac:dyDescent="0.3">
      <c r="A978" s="1">
        <v>1094</v>
      </c>
      <c r="C978" s="1" t="s">
        <v>15</v>
      </c>
      <c r="D978" s="1">
        <v>22</v>
      </c>
      <c r="E978" s="1">
        <v>217</v>
      </c>
      <c r="F978" s="1">
        <v>0</v>
      </c>
      <c r="G978" s="1">
        <v>0.39973498779202143</v>
      </c>
      <c r="H978" s="1">
        <v>1.849277905027273</v>
      </c>
      <c r="I978" s="1">
        <v>404.68370260574375</v>
      </c>
      <c r="K978" s="1">
        <f t="shared" si="45"/>
        <v>0.46245933891310331</v>
      </c>
      <c r="L978" s="1">
        <f t="shared" si="46"/>
        <v>0.91691016392356417</v>
      </c>
      <c r="M978" s="1">
        <f t="shared" si="47"/>
        <v>200.40613677798896</v>
      </c>
      <c r="N978" s="1">
        <f>SLOPE(K978:K981,F978:F981)</f>
        <v>2.9609876051711064E-3</v>
      </c>
      <c r="O978" s="1">
        <f>SLOPE(L978:L981,F978:F981)</f>
        <v>-4.3980739499761704E-4</v>
      </c>
      <c r="P978" s="1">
        <f>SLOPE(M978:M981,F978:F981)</f>
        <v>5.9556345783890752</v>
      </c>
      <c r="Q978" s="1">
        <f>(N978*41.35/0.31*60)/1000</f>
        <v>2.3697452414288757E-2</v>
      </c>
      <c r="R978" s="1">
        <f>O978*41.35/0.31*60/1000</f>
        <v>-3.5198778935131869E-3</v>
      </c>
      <c r="S978" s="1">
        <f>(O978*41.35/0.31*60)/1000</f>
        <v>-3.5198778935131869E-3</v>
      </c>
    </row>
    <row r="979" spans="1:19" x14ac:dyDescent="0.3">
      <c r="A979" s="1">
        <v>1095</v>
      </c>
      <c r="C979" s="1" t="s">
        <v>15</v>
      </c>
      <c r="D979" s="1">
        <v>22</v>
      </c>
      <c r="E979" s="1">
        <v>218</v>
      </c>
      <c r="F979" s="1">
        <v>15</v>
      </c>
      <c r="G979" s="1">
        <v>0.44424140352237529</v>
      </c>
      <c r="H979" s="1">
        <v>1.832775036010295</v>
      </c>
      <c r="I979" s="1">
        <v>613.381704354411</v>
      </c>
      <c r="K979" s="1">
        <f t="shared" si="45"/>
        <v>0.51394947168767058</v>
      </c>
      <c r="L979" s="1">
        <f t="shared" si="46"/>
        <v>0.90872770076081788</v>
      </c>
      <c r="M979" s="1">
        <f t="shared" si="47"/>
        <v>303.75687715727986</v>
      </c>
      <c r="N979"/>
      <c r="P979" s="1"/>
    </row>
    <row r="980" spans="1:19" x14ac:dyDescent="0.3">
      <c r="A980" s="1">
        <v>1096</v>
      </c>
      <c r="C980" s="1" t="s">
        <v>15</v>
      </c>
      <c r="D980" s="1">
        <v>22</v>
      </c>
      <c r="E980" s="1">
        <v>219</v>
      </c>
      <c r="F980" s="1">
        <v>30</v>
      </c>
      <c r="G980" s="1">
        <v>0.49936877738954411</v>
      </c>
      <c r="H980" s="1">
        <v>1.8203978842475614</v>
      </c>
      <c r="I980" s="1">
        <v>870.54218040221826</v>
      </c>
      <c r="K980" s="1">
        <f t="shared" si="45"/>
        <v>0.57772714853163687</v>
      </c>
      <c r="L980" s="1">
        <f t="shared" si="46"/>
        <v>0.90259085338875811</v>
      </c>
      <c r="M980" s="1">
        <f t="shared" si="47"/>
        <v>431.10704521417892</v>
      </c>
      <c r="N980"/>
      <c r="P980" s="1"/>
    </row>
    <row r="981" spans="1:19" x14ac:dyDescent="0.3">
      <c r="A981" s="1">
        <v>1097</v>
      </c>
      <c r="C981" s="1" t="s">
        <v>15</v>
      </c>
      <c r="D981" s="1">
        <v>22</v>
      </c>
      <c r="E981" s="1">
        <v>220</v>
      </c>
      <c r="F981" s="1">
        <v>45</v>
      </c>
      <c r="G981" s="1">
        <v>0.50932832206838063</v>
      </c>
      <c r="H981" s="1">
        <v>1.809052161798389</v>
      </c>
      <c r="I981" s="1">
        <v>920.27952438617081</v>
      </c>
      <c r="K981" s="1">
        <f t="shared" si="45"/>
        <v>0.58924949355700318</v>
      </c>
      <c r="L981" s="1">
        <f t="shared" si="46"/>
        <v>0.89696540996436991</v>
      </c>
      <c r="M981" s="1">
        <f t="shared" si="47"/>
        <v>455.73780967847637</v>
      </c>
      <c r="N981"/>
      <c r="P981" s="1"/>
    </row>
    <row r="982" spans="1:19" x14ac:dyDescent="0.3">
      <c r="A982" s="1">
        <v>1098</v>
      </c>
      <c r="C982" s="1" t="s">
        <v>15</v>
      </c>
      <c r="D982" s="1">
        <v>22</v>
      </c>
      <c r="E982" s="1">
        <v>221</v>
      </c>
      <c r="F982" s="1">
        <v>0</v>
      </c>
      <c r="G982" s="1">
        <v>0.39745359064710989</v>
      </c>
      <c r="H982" s="1">
        <v>1.8451521877730284</v>
      </c>
      <c r="I982" s="1">
        <v>409.61533878936712</v>
      </c>
      <c r="K982" s="1">
        <f t="shared" si="45"/>
        <v>0.45981995670325043</v>
      </c>
      <c r="L982" s="1">
        <f t="shared" si="46"/>
        <v>0.91486454813287765</v>
      </c>
      <c r="M982" s="1">
        <f t="shared" si="47"/>
        <v>202.84836548448413</v>
      </c>
      <c r="N982" s="1">
        <f>SLOPE(K982:K985,F982:F985)</f>
        <v>1.4840425517752705E-3</v>
      </c>
      <c r="O982" s="1">
        <f>SLOPE(L982:L985,F982:F985)</f>
        <v>-4.4321675464876163E-4</v>
      </c>
      <c r="P982" s="1">
        <f>SLOPE(M982:M985,F982:F985)</f>
        <v>3.9175038072935631</v>
      </c>
      <c r="Q982" s="1">
        <f>(N982*41.35/0.31*60)/1000</f>
        <v>1.1877127648240149E-2</v>
      </c>
      <c r="R982" s="1">
        <f>O982*41.35/0.31*60/1000</f>
        <v>-3.5471637686567015E-3</v>
      </c>
      <c r="S982" s="1">
        <f>(O982*41.35/0.31*60)/1000</f>
        <v>-3.5471637686567015E-3</v>
      </c>
    </row>
    <row r="983" spans="1:19" x14ac:dyDescent="0.3">
      <c r="A983" s="1">
        <v>1099</v>
      </c>
      <c r="C983" s="1" t="s">
        <v>15</v>
      </c>
      <c r="D983" s="1">
        <v>22</v>
      </c>
      <c r="E983" s="1">
        <v>222</v>
      </c>
      <c r="F983" s="1">
        <v>15</v>
      </c>
      <c r="G983" s="1">
        <v>0.438106554057067</v>
      </c>
      <c r="H983" s="1">
        <v>1.8131778790526336</v>
      </c>
      <c r="I983" s="1">
        <v>647.11347217313914</v>
      </c>
      <c r="K983" s="1">
        <f t="shared" si="45"/>
        <v>0.50685197330823417</v>
      </c>
      <c r="L983" s="1">
        <f t="shared" si="46"/>
        <v>0.89901102575505654</v>
      </c>
      <c r="M983" s="1">
        <f t="shared" si="47"/>
        <v>320.46141265430055</v>
      </c>
      <c r="N983"/>
      <c r="P983" s="1"/>
    </row>
    <row r="984" spans="1:19" x14ac:dyDescent="0.3">
      <c r="A984" s="1">
        <v>1100</v>
      </c>
      <c r="C984" s="1" t="s">
        <v>15</v>
      </c>
      <c r="D984" s="1">
        <v>22</v>
      </c>
      <c r="E984" s="1">
        <v>223</v>
      </c>
      <c r="F984" s="1">
        <v>30</v>
      </c>
      <c r="G984" s="1">
        <v>0.45953059867419832</v>
      </c>
      <c r="H984" s="1">
        <v>1.7997692979763389</v>
      </c>
      <c r="I984" s="1">
        <v>755.04448999282147</v>
      </c>
      <c r="K984" s="1">
        <f t="shared" si="45"/>
        <v>0.53163776843017208</v>
      </c>
      <c r="L984" s="1">
        <f t="shared" si="46"/>
        <v>0.89236277443532508</v>
      </c>
      <c r="M984" s="1">
        <f t="shared" si="47"/>
        <v>373.91065753489193</v>
      </c>
      <c r="N984"/>
      <c r="P984" s="1"/>
    </row>
    <row r="985" spans="1:19" x14ac:dyDescent="0.3">
      <c r="A985" s="1">
        <v>1101</v>
      </c>
      <c r="C985" s="1" t="s">
        <v>15</v>
      </c>
      <c r="D985" s="1">
        <v>22</v>
      </c>
      <c r="E985" s="1">
        <v>224</v>
      </c>
      <c r="F985" s="1">
        <v>45</v>
      </c>
      <c r="G985" s="1">
        <v>0.45445017646073987</v>
      </c>
      <c r="H985" s="1">
        <v>1.8049264445441446</v>
      </c>
      <c r="I985" s="1">
        <v>769.17261418336182</v>
      </c>
      <c r="K985" s="1">
        <f t="shared" si="45"/>
        <v>0.52576015258470132</v>
      </c>
      <c r="L985" s="1">
        <f t="shared" si="46"/>
        <v>0.89491979417368339</v>
      </c>
      <c r="M985" s="1">
        <f t="shared" si="47"/>
        <v>380.90714088896522</v>
      </c>
      <c r="N985"/>
      <c r="P985" s="1"/>
    </row>
    <row r="986" spans="1:19" x14ac:dyDescent="0.3">
      <c r="A986" s="1">
        <v>1102</v>
      </c>
      <c r="C986" s="1" t="s">
        <v>15</v>
      </c>
      <c r="D986" s="1">
        <v>22</v>
      </c>
      <c r="E986" s="1">
        <v>225</v>
      </c>
      <c r="F986" s="1">
        <v>0</v>
      </c>
      <c r="G986" s="1">
        <v>0.40008965877673452</v>
      </c>
      <c r="H986" s="1">
        <v>1.848246475713712</v>
      </c>
      <c r="I986" s="1">
        <v>414.32043338151664</v>
      </c>
      <c r="K986" s="1">
        <f t="shared" si="45"/>
        <v>0.46286966303816446</v>
      </c>
      <c r="L986" s="1">
        <f t="shared" si="46"/>
        <v>0.91639875997589271</v>
      </c>
      <c r="M986" s="1">
        <f t="shared" si="47"/>
        <v>205.17840700658203</v>
      </c>
      <c r="N986" s="1">
        <f>SLOPE(K986:K989,F986:F989)</f>
        <v>2.1965278838859828E-3</v>
      </c>
      <c r="O986" s="1">
        <f>SLOPE(L986:L989,F986:F989)</f>
        <v>-8.0119951801891655E-4</v>
      </c>
      <c r="P986" s="1">
        <f>SLOPE(M986:M989,F986:F989)</f>
        <v>5.7947087996581921</v>
      </c>
      <c r="Q986" s="1">
        <f>(N986*41.35/0.31*60)/1000</f>
        <v>1.7579308644906852E-2</v>
      </c>
      <c r="R986" s="1">
        <f>O986*41.35/0.31*60/1000</f>
        <v>-6.4121806587255862E-3</v>
      </c>
      <c r="S986" s="1">
        <f>(O986*41.35/0.31*60)/1000</f>
        <v>-6.4121806587255862E-3</v>
      </c>
    </row>
    <row r="987" spans="1:19" x14ac:dyDescent="0.3">
      <c r="A987" s="1">
        <v>1103</v>
      </c>
      <c r="C987" s="1" t="s">
        <v>15</v>
      </c>
      <c r="D987" s="1">
        <v>22</v>
      </c>
      <c r="E987" s="1">
        <v>226</v>
      </c>
      <c r="F987" s="1">
        <v>15</v>
      </c>
      <c r="G987" s="1">
        <v>0.46319233694880418</v>
      </c>
      <c r="H987" s="1">
        <v>1.7956435807220947</v>
      </c>
      <c r="I987" s="1">
        <v>808.95955441873139</v>
      </c>
      <c r="K987" s="1">
        <f t="shared" si="45"/>
        <v>0.53587408777539813</v>
      </c>
      <c r="L987" s="1">
        <f t="shared" si="46"/>
        <v>0.89031715864463878</v>
      </c>
      <c r="M987" s="1">
        <f t="shared" si="47"/>
        <v>400.61029902319643</v>
      </c>
      <c r="N987"/>
      <c r="P987" s="1"/>
    </row>
    <row r="988" spans="1:19" x14ac:dyDescent="0.3">
      <c r="A988" s="1">
        <v>1104</v>
      </c>
      <c r="C988" s="1" t="s">
        <v>15</v>
      </c>
      <c r="D988" s="1">
        <v>22</v>
      </c>
      <c r="E988" s="1">
        <v>227</v>
      </c>
      <c r="F988" s="1">
        <v>30</v>
      </c>
      <c r="G988" s="1">
        <v>0.48712783556579614</v>
      </c>
      <c r="H988" s="1">
        <v>1.7729521358237499</v>
      </c>
      <c r="I988" s="1">
        <v>949.99957997369768</v>
      </c>
      <c r="K988" s="1">
        <f t="shared" si="45"/>
        <v>0.56356542129641785</v>
      </c>
      <c r="L988" s="1">
        <f t="shared" si="46"/>
        <v>0.8790662717958625</v>
      </c>
      <c r="M988" s="1">
        <f t="shared" si="47"/>
        <v>470.45567819349776</v>
      </c>
      <c r="N988"/>
      <c r="P988" s="1"/>
    </row>
    <row r="989" spans="1:19" x14ac:dyDescent="0.3">
      <c r="A989" s="1">
        <v>1105</v>
      </c>
      <c r="C989" s="1" t="s">
        <v>15</v>
      </c>
      <c r="D989" s="1">
        <v>22</v>
      </c>
      <c r="E989" s="1">
        <v>228</v>
      </c>
      <c r="F989" s="1">
        <v>45</v>
      </c>
      <c r="G989" s="1">
        <v>0.48704156424519024</v>
      </c>
      <c r="H989" s="1">
        <v>1.7750149944508722</v>
      </c>
      <c r="I989" s="1">
        <v>952.37505658065038</v>
      </c>
      <c r="K989" s="1">
        <f t="shared" si="45"/>
        <v>0.56346561272545703</v>
      </c>
      <c r="L989" s="1">
        <f t="shared" si="46"/>
        <v>0.88008907969120564</v>
      </c>
      <c r="M989" s="1">
        <f t="shared" si="47"/>
        <v>471.63205393272455</v>
      </c>
      <c r="N989"/>
      <c r="P989" s="1"/>
    </row>
    <row r="990" spans="1:19" x14ac:dyDescent="0.3">
      <c r="A990" s="1">
        <v>1106</v>
      </c>
      <c r="C990" s="1" t="s">
        <v>15</v>
      </c>
      <c r="D990" s="1">
        <v>22</v>
      </c>
      <c r="E990" s="1">
        <v>229</v>
      </c>
      <c r="F990" s="1">
        <v>0</v>
      </c>
      <c r="G990" s="1">
        <v>0.39664839165478821</v>
      </c>
      <c r="H990" s="1">
        <v>1.8451521877730284</v>
      </c>
      <c r="I990" s="1">
        <v>404.67361370895742</v>
      </c>
      <c r="K990" s="1">
        <f t="shared" si="45"/>
        <v>0.45888841004094949</v>
      </c>
      <c r="L990" s="1">
        <f t="shared" si="46"/>
        <v>0.91486454813287765</v>
      </c>
      <c r="M990" s="1">
        <f t="shared" si="47"/>
        <v>200.40114058759067</v>
      </c>
      <c r="N990" s="1">
        <f>SLOPE(K990:K993,F990:F993)</f>
        <v>2.0903611372935778E-3</v>
      </c>
      <c r="O990" s="1">
        <f>SLOPE(L990:L993,F990:F993)</f>
        <v>-6.2391281615940873E-4</v>
      </c>
      <c r="P990" s="1">
        <f>SLOPE(M990:M993,F990:F993)</f>
        <v>6.4770127843981022</v>
      </c>
      <c r="Q990" s="1">
        <f>(N990*41.35/0.31*60)/1000</f>
        <v>1.6729632198791505E-2</v>
      </c>
      <c r="R990" s="1">
        <f>O990*41.35/0.31*60/1000</f>
        <v>-4.9933151512628815E-3</v>
      </c>
      <c r="S990" s="1">
        <f>(O990*41.35/0.31*60)/1000</f>
        <v>-4.9933151512628815E-3</v>
      </c>
    </row>
    <row r="991" spans="1:19" x14ac:dyDescent="0.3">
      <c r="A991" s="1">
        <v>1107</v>
      </c>
      <c r="C991" s="1" t="s">
        <v>15</v>
      </c>
      <c r="D991" s="1">
        <v>22</v>
      </c>
      <c r="E991" s="1">
        <v>230</v>
      </c>
      <c r="F991" s="1">
        <v>15</v>
      </c>
      <c r="G991" s="1">
        <v>0.45777641515521172</v>
      </c>
      <c r="H991" s="1">
        <v>1.7832664289593609</v>
      </c>
      <c r="I991" s="1">
        <v>825.66860184169047</v>
      </c>
      <c r="K991" s="1">
        <f t="shared" si="45"/>
        <v>0.52960832748730202</v>
      </c>
      <c r="L991" s="1">
        <f t="shared" si="46"/>
        <v>0.88418031127257879</v>
      </c>
      <c r="M991" s="1">
        <f t="shared" si="47"/>
        <v>408.88489872097017</v>
      </c>
      <c r="N991"/>
      <c r="P991" s="1"/>
    </row>
    <row r="992" spans="1:19" x14ac:dyDescent="0.3">
      <c r="A992" s="1">
        <v>1108</v>
      </c>
      <c r="C992" s="1" t="s">
        <v>15</v>
      </c>
      <c r="D992" s="1">
        <v>22</v>
      </c>
      <c r="E992" s="1">
        <v>231</v>
      </c>
      <c r="F992" s="1">
        <v>30</v>
      </c>
      <c r="G992" s="1">
        <v>0.47151272653612863</v>
      </c>
      <c r="H992" s="1">
        <v>1.7832664289593609</v>
      </c>
      <c r="I992" s="1">
        <v>921.27190496096728</v>
      </c>
      <c r="K992" s="1">
        <f t="shared" si="45"/>
        <v>0.54550006995250877</v>
      </c>
      <c r="L992" s="1">
        <f t="shared" si="46"/>
        <v>0.88418031127257879</v>
      </c>
      <c r="M992" s="1">
        <f t="shared" si="47"/>
        <v>456.22925313401441</v>
      </c>
      <c r="N992"/>
      <c r="P992" s="1"/>
    </row>
    <row r="993" spans="1:19" x14ac:dyDescent="0.3">
      <c r="A993" s="1">
        <v>1109</v>
      </c>
      <c r="C993" s="1" t="s">
        <v>15</v>
      </c>
      <c r="D993" s="1">
        <v>22</v>
      </c>
      <c r="E993" s="1">
        <v>232</v>
      </c>
      <c r="F993" s="1">
        <v>45</v>
      </c>
      <c r="G993" s="1">
        <v>0.48241167003934038</v>
      </c>
      <c r="H993" s="1">
        <v>1.7822349996458</v>
      </c>
      <c r="I993" s="1">
        <v>1026.763244103239</v>
      </c>
      <c r="K993" s="1">
        <f t="shared" si="45"/>
        <v>0.55810921941722613</v>
      </c>
      <c r="L993" s="1">
        <f t="shared" si="46"/>
        <v>0.88366890732490722</v>
      </c>
      <c r="M993" s="1">
        <f t="shared" si="47"/>
        <v>508.47032833648103</v>
      </c>
      <c r="N993"/>
      <c r="P993" s="1"/>
    </row>
    <row r="994" spans="1:19" x14ac:dyDescent="0.3">
      <c r="A994" s="1">
        <v>1110</v>
      </c>
      <c r="C994" s="1" t="s">
        <v>15</v>
      </c>
      <c r="D994" s="1">
        <v>22</v>
      </c>
      <c r="E994" s="1">
        <v>233</v>
      </c>
      <c r="F994" s="1">
        <v>0</v>
      </c>
      <c r="G994" s="1">
        <v>0.40315708350938867</v>
      </c>
      <c r="H994" s="1">
        <v>1.8451521877730284</v>
      </c>
      <c r="I994" s="1">
        <v>417.19576896560801</v>
      </c>
      <c r="K994" s="1">
        <f t="shared" si="45"/>
        <v>0.46641841222788266</v>
      </c>
      <c r="L994" s="1">
        <f t="shared" si="46"/>
        <v>0.91486454813287765</v>
      </c>
      <c r="M994" s="1">
        <f t="shared" si="47"/>
        <v>206.60232127008626</v>
      </c>
      <c r="N994" s="1">
        <f>SLOPE(K994:K997,F994:F997)</f>
        <v>1.6862473233144222E-3</v>
      </c>
      <c r="O994" s="1">
        <f>SLOPE(L994:L997,F994:F997)</f>
        <v>-4.9094778976478031E-4</v>
      </c>
      <c r="P994" s="1">
        <f>SLOPE(M994:M997,F994:F997)</f>
        <v>2.9151166136934576</v>
      </c>
      <c r="Q994" s="1">
        <f>(N994*41.35/0.31*60)/1000</f>
        <v>1.3495418094009941E-2</v>
      </c>
      <c r="R994" s="1">
        <f>O994*41.35/0.31*60/1000</f>
        <v>-3.9291660206658714E-3</v>
      </c>
      <c r="S994" s="1">
        <f>(O994*41.35/0.31*60)/1000</f>
        <v>-3.9291660206658714E-3</v>
      </c>
    </row>
    <row r="995" spans="1:19" x14ac:dyDescent="0.3">
      <c r="A995" s="1">
        <v>1111</v>
      </c>
      <c r="C995" s="1" t="s">
        <v>15</v>
      </c>
      <c r="D995" s="1">
        <v>22</v>
      </c>
      <c r="E995" s="1">
        <v>234</v>
      </c>
      <c r="F995" s="1">
        <v>15</v>
      </c>
      <c r="G995" s="1">
        <v>0.44291857660641815</v>
      </c>
      <c r="H995" s="1">
        <v>1.8193664549340003</v>
      </c>
      <c r="I995" s="1">
        <v>631.26473249431967</v>
      </c>
      <c r="K995" s="1">
        <f t="shared" si="45"/>
        <v>0.51241907359960448</v>
      </c>
      <c r="L995" s="1">
        <f t="shared" si="46"/>
        <v>0.90207944944108642</v>
      </c>
      <c r="M995" s="1">
        <f t="shared" si="47"/>
        <v>312.61285173776031</v>
      </c>
      <c r="N995"/>
      <c r="P995" s="1"/>
    </row>
    <row r="996" spans="1:19" x14ac:dyDescent="0.3">
      <c r="A996" s="1">
        <v>1112</v>
      </c>
      <c r="C996" s="1" t="s">
        <v>15</v>
      </c>
      <c r="D996" s="1">
        <v>22</v>
      </c>
      <c r="E996" s="1">
        <v>235</v>
      </c>
      <c r="F996" s="1">
        <v>30</v>
      </c>
      <c r="G996" s="1">
        <v>0.45165115139219297</v>
      </c>
      <c r="H996" s="1">
        <v>1.8162721669933171</v>
      </c>
      <c r="I996" s="1">
        <v>664.06923898114462</v>
      </c>
      <c r="K996" s="1">
        <f t="shared" si="45"/>
        <v>0.52252191894908351</v>
      </c>
      <c r="L996" s="1">
        <f t="shared" si="46"/>
        <v>0.90054523759807159</v>
      </c>
      <c r="M996" s="1">
        <f t="shared" si="47"/>
        <v>328.85819191726807</v>
      </c>
      <c r="N996"/>
      <c r="P996" s="1"/>
    </row>
    <row r="997" spans="1:19" x14ac:dyDescent="0.3">
      <c r="A997" s="1">
        <v>1113</v>
      </c>
      <c r="C997" s="1" t="s">
        <v>15</v>
      </c>
      <c r="D997" s="1">
        <v>22</v>
      </c>
      <c r="E997" s="1">
        <v>236</v>
      </c>
      <c r="F997" s="1">
        <v>45</v>
      </c>
      <c r="G997" s="1">
        <v>0.47312312452077204</v>
      </c>
      <c r="H997" s="1">
        <v>1.7966750100356557</v>
      </c>
      <c r="I997" s="1">
        <v>700.58829383019281</v>
      </c>
      <c r="K997" s="1">
        <f t="shared" si="45"/>
        <v>0.54736316327711076</v>
      </c>
      <c r="L997" s="1">
        <f t="shared" si="46"/>
        <v>0.89082856259231025</v>
      </c>
      <c r="M997" s="1">
        <f t="shared" si="47"/>
        <v>346.9430385615899</v>
      </c>
      <c r="N997"/>
      <c r="P997" s="1"/>
    </row>
    <row r="998" spans="1:19" x14ac:dyDescent="0.3">
      <c r="A998" s="1">
        <v>1114</v>
      </c>
      <c r="C998" s="1" t="s">
        <v>15</v>
      </c>
      <c r="D998" s="1">
        <v>22</v>
      </c>
      <c r="E998" s="1">
        <v>237</v>
      </c>
      <c r="F998" s="1">
        <v>0</v>
      </c>
      <c r="G998" s="1">
        <v>0.39742483354024122</v>
      </c>
      <c r="H998" s="1">
        <v>1.8564979102222008</v>
      </c>
      <c r="I998" s="1">
        <v>408.80455835672382</v>
      </c>
      <c r="K998" s="1">
        <f t="shared" si="45"/>
        <v>0.45978668717959675</v>
      </c>
      <c r="L998" s="1">
        <f t="shared" si="46"/>
        <v>0.92048999155726574</v>
      </c>
      <c r="M998" s="1">
        <f t="shared" si="47"/>
        <v>202.44685345611484</v>
      </c>
      <c r="N998" s="1">
        <f>SLOPE(K998:K1001,F998:F1001)</f>
        <v>1.5145026489870176E-3</v>
      </c>
      <c r="O998" s="1">
        <f>SLOPE(L998:L1001,F998:F1001)</f>
        <v>-5.7959114069453313E-4</v>
      </c>
      <c r="P998" s="1">
        <f>SLOPE(M998:M1001,F998:F1001)</f>
        <v>6.6481580434890617</v>
      </c>
      <c r="Q998" s="1">
        <f>(N998*41.35/0.31*60)/1000</f>
        <v>1.2120906684312227E-2</v>
      </c>
      <c r="R998" s="1">
        <f>O998*41.35/0.31*60/1000</f>
        <v>-4.6385987743972155E-3</v>
      </c>
      <c r="S998" s="1">
        <f>(O998*41.35/0.31*60)/1000</f>
        <v>-4.6385987743972155E-3</v>
      </c>
    </row>
    <row r="999" spans="1:19" x14ac:dyDescent="0.3">
      <c r="A999" s="1">
        <v>1115</v>
      </c>
      <c r="C999" s="1" t="s">
        <v>15</v>
      </c>
      <c r="D999" s="1">
        <v>22</v>
      </c>
      <c r="E999" s="1">
        <v>238</v>
      </c>
      <c r="F999" s="1">
        <v>15</v>
      </c>
      <c r="G999" s="1">
        <v>0.43025586388193021</v>
      </c>
      <c r="H999" s="1">
        <v>1.8028635859170223</v>
      </c>
      <c r="I999" s="1">
        <v>763.07892052444527</v>
      </c>
      <c r="K999" s="1">
        <f t="shared" si="45"/>
        <v>0.49776939335079917</v>
      </c>
      <c r="L999" s="1">
        <f t="shared" si="46"/>
        <v>0.89389698627834013</v>
      </c>
      <c r="M999" s="1">
        <f t="shared" si="47"/>
        <v>377.88944188841577</v>
      </c>
      <c r="N999"/>
      <c r="P999" s="1"/>
    </row>
    <row r="1000" spans="1:19" x14ac:dyDescent="0.3">
      <c r="A1000" s="1">
        <v>1116</v>
      </c>
      <c r="C1000" s="1" t="s">
        <v>15</v>
      </c>
      <c r="D1000" s="1">
        <v>22</v>
      </c>
      <c r="E1000" s="1">
        <v>239</v>
      </c>
      <c r="F1000" s="1">
        <v>30</v>
      </c>
      <c r="G1000" s="1">
        <v>0.4510568378502412</v>
      </c>
      <c r="H1000" s="1">
        <v>1.8008007272899003</v>
      </c>
      <c r="I1000" s="1">
        <v>974.13680694866821</v>
      </c>
      <c r="K1000" s="1">
        <f t="shared" si="45"/>
        <v>0.5218343487935756</v>
      </c>
      <c r="L1000" s="1">
        <f t="shared" si="46"/>
        <v>0.89287417838299687</v>
      </c>
      <c r="M1000" s="1">
        <f t="shared" si="47"/>
        <v>482.40883662177259</v>
      </c>
      <c r="N1000"/>
      <c r="P1000" s="1"/>
    </row>
    <row r="1001" spans="1:19" x14ac:dyDescent="0.3">
      <c r="A1001" s="1">
        <v>1117</v>
      </c>
      <c r="C1001" s="1" t="s">
        <v>15</v>
      </c>
      <c r="D1001" s="1">
        <v>22</v>
      </c>
      <c r="E1001" s="1">
        <v>240</v>
      </c>
      <c r="F1001" s="1">
        <v>45</v>
      </c>
      <c r="G1001" s="1">
        <v>0.45594554601790871</v>
      </c>
      <c r="H1001" s="1">
        <v>1.798737868662778</v>
      </c>
      <c r="I1001" s="1">
        <v>1009.6891620511033</v>
      </c>
      <c r="K1001" s="1">
        <f t="shared" si="45"/>
        <v>0.52749016781468883</v>
      </c>
      <c r="L1001" s="1">
        <f t="shared" si="46"/>
        <v>0.89185137048765351</v>
      </c>
      <c r="M1001" s="1">
        <f t="shared" si="47"/>
        <v>500.01495738611567</v>
      </c>
      <c r="N1001"/>
      <c r="P1001" s="1"/>
    </row>
    <row r="1002" spans="1:19" x14ac:dyDescent="0.3">
      <c r="A1002" s="1">
        <v>1118</v>
      </c>
      <c r="C1002" s="1" t="s">
        <v>15</v>
      </c>
      <c r="D1002" s="1">
        <v>22</v>
      </c>
      <c r="E1002" s="1">
        <v>241</v>
      </c>
      <c r="F1002" s="1">
        <v>0</v>
      </c>
      <c r="G1002" s="1">
        <v>0.40211224195982842</v>
      </c>
      <c r="H1002" s="1">
        <v>1.851340763654395</v>
      </c>
      <c r="I1002" s="1">
        <v>428.54119198800367</v>
      </c>
      <c r="K1002" s="1">
        <f t="shared" si="45"/>
        <v>0.46520961953513496</v>
      </c>
      <c r="L1002" s="1">
        <f t="shared" si="46"/>
        <v>0.91793297181890732</v>
      </c>
      <c r="M1002" s="1">
        <f t="shared" si="47"/>
        <v>212.22076447249387</v>
      </c>
      <c r="N1002" s="1">
        <f>SLOPE(K1002:K1005,F1002:F1005)</f>
        <v>3.8647357321526686E-3</v>
      </c>
      <c r="O1002" s="1">
        <f>SLOPE(L1002:L1005,F1002:F1005)</f>
        <v>-5.5572562313651892E-4</v>
      </c>
      <c r="P1002" s="1">
        <f>SLOPE(M1002:M1005,F1002:F1005)</f>
        <v>9.4656945167132172</v>
      </c>
      <c r="Q1002" s="1">
        <f>(N1002*41.35/0.31*60)/1000</f>
        <v>3.0930352746679903E-2</v>
      </c>
      <c r="R1002" s="1">
        <f>O1002*41.35/0.31*60/1000</f>
        <v>-4.4475976483925924E-3</v>
      </c>
      <c r="S1002" s="1">
        <f>(O1002*41.35/0.31*60)/1000</f>
        <v>-4.4475976483925924E-3</v>
      </c>
    </row>
    <row r="1003" spans="1:19" x14ac:dyDescent="0.3">
      <c r="A1003" s="1">
        <v>1119</v>
      </c>
      <c r="C1003" s="1" t="s">
        <v>15</v>
      </c>
      <c r="D1003" s="1">
        <v>22</v>
      </c>
      <c r="E1003" s="1">
        <v>242</v>
      </c>
      <c r="F1003" s="1">
        <v>15</v>
      </c>
      <c r="G1003" s="1">
        <v>0.45884042810935116</v>
      </c>
      <c r="H1003" s="1">
        <v>1.8265864601289283</v>
      </c>
      <c r="I1003" s="1">
        <v>778.29389405059908</v>
      </c>
      <c r="K1003" s="1">
        <f t="shared" si="45"/>
        <v>0.53083929986248557</v>
      </c>
      <c r="L1003" s="1">
        <f t="shared" si="46"/>
        <v>0.90565927707478799</v>
      </c>
      <c r="M1003" s="1">
        <f t="shared" si="47"/>
        <v>385.42415120811989</v>
      </c>
      <c r="N1003"/>
      <c r="P1003" s="1"/>
    </row>
    <row r="1004" spans="1:19" x14ac:dyDescent="0.3">
      <c r="A1004" s="1">
        <v>1120</v>
      </c>
      <c r="C1004" s="1" t="s">
        <v>15</v>
      </c>
      <c r="D1004" s="1">
        <v>22</v>
      </c>
      <c r="E1004" s="1">
        <v>243</v>
      </c>
      <c r="F1004" s="1">
        <v>30</v>
      </c>
      <c r="G1004" s="1">
        <v>0.51614375639624654</v>
      </c>
      <c r="H1004" s="1">
        <v>1.8162721669933171</v>
      </c>
      <c r="I1004" s="1">
        <v>1093.4013245490898</v>
      </c>
      <c r="K1004" s="1">
        <f t="shared" si="45"/>
        <v>0.59713437066290831</v>
      </c>
      <c r="L1004" s="1">
        <f t="shared" si="46"/>
        <v>0.90054523759807159</v>
      </c>
      <c r="M1004" s="1">
        <f t="shared" si="47"/>
        <v>541.47062011611922</v>
      </c>
      <c r="N1004"/>
      <c r="P1004" s="1"/>
    </row>
    <row r="1005" spans="1:19" x14ac:dyDescent="0.3">
      <c r="A1005" s="1">
        <v>1121</v>
      </c>
      <c r="C1005" s="1" t="s">
        <v>15</v>
      </c>
      <c r="D1005" s="1">
        <v>22</v>
      </c>
      <c r="E1005" s="1">
        <v>244</v>
      </c>
      <c r="F1005" s="1">
        <v>45</v>
      </c>
      <c r="G1005" s="1">
        <v>0.55003879969207492</v>
      </c>
      <c r="H1005" s="1">
        <v>1.798737868662778</v>
      </c>
      <c r="I1005" s="1">
        <v>1279.2177083864613</v>
      </c>
      <c r="K1005" s="1">
        <f t="shared" si="45"/>
        <v>0.63634804920929411</v>
      </c>
      <c r="L1005" s="1">
        <f t="shared" si="46"/>
        <v>0.89185137048765351</v>
      </c>
      <c r="M1005" s="1">
        <f t="shared" si="47"/>
        <v>633.49000067215491</v>
      </c>
      <c r="N1005"/>
      <c r="P1005" s="1"/>
    </row>
    <row r="1006" spans="1:19" x14ac:dyDescent="0.3">
      <c r="A1006" s="1">
        <v>1122</v>
      </c>
      <c r="C1006" s="1" t="s">
        <v>15</v>
      </c>
      <c r="D1006" s="1">
        <v>22</v>
      </c>
      <c r="E1006" s="1">
        <v>245</v>
      </c>
      <c r="F1006" s="1">
        <v>0</v>
      </c>
      <c r="G1006" s="1">
        <v>0.39637999199068091</v>
      </c>
      <c r="H1006" s="1">
        <v>1.8379321825781008</v>
      </c>
      <c r="I1006" s="1">
        <v>407.68927667562173</v>
      </c>
      <c r="K1006" s="1">
        <f t="shared" si="45"/>
        <v>0.4585778944868491</v>
      </c>
      <c r="L1006" s="1">
        <f t="shared" si="46"/>
        <v>0.91128472049917619</v>
      </c>
      <c r="M1006" s="1">
        <f t="shared" si="47"/>
        <v>201.8945473175435</v>
      </c>
      <c r="N1006" s="1">
        <f>SLOPE(K1006:K1009,F1006:F1009)</f>
        <v>8.8430393871289888E-4</v>
      </c>
      <c r="O1006" s="1">
        <f>SLOPE(L1006:L1009,F1006:F1009)</f>
        <v>-2.2842709662666957E-4</v>
      </c>
      <c r="P1006" s="1">
        <f>SLOPE(M1006:M1009,F1006:F1009)</f>
        <v>3.6888448267331744</v>
      </c>
      <c r="Q1006" s="1">
        <f>(N1006*41.35/0.31*60)/1000</f>
        <v>7.0772841030538776E-3</v>
      </c>
      <c r="R1006" s="1">
        <f>O1006*41.35/0.31*60/1000</f>
        <v>-1.8281536346153782E-3</v>
      </c>
      <c r="S1006" s="1">
        <f>(O1006*41.35/0.31*60)/1000</f>
        <v>-1.8281536346153782E-3</v>
      </c>
    </row>
    <row r="1007" spans="1:19" x14ac:dyDescent="0.3">
      <c r="A1007" s="1">
        <v>1123</v>
      </c>
      <c r="C1007" s="1" t="s">
        <v>15</v>
      </c>
      <c r="D1007" s="1">
        <v>22</v>
      </c>
      <c r="E1007" s="1">
        <v>246</v>
      </c>
      <c r="F1007" s="1">
        <v>15</v>
      </c>
      <c r="G1007" s="1">
        <v>0.41866674981387125</v>
      </c>
      <c r="H1007" s="1">
        <v>1.8296807480696116</v>
      </c>
      <c r="I1007" s="1">
        <v>616.69361401761796</v>
      </c>
      <c r="K1007" s="1">
        <f t="shared" si="45"/>
        <v>0.48436177531839519</v>
      </c>
      <c r="L1007" s="1">
        <f t="shared" si="46"/>
        <v>0.90719348891780294</v>
      </c>
      <c r="M1007" s="1">
        <f t="shared" si="47"/>
        <v>305.39699020529065</v>
      </c>
      <c r="N1007"/>
      <c r="P1007" s="1"/>
    </row>
    <row r="1008" spans="1:19" x14ac:dyDescent="0.3">
      <c r="A1008" s="1">
        <v>1124</v>
      </c>
      <c r="C1008" s="1" t="s">
        <v>15</v>
      </c>
      <c r="D1008" s="1">
        <v>22</v>
      </c>
      <c r="E1008" s="1">
        <v>247</v>
      </c>
      <c r="F1008" s="1">
        <v>30</v>
      </c>
      <c r="G1008" s="1">
        <v>0.43120484840859513</v>
      </c>
      <c r="H1008" s="1">
        <v>1.825555030815367</v>
      </c>
      <c r="I1008" s="1">
        <v>736.85879494932442</v>
      </c>
      <c r="K1008" s="1">
        <f t="shared" si="45"/>
        <v>0.49886728763136828</v>
      </c>
      <c r="L1008" s="1">
        <f t="shared" si="46"/>
        <v>0.90514787312711631</v>
      </c>
      <c r="M1008" s="1">
        <f t="shared" si="47"/>
        <v>364.90479724246381</v>
      </c>
      <c r="N1008"/>
      <c r="P1008" s="1"/>
    </row>
    <row r="1009" spans="1:19" x14ac:dyDescent="0.3">
      <c r="A1009" s="1">
        <v>1125</v>
      </c>
      <c r="C1009" s="1" t="s">
        <v>15</v>
      </c>
      <c r="D1009" s="1">
        <v>22</v>
      </c>
      <c r="E1009" s="1">
        <v>248</v>
      </c>
      <c r="F1009" s="1">
        <v>45</v>
      </c>
      <c r="G1009" s="1">
        <v>0.43041882082085253</v>
      </c>
      <c r="H1009" s="1">
        <v>1.8162721669933171</v>
      </c>
      <c r="I1009" s="1">
        <v>740.08173888632507</v>
      </c>
      <c r="K1009" s="1">
        <f t="shared" si="45"/>
        <v>0.49795792065150302</v>
      </c>
      <c r="L1009" s="1">
        <f t="shared" si="46"/>
        <v>0.90054523759807159</v>
      </c>
      <c r="M1009" s="1">
        <f t="shared" si="47"/>
        <v>366.50085297514448</v>
      </c>
      <c r="N1009"/>
      <c r="P1009" s="1"/>
    </row>
    <row r="1010" spans="1:19" x14ac:dyDescent="0.3">
      <c r="A1010" s="1">
        <v>1126</v>
      </c>
      <c r="C1010" s="1" t="s">
        <v>15</v>
      </c>
      <c r="D1010" s="1">
        <v>22</v>
      </c>
      <c r="E1010" s="1">
        <v>249</v>
      </c>
      <c r="F1010" s="1">
        <v>0</v>
      </c>
      <c r="G1010" s="1">
        <v>0.39935155970043962</v>
      </c>
      <c r="H1010" s="1">
        <v>1.832775036010295</v>
      </c>
      <c r="I1010" s="1">
        <v>409.65202568677182</v>
      </c>
      <c r="K1010" s="1">
        <f t="shared" si="45"/>
        <v>0.46201574526438854</v>
      </c>
      <c r="L1010" s="1">
        <f t="shared" si="46"/>
        <v>0.90872770076081788</v>
      </c>
      <c r="M1010" s="1">
        <f t="shared" si="47"/>
        <v>202.86653344956875</v>
      </c>
      <c r="N1010" s="1">
        <f>SLOPE(K1010:K1013,F1010:F1013)</f>
        <v>2.935924564018721E-3</v>
      </c>
      <c r="O1010" s="1">
        <f>SLOPE(L1010:L1013,F1010:F1013)</f>
        <v>-1.8410542116179465E-4</v>
      </c>
      <c r="P1010" s="1">
        <f>SLOPE(M1010:M1013,F1010:F1013)</f>
        <v>4.2561819284178357</v>
      </c>
      <c r="Q1010" s="1">
        <f>(N1010*41.35/0.31*60)/1000</f>
        <v>2.3496867236549829E-2</v>
      </c>
      <c r="R1010" s="1">
        <f>O1010*41.35/0.31*60/1000</f>
        <v>-1.4734372577497178E-3</v>
      </c>
      <c r="S1010" s="1">
        <f>(O1010*41.35/0.31*60)/1000</f>
        <v>-1.4734372577497178E-3</v>
      </c>
    </row>
    <row r="1011" spans="1:19" x14ac:dyDescent="0.3">
      <c r="A1011" s="1">
        <v>1127</v>
      </c>
      <c r="C1011" s="1" t="s">
        <v>15</v>
      </c>
      <c r="D1011" s="1">
        <v>22</v>
      </c>
      <c r="E1011" s="1">
        <v>250</v>
      </c>
      <c r="F1011" s="1">
        <v>15</v>
      </c>
      <c r="G1011" s="1">
        <v>0.45252345030054147</v>
      </c>
      <c r="H1011" s="1">
        <v>1.8379321825781008</v>
      </c>
      <c r="I1011" s="1">
        <v>582.68027426130891</v>
      </c>
      <c r="K1011" s="1">
        <f t="shared" si="45"/>
        <v>0.52353109449990964</v>
      </c>
      <c r="L1011" s="1">
        <f t="shared" si="46"/>
        <v>0.91128472049917619</v>
      </c>
      <c r="M1011" s="1">
        <f t="shared" si="47"/>
        <v>288.5530155762458</v>
      </c>
      <c r="N1011"/>
      <c r="P1011" s="1"/>
    </row>
    <row r="1012" spans="1:19" x14ac:dyDescent="0.3">
      <c r="A1012" s="1">
        <v>1128</v>
      </c>
      <c r="C1012" s="1" t="s">
        <v>15</v>
      </c>
      <c r="D1012" s="1">
        <v>22</v>
      </c>
      <c r="E1012" s="1">
        <v>251</v>
      </c>
      <c r="F1012" s="1">
        <v>30</v>
      </c>
      <c r="G1012" s="1">
        <v>0.49732702280187124</v>
      </c>
      <c r="H1012" s="1">
        <v>1.8224607428746837</v>
      </c>
      <c r="I1012" s="1">
        <v>732.51139760687045</v>
      </c>
      <c r="K1012" s="1">
        <f t="shared" si="45"/>
        <v>0.57536501235223081</v>
      </c>
      <c r="L1012" s="1">
        <f t="shared" si="46"/>
        <v>0.90361366128410137</v>
      </c>
      <c r="M1012" s="1">
        <f t="shared" si="47"/>
        <v>362.75189337994055</v>
      </c>
      <c r="N1012"/>
      <c r="P1012" s="1"/>
    </row>
    <row r="1013" spans="1:19" x14ac:dyDescent="0.3">
      <c r="A1013" s="1">
        <v>1129</v>
      </c>
      <c r="C1013" s="1" t="s">
        <v>15</v>
      </c>
      <c r="D1013" s="1">
        <v>22</v>
      </c>
      <c r="E1013" s="1">
        <v>252</v>
      </c>
      <c r="F1013" s="1">
        <v>45</v>
      </c>
      <c r="G1013" s="1">
        <v>0.51130297674002667</v>
      </c>
      <c r="H1013" s="1">
        <v>1.8193664549340003</v>
      </c>
      <c r="I1013" s="1">
        <v>789.43753913726891</v>
      </c>
      <c r="K1013" s="1">
        <f t="shared" si="45"/>
        <v>0.59153400084788421</v>
      </c>
      <c r="L1013" s="1">
        <f t="shared" si="46"/>
        <v>0.90207944944108642</v>
      </c>
      <c r="M1013" s="1">
        <f t="shared" si="47"/>
        <v>390.94267060256226</v>
      </c>
      <c r="N1013"/>
      <c r="P1013" s="1"/>
    </row>
    <row r="1014" spans="1:19" x14ac:dyDescent="0.3">
      <c r="A1014" s="1">
        <v>1130</v>
      </c>
      <c r="C1014" s="1" t="s">
        <v>15</v>
      </c>
      <c r="D1014" s="1">
        <v>22</v>
      </c>
      <c r="E1014" s="1">
        <v>253</v>
      </c>
      <c r="F1014" s="1">
        <v>0</v>
      </c>
      <c r="G1014" s="1">
        <v>0.3980958327005093</v>
      </c>
      <c r="H1014" s="1">
        <v>1.8503093343408341</v>
      </c>
      <c r="I1014" s="1">
        <v>425.50168253802633</v>
      </c>
      <c r="K1014" s="1">
        <f t="shared" si="45"/>
        <v>0.46056297606484764</v>
      </c>
      <c r="L1014" s="1">
        <f t="shared" si="46"/>
        <v>0.91742156787123585</v>
      </c>
      <c r="M1014" s="1">
        <f t="shared" si="47"/>
        <v>210.71554856523608</v>
      </c>
      <c r="N1014" s="1">
        <f>SLOPE(K1014:K1017,F1014:F1017)</f>
        <v>6.5356130910643927E-5</v>
      </c>
      <c r="O1014" s="1">
        <f>SLOPE(L1014:L1017,F1014:F1017)</f>
        <v>-1.0569014918547411E-4</v>
      </c>
      <c r="P1014" s="1">
        <f>SLOPE(M1014:M1017,F1014:F1017)</f>
        <v>1.513439939452728</v>
      </c>
      <c r="Q1014" s="1">
        <f>(N1014*41.35/0.31*60)/1000</f>
        <v>5.2305987351389542E-4</v>
      </c>
      <c r="R1014" s="1">
        <f>O1014*41.35/0.31*60/1000</f>
        <v>-8.4586212944890728E-4</v>
      </c>
      <c r="S1014" s="1">
        <f>(O1014*41.35/0.31*60)/1000</f>
        <v>-8.4586212944890728E-4</v>
      </c>
    </row>
    <row r="1015" spans="1:19" x14ac:dyDescent="0.3">
      <c r="A1015" s="1">
        <v>1131</v>
      </c>
      <c r="C1015" s="1" t="s">
        <v>15</v>
      </c>
      <c r="D1015" s="1">
        <v>22</v>
      </c>
      <c r="E1015" s="1">
        <v>254</v>
      </c>
      <c r="F1015" s="1">
        <v>15</v>
      </c>
      <c r="G1015" s="1">
        <v>0.40881264786021976</v>
      </c>
      <c r="H1015" s="1">
        <v>1.841026470518784</v>
      </c>
      <c r="I1015" s="1">
        <v>530.74905381255701</v>
      </c>
      <c r="K1015" s="1">
        <f t="shared" si="45"/>
        <v>0.47296141854642548</v>
      </c>
      <c r="L1015" s="1">
        <f t="shared" si="46"/>
        <v>0.91281893234219103</v>
      </c>
      <c r="M1015" s="1">
        <f t="shared" si="47"/>
        <v>262.83580679989029</v>
      </c>
      <c r="N1015"/>
      <c r="P1015" s="1"/>
    </row>
    <row r="1016" spans="1:19" x14ac:dyDescent="0.3">
      <c r="A1016" s="1">
        <v>1132</v>
      </c>
      <c r="B1016" s="1" t="s">
        <v>122</v>
      </c>
      <c r="C1016" s="1" t="s">
        <v>15</v>
      </c>
      <c r="D1016" s="1">
        <v>22</v>
      </c>
      <c r="E1016" s="1">
        <v>255</v>
      </c>
      <c r="F1016" s="1">
        <v>30</v>
      </c>
      <c r="G1016" s="1">
        <v>0.400290958524815</v>
      </c>
      <c r="H1016" s="1">
        <v>1.8214293135611228</v>
      </c>
      <c r="I1016" s="1">
        <v>550.49485916818787</v>
      </c>
      <c r="K1016" s="1">
        <f t="shared" si="45"/>
        <v>0.46310254970373976</v>
      </c>
      <c r="L1016" s="1">
        <f t="shared" si="46"/>
        <v>0.90310225733642979</v>
      </c>
      <c r="M1016" s="1">
        <f t="shared" si="47"/>
        <v>272.61425980754041</v>
      </c>
      <c r="N1016"/>
      <c r="P1016" s="1"/>
    </row>
    <row r="1017" spans="1:19" x14ac:dyDescent="0.3">
      <c r="A1017" s="1">
        <v>1133</v>
      </c>
      <c r="C1017" s="1" t="s">
        <v>15</v>
      </c>
      <c r="D1017" s="1">
        <v>22</v>
      </c>
      <c r="E1017" s="1">
        <v>256</v>
      </c>
      <c r="F1017" s="1">
        <v>45</v>
      </c>
      <c r="G1017" s="1">
        <v>0.40376098275362998</v>
      </c>
      <c r="H1017" s="1">
        <v>1.8461836170865895</v>
      </c>
      <c r="I1017" s="1">
        <v>571.72556669627318</v>
      </c>
      <c r="K1017" s="1">
        <f t="shared" si="45"/>
        <v>0.46711707222460841</v>
      </c>
      <c r="L1017" s="1">
        <f t="shared" si="46"/>
        <v>0.91537595208054923</v>
      </c>
      <c r="M1017" s="1">
        <f t="shared" si="47"/>
        <v>283.12806120198911</v>
      </c>
      <c r="N1017"/>
      <c r="P1017" s="1"/>
    </row>
    <row r="1018" spans="1:19" x14ac:dyDescent="0.3">
      <c r="A1018" s="1">
        <v>1134</v>
      </c>
      <c r="C1018" s="1" t="s">
        <v>15</v>
      </c>
      <c r="D1018" s="1">
        <v>22</v>
      </c>
      <c r="E1018" s="1">
        <v>258</v>
      </c>
      <c r="F1018" s="1">
        <v>15</v>
      </c>
      <c r="G1018" s="1">
        <v>0.42054554746262196</v>
      </c>
      <c r="H1018" s="1">
        <v>1.8348378946374173</v>
      </c>
      <c r="I1018" s="1">
        <v>455.63721723866126</v>
      </c>
      <c r="K1018" s="1">
        <f t="shared" si="45"/>
        <v>0.48653538419709763</v>
      </c>
      <c r="L1018" s="1">
        <f t="shared" si="46"/>
        <v>0.90975050865616125</v>
      </c>
      <c r="M1018" s="1">
        <f t="shared" si="47"/>
        <v>225.63916928484039</v>
      </c>
      <c r="N1018"/>
      <c r="P1018" s="1"/>
    </row>
    <row r="1019" spans="1:19" x14ac:dyDescent="0.3">
      <c r="A1019" s="1">
        <v>1135</v>
      </c>
      <c r="C1019" s="1" t="s">
        <v>15</v>
      </c>
      <c r="D1019" s="1">
        <v>22</v>
      </c>
      <c r="E1019" s="1">
        <v>259</v>
      </c>
      <c r="F1019" s="1">
        <v>30</v>
      </c>
      <c r="G1019" s="1">
        <v>0.41373969883704559</v>
      </c>
      <c r="H1019" s="1">
        <v>1.8338064653238562</v>
      </c>
      <c r="I1019" s="1">
        <v>441.7824104337858</v>
      </c>
      <c r="K1019" s="1">
        <f t="shared" si="45"/>
        <v>0.47866159693241045</v>
      </c>
      <c r="L1019" s="1">
        <f t="shared" si="46"/>
        <v>0.90923910470848956</v>
      </c>
      <c r="M1019" s="1">
        <f t="shared" si="47"/>
        <v>218.77803727064727</v>
      </c>
      <c r="N1019"/>
      <c r="P1019" s="1"/>
    </row>
    <row r="1020" spans="1:19" x14ac:dyDescent="0.3">
      <c r="A1020" s="1">
        <v>1136</v>
      </c>
      <c r="C1020" s="1" t="s">
        <v>15</v>
      </c>
      <c r="D1020" s="1">
        <v>22</v>
      </c>
      <c r="E1020" s="1">
        <v>260</v>
      </c>
      <c r="F1020" s="1">
        <v>45</v>
      </c>
      <c r="G1020" s="1">
        <v>0.41898307798942624</v>
      </c>
      <c r="H1020" s="1">
        <v>1.8379321825781008</v>
      </c>
      <c r="I1020" s="1">
        <v>454.20459389500866</v>
      </c>
      <c r="K1020" s="1">
        <f t="shared" si="45"/>
        <v>0.48472774007858493</v>
      </c>
      <c r="L1020" s="1">
        <f t="shared" si="46"/>
        <v>0.91128472049917619</v>
      </c>
      <c r="M1020" s="1">
        <f t="shared" si="47"/>
        <v>224.92971024828736</v>
      </c>
      <c r="N1020"/>
      <c r="P1020" s="1"/>
    </row>
    <row r="1021" spans="1:19" x14ac:dyDescent="0.3">
      <c r="A1021" s="1">
        <v>1137</v>
      </c>
      <c r="C1021" s="1" t="s">
        <v>15</v>
      </c>
      <c r="D1021" s="1">
        <v>22</v>
      </c>
      <c r="E1021" s="1" t="s">
        <v>114</v>
      </c>
      <c r="G1021" s="1">
        <v>0.39614993513573188</v>
      </c>
      <c r="H1021" s="1">
        <v>1.8451521877730284</v>
      </c>
      <c r="I1021" s="1">
        <v>395.50188935778874</v>
      </c>
      <c r="K1021" s="1">
        <f t="shared" si="45"/>
        <v>0.45831173829762023</v>
      </c>
      <c r="L1021" s="1">
        <f t="shared" si="46"/>
        <v>0.91486454813287765</v>
      </c>
      <c r="M1021" s="1">
        <f t="shared" si="47"/>
        <v>195.8591493164447</v>
      </c>
      <c r="N1021"/>
      <c r="P1021" s="1"/>
    </row>
    <row r="1022" spans="1:19" x14ac:dyDescent="0.3">
      <c r="A1022" s="1">
        <v>1138</v>
      </c>
      <c r="C1022" s="1" t="s">
        <v>15</v>
      </c>
      <c r="D1022" s="1">
        <v>22</v>
      </c>
      <c r="E1022" s="1" t="s">
        <v>115</v>
      </c>
      <c r="G1022" s="1">
        <v>0.39545976457088466</v>
      </c>
      <c r="H1022" s="1">
        <v>1.8637179154171288</v>
      </c>
      <c r="I1022" s="1">
        <v>395.73668550117873</v>
      </c>
      <c r="K1022" s="1">
        <f t="shared" si="45"/>
        <v>0.45751326972993361</v>
      </c>
      <c r="L1022" s="1">
        <f t="shared" si="46"/>
        <v>0.92406981919096731</v>
      </c>
      <c r="M1022" s="1">
        <f t="shared" si="47"/>
        <v>195.97542429298608</v>
      </c>
      <c r="N1022"/>
      <c r="P1022" s="1"/>
    </row>
    <row r="1023" spans="1:19" x14ac:dyDescent="0.3">
      <c r="A1023" s="1">
        <v>1139</v>
      </c>
      <c r="C1023" s="1" t="s">
        <v>15</v>
      </c>
      <c r="D1023" s="1">
        <v>22</v>
      </c>
      <c r="E1023" s="1" t="s">
        <v>116</v>
      </c>
      <c r="G1023" s="1">
        <v>0.39835464666232706</v>
      </c>
      <c r="H1023" s="1">
        <v>1.8616550567900063</v>
      </c>
      <c r="I1023" s="1">
        <v>397.34540595237365</v>
      </c>
      <c r="K1023" s="1">
        <f t="shared" si="45"/>
        <v>0.46086240177773014</v>
      </c>
      <c r="L1023" s="1">
        <f t="shared" si="46"/>
        <v>0.92304701129562394</v>
      </c>
      <c r="M1023" s="1">
        <f t="shared" si="47"/>
        <v>196.77208956194505</v>
      </c>
      <c r="N1023"/>
      <c r="P1023" s="1"/>
    </row>
    <row r="1024" spans="1:19" x14ac:dyDescent="0.3">
      <c r="A1024" s="1">
        <v>1140</v>
      </c>
      <c r="B1024" s="1" t="s">
        <v>123</v>
      </c>
      <c r="C1024" s="1" t="s">
        <v>15</v>
      </c>
      <c r="D1024" s="1">
        <v>24</v>
      </c>
      <c r="E1024" s="1">
        <v>1</v>
      </c>
      <c r="F1024" s="1">
        <v>0</v>
      </c>
      <c r="G1024" s="1">
        <v>0.39496962271185021</v>
      </c>
      <c r="H1024" s="1">
        <v>1.9157435149762769</v>
      </c>
      <c r="I1024" s="1">
        <v>494.95517360741974</v>
      </c>
      <c r="K1024" s="1">
        <f t="shared" si="45"/>
        <v>0.45387069173127664</v>
      </c>
      <c r="L1024" s="1">
        <f t="shared" si="46"/>
        <v>0.9434720158462846</v>
      </c>
      <c r="M1024" s="1">
        <f t="shared" si="47"/>
        <v>243.46033904672697</v>
      </c>
      <c r="N1024" s="1">
        <f>SLOPE(K1024:K1027,F1024:F1027)</f>
        <v>1.3331242278844214E-3</v>
      </c>
      <c r="O1024" s="1">
        <f>SLOPE(L1024:L1027,F1024:F1027)</f>
        <v>-7.0011415123971688E-4</v>
      </c>
      <c r="P1024" s="1">
        <f>SLOPE(M1024:M1027,F1024:F1027)</f>
        <v>6.757715236157992</v>
      </c>
      <c r="Q1024" s="1">
        <f>(N1024*41.35/0.31*60)/1000</f>
        <v>1.0669294223810482E-2</v>
      </c>
      <c r="R1024" s="1">
        <f>O1024*41.35/0.31*60/1000</f>
        <v>-5.6031716426636693E-3</v>
      </c>
      <c r="S1024" s="1">
        <f>(O1024*41.35/0.31*60)/1000</f>
        <v>-5.6031716426636693E-3</v>
      </c>
    </row>
    <row r="1025" spans="1:19" x14ac:dyDescent="0.3">
      <c r="A1025" s="1">
        <v>1141</v>
      </c>
      <c r="C1025" s="1" t="s">
        <v>15</v>
      </c>
      <c r="D1025" s="1">
        <v>24</v>
      </c>
      <c r="E1025" s="1">
        <v>2</v>
      </c>
      <c r="F1025" s="1">
        <v>15</v>
      </c>
      <c r="G1025" s="1">
        <v>0.41148836370743591</v>
      </c>
      <c r="H1025" s="1">
        <v>1.8635441661587278</v>
      </c>
      <c r="I1025" s="1">
        <v>695.13791165424482</v>
      </c>
      <c r="K1025" s="1">
        <f t="shared" si="45"/>
        <v>0.47285284117031334</v>
      </c>
      <c r="L1025" s="1">
        <f t="shared" si="46"/>
        <v>0.91776469935545135</v>
      </c>
      <c r="M1025" s="1">
        <f t="shared" si="47"/>
        <v>341.92694748920832</v>
      </c>
      <c r="N1025"/>
      <c r="P1025" s="1"/>
    </row>
    <row r="1026" spans="1:19" x14ac:dyDescent="0.3">
      <c r="A1026" s="1">
        <v>1142</v>
      </c>
      <c r="C1026" s="1" t="s">
        <v>15</v>
      </c>
      <c r="D1026" s="1">
        <v>24</v>
      </c>
      <c r="E1026" s="1">
        <v>3</v>
      </c>
      <c r="F1026" s="1">
        <v>30</v>
      </c>
      <c r="G1026" s="1">
        <v>0.42347777249455459</v>
      </c>
      <c r="H1026" s="1">
        <v>1.8535485461723884</v>
      </c>
      <c r="I1026" s="1">
        <v>924.15822879988332</v>
      </c>
      <c r="K1026" s="1">
        <f t="shared" si="45"/>
        <v>0.48663020769864646</v>
      </c>
      <c r="L1026" s="1">
        <f t="shared" si="46"/>
        <v>0.91284202172954709</v>
      </c>
      <c r="M1026" s="1">
        <f t="shared" si="47"/>
        <v>454.57828852780256</v>
      </c>
      <c r="N1026"/>
      <c r="P1026" s="1"/>
    </row>
    <row r="1027" spans="1:19" x14ac:dyDescent="0.3">
      <c r="A1027" s="1">
        <v>1143</v>
      </c>
      <c r="C1027" s="1" t="s">
        <v>15</v>
      </c>
      <c r="D1027" s="1">
        <v>24</v>
      </c>
      <c r="E1027" s="1">
        <v>4</v>
      </c>
      <c r="F1027" s="1">
        <v>45</v>
      </c>
      <c r="G1027" s="1">
        <v>0.44897905467668003</v>
      </c>
      <c r="H1027" s="1">
        <v>1.8479954239577554</v>
      </c>
      <c r="I1027" s="1">
        <v>1105.5372440048689</v>
      </c>
      <c r="K1027" s="1">
        <f t="shared" ref="K1027:K1090" si="48">(G1027*28*1)/(0.082*(D1027+273.15))</f>
        <v>0.51593444761605334</v>
      </c>
      <c r="L1027" s="1">
        <f t="shared" ref="L1027:L1090" si="49">(H1027*12*1)/(0.082*(D1027+273.15))</f>
        <v>0.91010720082626684</v>
      </c>
      <c r="M1027" s="1">
        <f t="shared" ref="M1027:M1090" si="50">(I1027*12*1)/(0.0821*(D1027+273.15))</f>
        <v>543.7956538417618</v>
      </c>
      <c r="N1027"/>
      <c r="P1027" s="1"/>
    </row>
    <row r="1028" spans="1:19" x14ac:dyDescent="0.3">
      <c r="A1028" s="1">
        <v>1144</v>
      </c>
      <c r="C1028" s="1" t="s">
        <v>15</v>
      </c>
      <c r="D1028" s="1">
        <v>24</v>
      </c>
      <c r="E1028" s="1">
        <v>5</v>
      </c>
      <c r="F1028" s="1">
        <v>0</v>
      </c>
      <c r="G1028" s="1">
        <v>0.39162020057449642</v>
      </c>
      <c r="H1028" s="1">
        <v>1.9079691438757911</v>
      </c>
      <c r="I1028" s="1">
        <v>452.07559998021992</v>
      </c>
      <c r="K1028" s="1">
        <f t="shared" si="48"/>
        <v>0.45002177663764714</v>
      </c>
      <c r="L1028" s="1">
        <f t="shared" si="49"/>
        <v>0.9396432665816925</v>
      </c>
      <c r="M1028" s="1">
        <f t="shared" si="50"/>
        <v>222.36857944884193</v>
      </c>
      <c r="N1028" s="1">
        <f>SLOPE(K1028:K1031,F1028:F1031)</f>
        <v>2.8592773794039032E-3</v>
      </c>
      <c r="O1028" s="1">
        <f>SLOPE(L1028:L1031,F1028:F1031)</f>
        <v>-9.4077839072837107E-4</v>
      </c>
      <c r="P1028" s="1">
        <f>SLOPE(M1028:M1031,F1028:F1031)</f>
        <v>6.9360413394161506</v>
      </c>
      <c r="Q1028" s="1">
        <f>(N1028*41.35/0.31*60)/1000</f>
        <v>2.2883442510648659E-2</v>
      </c>
      <c r="R1028" s="1">
        <f>O1028*41.35/0.31*60/1000</f>
        <v>-7.529261894829318E-3</v>
      </c>
      <c r="S1028" s="1">
        <f>(O1028*41.35/0.31*60)/1000</f>
        <v>-7.529261894829318E-3</v>
      </c>
    </row>
    <row r="1029" spans="1:19" x14ac:dyDescent="0.3">
      <c r="A1029" s="1">
        <v>1145</v>
      </c>
      <c r="C1029" s="1" t="s">
        <v>15</v>
      </c>
      <c r="D1029" s="1">
        <v>24</v>
      </c>
      <c r="E1029" s="1">
        <v>6</v>
      </c>
      <c r="F1029" s="1">
        <v>15</v>
      </c>
      <c r="G1029" s="1">
        <v>0.43818858676827327</v>
      </c>
      <c r="H1029" s="1">
        <v>1.8846460305743329</v>
      </c>
      <c r="I1029" s="1">
        <v>786.42838980155238</v>
      </c>
      <c r="K1029" s="1">
        <f t="shared" si="48"/>
        <v>0.50353481774055364</v>
      </c>
      <c r="L1029" s="1">
        <f t="shared" si="49"/>
        <v>0.92815701878791601</v>
      </c>
      <c r="M1029" s="1">
        <f t="shared" si="50"/>
        <v>386.83123770905326</v>
      </c>
      <c r="N1029"/>
      <c r="P1029" s="1"/>
    </row>
    <row r="1030" spans="1:19" x14ac:dyDescent="0.3">
      <c r="A1030" s="1">
        <v>1146</v>
      </c>
      <c r="C1030" s="1" t="s">
        <v>15</v>
      </c>
      <c r="D1030" s="1">
        <v>24</v>
      </c>
      <c r="E1030" s="1">
        <v>7</v>
      </c>
      <c r="F1030" s="1">
        <v>30</v>
      </c>
      <c r="G1030" s="1">
        <v>0.47637390221486636</v>
      </c>
      <c r="H1030" s="1">
        <v>1.837999803971416</v>
      </c>
      <c r="I1030" s="1">
        <v>965.99298436082722</v>
      </c>
      <c r="K1030" s="1">
        <f t="shared" si="48"/>
        <v>0.54741463669150658</v>
      </c>
      <c r="L1030" s="1">
        <f t="shared" si="49"/>
        <v>0.90518452320036258</v>
      </c>
      <c r="M1030" s="1">
        <f t="shared" si="50"/>
        <v>475.15611924037302</v>
      </c>
      <c r="N1030"/>
      <c r="P1030" s="1"/>
    </row>
    <row r="1031" spans="1:19" x14ac:dyDescent="0.3">
      <c r="A1031" s="1">
        <v>1147</v>
      </c>
      <c r="C1031" s="1" t="s">
        <v>15</v>
      </c>
      <c r="D1031" s="1">
        <v>24</v>
      </c>
      <c r="E1031" s="1">
        <v>8</v>
      </c>
      <c r="F1031" s="1">
        <v>45</v>
      </c>
      <c r="G1031" s="1">
        <v>0.50330249496688684</v>
      </c>
      <c r="H1031" s="1">
        <v>1.8280041839850771</v>
      </c>
      <c r="I1031" s="1">
        <v>1097.2697707813638</v>
      </c>
      <c r="K1031" s="1">
        <f t="shared" si="48"/>
        <v>0.57835903929085797</v>
      </c>
      <c r="L1031" s="1">
        <f t="shared" si="49"/>
        <v>0.90026184557445843</v>
      </c>
      <c r="M1031" s="1">
        <f t="shared" si="50"/>
        <v>539.7290192425429</v>
      </c>
      <c r="N1031"/>
      <c r="P1031" s="1"/>
    </row>
    <row r="1032" spans="1:19" x14ac:dyDescent="0.3">
      <c r="A1032" s="1">
        <v>1148</v>
      </c>
      <c r="C1032" s="1" t="s">
        <v>15</v>
      </c>
      <c r="D1032" s="1">
        <v>24</v>
      </c>
      <c r="E1032" s="1">
        <v>9</v>
      </c>
      <c r="F1032" s="1">
        <v>0</v>
      </c>
      <c r="G1032" s="1">
        <v>0.39869014559737664</v>
      </c>
      <c r="H1032" s="1">
        <v>1.9235178860767632</v>
      </c>
      <c r="I1032" s="1">
        <v>518.73579323421154</v>
      </c>
      <c r="K1032" s="1">
        <f t="shared" si="48"/>
        <v>0.45814604912221168</v>
      </c>
      <c r="L1032" s="1">
        <f t="shared" si="49"/>
        <v>0.94730076511087691</v>
      </c>
      <c r="M1032" s="1">
        <f t="shared" si="50"/>
        <v>255.15763614715513</v>
      </c>
      <c r="N1032" s="1">
        <f>SLOPE(K1032:K1035,F1032:F1035)</f>
        <v>7.3355364748474176E-3</v>
      </c>
      <c r="O1032" s="1">
        <f>SLOPE(L1032:L1035,F1032:F1035)</f>
        <v>-1.9909496175879501E-3</v>
      </c>
      <c r="P1032" s="1">
        <f>SLOPE(M1032:M1035,F1032:F1035)</f>
        <v>10.213102641217164</v>
      </c>
      <c r="Q1032" s="1">
        <f>(N1032*41.35/0.31*60)/1000</f>
        <v>5.8707954819665953E-2</v>
      </c>
      <c r="R1032" s="1">
        <f>O1032*41.35/0.31*60/1000</f>
        <v>-1.5934019358824852E-2</v>
      </c>
      <c r="S1032" s="1">
        <f>(O1032*41.35/0.31*60)/1000</f>
        <v>-1.5934019358824852E-2</v>
      </c>
    </row>
    <row r="1033" spans="1:19" x14ac:dyDescent="0.3">
      <c r="A1033" s="1">
        <v>1149</v>
      </c>
      <c r="C1033" s="1" t="s">
        <v>15</v>
      </c>
      <c r="D1033" s="1">
        <v>24</v>
      </c>
      <c r="E1033" s="1">
        <v>10</v>
      </c>
      <c r="F1033" s="1">
        <v>15</v>
      </c>
      <c r="G1033" s="1">
        <v>0.50968733091621754</v>
      </c>
      <c r="H1033" s="1">
        <v>1.8557697950582417</v>
      </c>
      <c r="I1033" s="1">
        <v>866.14780810015316</v>
      </c>
      <c r="K1033" s="1">
        <f t="shared" si="48"/>
        <v>0.58569603368808931</v>
      </c>
      <c r="L1033" s="1">
        <f t="shared" si="49"/>
        <v>0.91393595009085915</v>
      </c>
      <c r="M1033" s="1">
        <f t="shared" si="50"/>
        <v>426.04391320475241</v>
      </c>
      <c r="N1033"/>
      <c r="P1033" s="1"/>
    </row>
    <row r="1034" spans="1:19" x14ac:dyDescent="0.3">
      <c r="A1034" s="1">
        <v>1150</v>
      </c>
      <c r="C1034" s="1" t="s">
        <v>15</v>
      </c>
      <c r="D1034" s="1">
        <v>24</v>
      </c>
      <c r="E1034" s="1">
        <v>11</v>
      </c>
      <c r="F1034" s="1">
        <v>30</v>
      </c>
      <c r="G1034" s="1">
        <v>0.65091495410543621</v>
      </c>
      <c r="H1034" s="1">
        <v>1.795796075140206</v>
      </c>
      <c r="I1034" s="1">
        <v>1350.3359152047115</v>
      </c>
      <c r="K1034" s="1">
        <f t="shared" si="48"/>
        <v>0.74798466385754969</v>
      </c>
      <c r="L1034" s="1">
        <f t="shared" si="49"/>
        <v>0.88439988433543348</v>
      </c>
      <c r="M1034" s="1">
        <f t="shared" si="50"/>
        <v>664.20810867908301</v>
      </c>
      <c r="N1034"/>
      <c r="P1034" s="1"/>
    </row>
    <row r="1035" spans="1:19" x14ac:dyDescent="0.3">
      <c r="A1035" s="1">
        <v>1151</v>
      </c>
      <c r="C1035" s="1" t="s">
        <v>15</v>
      </c>
      <c r="D1035" s="1">
        <v>24</v>
      </c>
      <c r="E1035" s="1">
        <v>12</v>
      </c>
      <c r="F1035" s="1">
        <v>45</v>
      </c>
      <c r="G1035" s="1">
        <v>0.67079263264217504</v>
      </c>
      <c r="H1035" s="1">
        <v>1.7413754774368033</v>
      </c>
      <c r="I1035" s="1">
        <v>1395.5022793313317</v>
      </c>
      <c r="K1035" s="1">
        <f t="shared" si="48"/>
        <v>0.77082666280809575</v>
      </c>
      <c r="L1035" s="1">
        <f t="shared" si="49"/>
        <v>0.85759863948328796</v>
      </c>
      <c r="M1035" s="1">
        <f t="shared" si="50"/>
        <v>686.42470304990309</v>
      </c>
      <c r="N1035"/>
      <c r="P1035" s="1"/>
    </row>
    <row r="1036" spans="1:19" x14ac:dyDescent="0.3">
      <c r="A1036" s="1">
        <v>1152</v>
      </c>
      <c r="C1036" s="1" t="s">
        <v>15</v>
      </c>
      <c r="D1036" s="1">
        <v>24</v>
      </c>
      <c r="E1036" s="1">
        <v>13</v>
      </c>
      <c r="F1036" s="1">
        <v>0</v>
      </c>
      <c r="G1036" s="1">
        <v>0.39153456194030267</v>
      </c>
      <c r="H1036" s="1">
        <v>1.8890885283460392</v>
      </c>
      <c r="I1036" s="1">
        <v>543.99056708666888</v>
      </c>
      <c r="K1036" s="1">
        <f t="shared" si="48"/>
        <v>0.44992336687673035</v>
      </c>
      <c r="L1036" s="1">
        <f t="shared" si="49"/>
        <v>0.93034487551054013</v>
      </c>
      <c r="M1036" s="1">
        <f t="shared" si="50"/>
        <v>267.58004555416233</v>
      </c>
      <c r="N1036" s="1">
        <f>SLOPE(K1036:K1039,F1036:F1039)</f>
        <v>5.2211845375230645E-3</v>
      </c>
      <c r="O1036" s="1">
        <f>SLOPE(L1036:L1039,F1036:F1039)</f>
        <v>-1.3418854565427965E-3</v>
      </c>
      <c r="P1036" s="1">
        <f>SLOPE(M1036:M1039,F1036:F1039)</f>
        <v>9.2634729857809752</v>
      </c>
      <c r="Q1036" s="1">
        <f>(N1036*41.35/0.31*60)/1000</f>
        <v>4.1786318830950721E-2</v>
      </c>
      <c r="R1036" s="1">
        <f>O1036*41.35/0.31*60/1000</f>
        <v>-1.0739412315105416E-2</v>
      </c>
      <c r="S1036" s="1">
        <f>(O1036*41.35/0.31*60)/1000</f>
        <v>-1.0739412315105416E-2</v>
      </c>
    </row>
    <row r="1037" spans="1:19" x14ac:dyDescent="0.3">
      <c r="A1037" s="1">
        <v>1153</v>
      </c>
      <c r="C1037" s="1" t="s">
        <v>15</v>
      </c>
      <c r="D1037" s="1">
        <v>24</v>
      </c>
      <c r="E1037" s="1">
        <v>14</v>
      </c>
      <c r="F1037" s="1">
        <v>15</v>
      </c>
      <c r="G1037" s="1">
        <v>0.46776246177649933</v>
      </c>
      <c r="H1037" s="1">
        <v>1.8235616862133708</v>
      </c>
      <c r="I1037" s="1">
        <v>814.43131538766727</v>
      </c>
      <c r="K1037" s="1">
        <f t="shared" si="48"/>
        <v>0.537518988510442</v>
      </c>
      <c r="L1037" s="1">
        <f t="shared" si="49"/>
        <v>0.89807398885183443</v>
      </c>
      <c r="M1037" s="1">
        <f t="shared" si="50"/>
        <v>400.60541791977124</v>
      </c>
      <c r="N1037"/>
      <c r="P1037" s="1"/>
    </row>
    <row r="1038" spans="1:19" x14ac:dyDescent="0.3">
      <c r="A1038" s="1">
        <v>1154</v>
      </c>
      <c r="C1038" s="1" t="s">
        <v>15</v>
      </c>
      <c r="D1038" s="1">
        <v>24</v>
      </c>
      <c r="E1038" s="1">
        <v>15</v>
      </c>
      <c r="F1038" s="1">
        <v>30</v>
      </c>
      <c r="G1038" s="1">
        <v>0.52805206024886753</v>
      </c>
      <c r="H1038" s="1">
        <v>1.7946854506972796</v>
      </c>
      <c r="I1038" s="1">
        <v>1070.5868787483059</v>
      </c>
      <c r="K1038" s="1">
        <f t="shared" si="48"/>
        <v>0.60679946019577413</v>
      </c>
      <c r="L1038" s="1">
        <f t="shared" si="49"/>
        <v>0.88385292015477745</v>
      </c>
      <c r="M1038" s="1">
        <f t="shared" si="50"/>
        <v>526.60414190512972</v>
      </c>
      <c r="N1038"/>
      <c r="P1038" s="1"/>
    </row>
    <row r="1039" spans="1:19" x14ac:dyDescent="0.3">
      <c r="A1039" s="1">
        <v>1155</v>
      </c>
      <c r="C1039" s="1" t="s">
        <v>15</v>
      </c>
      <c r="D1039" s="1">
        <v>24</v>
      </c>
      <c r="E1039" s="1">
        <v>16</v>
      </c>
      <c r="F1039" s="1">
        <v>45</v>
      </c>
      <c r="G1039" s="1">
        <v>0.59861829482448037</v>
      </c>
      <c r="H1039" s="1">
        <v>1.7624773418524085</v>
      </c>
      <c r="I1039" s="1">
        <v>1400.2379872714869</v>
      </c>
      <c r="K1039" s="1">
        <f t="shared" si="48"/>
        <v>0.68788910319110619</v>
      </c>
      <c r="L1039" s="1">
        <f t="shared" si="49"/>
        <v>0.86799095891575262</v>
      </c>
      <c r="M1039" s="1">
        <f t="shared" si="50"/>
        <v>688.75412018142492</v>
      </c>
      <c r="N1039"/>
      <c r="P1039" s="1"/>
    </row>
    <row r="1040" spans="1:19" x14ac:dyDescent="0.3">
      <c r="A1040" s="1">
        <v>1156</v>
      </c>
      <c r="C1040" s="1" t="s">
        <v>15</v>
      </c>
      <c r="D1040" s="1">
        <v>24</v>
      </c>
      <c r="E1040" s="1">
        <v>17</v>
      </c>
      <c r="F1040" s="1">
        <v>0</v>
      </c>
      <c r="G1040" s="1">
        <v>0.39229579424424671</v>
      </c>
      <c r="H1040" s="1">
        <v>1.8824247816884796</v>
      </c>
      <c r="I1040" s="1">
        <v>561.68742327977384</v>
      </c>
      <c r="K1040" s="1">
        <f t="shared" si="48"/>
        <v>0.45079812030710076</v>
      </c>
      <c r="L1040" s="1">
        <f t="shared" si="49"/>
        <v>0.92706309042660384</v>
      </c>
      <c r="M1040" s="1">
        <f t="shared" si="50"/>
        <v>276.28483911644122</v>
      </c>
      <c r="N1040" s="1">
        <f>SLOPE(K1040:K1043,F1040:F1043)</f>
        <v>3.8048129415150607E-3</v>
      </c>
      <c r="O1040" s="1">
        <f>SLOPE(L1040:L1043,F1040:F1043)</f>
        <v>-1.1230997842803789E-3</v>
      </c>
      <c r="P1040" s="1">
        <f>SLOPE(M1040:M1043,F1040:F1043)</f>
        <v>6.1935223993268558</v>
      </c>
      <c r="Q1040" s="1">
        <f>(N1040*41.35/0.31*60)/1000</f>
        <v>3.0450777122254403E-2</v>
      </c>
      <c r="R1040" s="1">
        <f>O1040*41.35/0.31*60/1000</f>
        <v>-8.9884211767729677E-3</v>
      </c>
      <c r="S1040" s="1">
        <f>(O1040*41.35/0.31*60)/1000</f>
        <v>-8.9884211767729677E-3</v>
      </c>
    </row>
    <row r="1041" spans="1:19" x14ac:dyDescent="0.3">
      <c r="A1041" s="1">
        <v>1157</v>
      </c>
      <c r="C1041" s="1" t="s">
        <v>15</v>
      </c>
      <c r="D1041" s="1">
        <v>24</v>
      </c>
      <c r="E1041" s="1">
        <v>18</v>
      </c>
      <c r="F1041" s="1">
        <v>15</v>
      </c>
      <c r="G1041" s="1">
        <v>0.44691421205223181</v>
      </c>
      <c r="H1041" s="1">
        <v>1.835778555085563</v>
      </c>
      <c r="I1041" s="1">
        <v>705.69818007870015</v>
      </c>
      <c r="K1041" s="1">
        <f t="shared" si="48"/>
        <v>0.51356167893617377</v>
      </c>
      <c r="L1041" s="1">
        <f t="shared" si="49"/>
        <v>0.90409059483905052</v>
      </c>
      <c r="M1041" s="1">
        <f t="shared" si="50"/>
        <v>347.12137047564539</v>
      </c>
      <c r="N1041"/>
      <c r="P1041" s="1"/>
    </row>
    <row r="1042" spans="1:19" x14ac:dyDescent="0.3">
      <c r="A1042" s="1">
        <v>1158</v>
      </c>
      <c r="C1042" s="1" t="s">
        <v>15</v>
      </c>
      <c r="D1042" s="1">
        <v>24</v>
      </c>
      <c r="E1042" s="1">
        <v>19</v>
      </c>
      <c r="F1042" s="1">
        <v>30</v>
      </c>
      <c r="G1042" s="1">
        <v>0.49453880806773104</v>
      </c>
      <c r="H1042" s="1">
        <v>1.806902319569472</v>
      </c>
      <c r="I1042" s="1">
        <v>916.52325080422668</v>
      </c>
      <c r="K1042" s="1">
        <f t="shared" si="48"/>
        <v>0.56828844042371929</v>
      </c>
      <c r="L1042" s="1">
        <f t="shared" si="49"/>
        <v>0.88986952614199377</v>
      </c>
      <c r="M1042" s="1">
        <f t="shared" si="50"/>
        <v>450.82276796643714</v>
      </c>
      <c r="N1042"/>
      <c r="P1042" s="1"/>
    </row>
    <row r="1043" spans="1:19" x14ac:dyDescent="0.3">
      <c r="A1043" s="1">
        <v>1159</v>
      </c>
      <c r="C1043" s="1" t="s">
        <v>15</v>
      </c>
      <c r="D1043" s="1">
        <v>24</v>
      </c>
      <c r="E1043" s="1">
        <v>20</v>
      </c>
      <c r="F1043" s="1">
        <v>45</v>
      </c>
      <c r="G1043" s="1">
        <v>0.54197309600724419</v>
      </c>
      <c r="H1043" s="1">
        <v>1.7780260840533808</v>
      </c>
      <c r="I1043" s="1">
        <v>1120.9843386913233</v>
      </c>
      <c r="K1043" s="1">
        <f t="shared" si="48"/>
        <v>0.62279651355367194</v>
      </c>
      <c r="L1043" s="1">
        <f t="shared" si="49"/>
        <v>0.87564845744493713</v>
      </c>
      <c r="M1043" s="1">
        <f t="shared" si="50"/>
        <v>551.39382658585339</v>
      </c>
      <c r="N1043"/>
      <c r="P1043" s="1"/>
    </row>
    <row r="1044" spans="1:19" x14ac:dyDescent="0.3">
      <c r="A1044" s="1">
        <v>1160</v>
      </c>
      <c r="C1044" s="1" t="s">
        <v>15</v>
      </c>
      <c r="D1044" s="1">
        <v>24</v>
      </c>
      <c r="E1044" s="1">
        <v>21</v>
      </c>
      <c r="F1044" s="1">
        <v>0</v>
      </c>
      <c r="G1044" s="1">
        <v>0.39182002405428168</v>
      </c>
      <c r="H1044" s="1">
        <v>1.8724291617021405</v>
      </c>
      <c r="I1044" s="1">
        <v>481.56669076223744</v>
      </c>
      <c r="K1044" s="1">
        <f t="shared" si="48"/>
        <v>0.45025139941311926</v>
      </c>
      <c r="L1044" s="1">
        <f t="shared" si="49"/>
        <v>0.92214041280069969</v>
      </c>
      <c r="M1044" s="1">
        <f t="shared" si="50"/>
        <v>236.8747637328002</v>
      </c>
      <c r="N1044" s="1">
        <f>SLOPE(K1044:K1047,F1044:F1047)</f>
        <v>1.0792270447194253E-3</v>
      </c>
      <c r="O1044" s="1">
        <f>SLOPE(L1044:L1047,F1044:F1047)</f>
        <v>-7.1469986272388274E-4</v>
      </c>
      <c r="P1044" s="1">
        <f>SLOPE(M1044:M1047,F1044:F1047)</f>
        <v>8.6225354044857099</v>
      </c>
      <c r="Q1044" s="1">
        <f>(N1044*41.35/0.31*60)/1000</f>
        <v>8.6372977353190127E-3</v>
      </c>
      <c r="R1044" s="1">
        <f>O1044*41.35/0.31*60/1000</f>
        <v>-5.7199043852192034E-3</v>
      </c>
      <c r="S1044" s="1">
        <f>(O1044*41.35/0.31*60)/1000</f>
        <v>-5.7199043852192034E-3</v>
      </c>
    </row>
    <row r="1045" spans="1:19" x14ac:dyDescent="0.3">
      <c r="A1045" s="1">
        <v>1161</v>
      </c>
      <c r="C1045" s="1" t="s">
        <v>15</v>
      </c>
      <c r="D1045" s="1">
        <v>24</v>
      </c>
      <c r="E1045" s="1">
        <v>22</v>
      </c>
      <c r="F1045" s="1">
        <v>15</v>
      </c>
      <c r="G1045" s="1">
        <v>0.40938545946779054</v>
      </c>
      <c r="H1045" s="1">
        <v>1.8457741750719023</v>
      </c>
      <c r="I1045" s="1">
        <v>819.31714086607803</v>
      </c>
      <c r="K1045" s="1">
        <f t="shared" si="48"/>
        <v>0.47043633481891534</v>
      </c>
      <c r="L1045" s="1">
        <f t="shared" si="49"/>
        <v>0.90901327246495478</v>
      </c>
      <c r="M1045" s="1">
        <f t="shared" si="50"/>
        <v>403.00867540837862</v>
      </c>
      <c r="N1045"/>
      <c r="P1045" s="1"/>
    </row>
    <row r="1046" spans="1:19" x14ac:dyDescent="0.3">
      <c r="A1046" s="1">
        <v>1162</v>
      </c>
      <c r="C1046" s="1" t="s">
        <v>15</v>
      </c>
      <c r="D1046" s="1">
        <v>24</v>
      </c>
      <c r="E1046" s="1">
        <v>23</v>
      </c>
      <c r="F1046" s="1">
        <v>30</v>
      </c>
      <c r="G1046" s="1">
        <v>0.4273124802256727</v>
      </c>
      <c r="H1046" s="1">
        <v>1.8213404373275173</v>
      </c>
      <c r="I1046" s="1">
        <v>1145.4024574639054</v>
      </c>
      <c r="K1046" s="1">
        <f t="shared" si="48"/>
        <v>0.49103677810413709</v>
      </c>
      <c r="L1046" s="1">
        <f t="shared" si="49"/>
        <v>0.89698006049052204</v>
      </c>
      <c r="M1046" s="1">
        <f t="shared" si="50"/>
        <v>563.40469906937119</v>
      </c>
      <c r="N1046"/>
      <c r="P1046" s="1"/>
    </row>
    <row r="1047" spans="1:19" x14ac:dyDescent="0.3">
      <c r="A1047" s="1">
        <v>1163</v>
      </c>
      <c r="C1047" s="1" t="s">
        <v>15</v>
      </c>
      <c r="D1047" s="1">
        <v>24</v>
      </c>
      <c r="E1047" s="1">
        <v>24</v>
      </c>
      <c r="F1047" s="1">
        <v>45</v>
      </c>
      <c r="G1047" s="1">
        <v>0.43280286821786912</v>
      </c>
      <c r="H1047" s="1">
        <v>1.8080129440123984</v>
      </c>
      <c r="I1047" s="1">
        <v>1249.3528480040634</v>
      </c>
      <c r="K1047" s="1">
        <f t="shared" si="48"/>
        <v>0.49734593722068327</v>
      </c>
      <c r="L1047" s="1">
        <f t="shared" si="49"/>
        <v>0.8904164903226498</v>
      </c>
      <c r="M1047" s="1">
        <f t="shared" si="50"/>
        <v>614.53619273675486</v>
      </c>
      <c r="N1047"/>
      <c r="P1047" s="1"/>
    </row>
    <row r="1048" spans="1:19" x14ac:dyDescent="0.3">
      <c r="A1048" s="1">
        <v>1164</v>
      </c>
      <c r="C1048" s="1" t="s">
        <v>15</v>
      </c>
      <c r="D1048" s="1">
        <v>24</v>
      </c>
      <c r="E1048" s="1">
        <v>25</v>
      </c>
      <c r="F1048" s="1">
        <v>0</v>
      </c>
      <c r="G1048" s="1">
        <v>0.39006918975521043</v>
      </c>
      <c r="H1048" s="1">
        <v>1.8879779039031124</v>
      </c>
      <c r="I1048" s="1">
        <v>460.07186085127734</v>
      </c>
      <c r="K1048" s="1">
        <f t="shared" si="48"/>
        <v>0.44823946652326752</v>
      </c>
      <c r="L1048" s="1">
        <f t="shared" si="49"/>
        <v>0.92979791132988387</v>
      </c>
      <c r="M1048" s="1">
        <f t="shared" si="50"/>
        <v>226.30180913625969</v>
      </c>
      <c r="N1048" s="1">
        <f>SLOPE(K1048:K1051,F1048:F1051)</f>
        <v>1.7417069759865791E-3</v>
      </c>
      <c r="O1048" s="1">
        <f>SLOPE(L1048:L1051,F1048:F1051)</f>
        <v>-5.9072131510850819E-4</v>
      </c>
      <c r="P1048" s="1">
        <f>SLOPE(M1048:M1051,F1048:F1051)</f>
        <v>16.118578730244188</v>
      </c>
      <c r="Q1048" s="1">
        <f>(N1048*41.35/0.31*60)/1000</f>
        <v>1.3939274217492591E-2</v>
      </c>
      <c r="R1048" s="1">
        <f>O1048*41.35/0.31*60/1000</f>
        <v>-4.7276760734974478E-3</v>
      </c>
      <c r="S1048" s="1">
        <f>(O1048*41.35/0.31*60)/1000</f>
        <v>-4.7276760734974478E-3</v>
      </c>
    </row>
    <row r="1049" spans="1:19" x14ac:dyDescent="0.3">
      <c r="A1049" s="1">
        <v>1165</v>
      </c>
      <c r="C1049" s="1" t="s">
        <v>15</v>
      </c>
      <c r="D1049" s="1">
        <v>24</v>
      </c>
      <c r="E1049" s="1">
        <v>26</v>
      </c>
      <c r="F1049" s="1">
        <v>15</v>
      </c>
      <c r="G1049" s="1">
        <v>0.41353417552428551</v>
      </c>
      <c r="H1049" s="1">
        <v>1.8646547906016542</v>
      </c>
      <c r="I1049" s="1">
        <v>1014.7581662712173</v>
      </c>
      <c r="K1049" s="1">
        <f t="shared" si="48"/>
        <v>0.47520374101443363</v>
      </c>
      <c r="L1049" s="1">
        <f t="shared" si="49"/>
        <v>0.91831166353610727</v>
      </c>
      <c r="M1049" s="1">
        <f t="shared" si="50"/>
        <v>499.14291310505462</v>
      </c>
      <c r="N1049"/>
      <c r="P1049" s="1"/>
    </row>
    <row r="1050" spans="1:19" x14ac:dyDescent="0.3">
      <c r="A1050" s="1">
        <v>1166</v>
      </c>
      <c r="C1050" s="1" t="s">
        <v>15</v>
      </c>
      <c r="D1050" s="1">
        <v>24</v>
      </c>
      <c r="E1050" s="1">
        <v>27</v>
      </c>
      <c r="F1050" s="1">
        <v>30</v>
      </c>
      <c r="G1050" s="1">
        <v>0.43840744105565715</v>
      </c>
      <c r="H1050" s="1">
        <v>1.8446635506289759</v>
      </c>
      <c r="I1050" s="1">
        <v>1541.5346189787606</v>
      </c>
      <c r="K1050" s="1">
        <f t="shared" si="48"/>
        <v>0.50378630935178514</v>
      </c>
      <c r="L1050" s="1">
        <f t="shared" si="49"/>
        <v>0.90846630828429886</v>
      </c>
      <c r="M1050" s="1">
        <f t="shared" si="50"/>
        <v>758.25561788452455</v>
      </c>
      <c r="N1050"/>
      <c r="P1050" s="1"/>
    </row>
    <row r="1051" spans="1:19" x14ac:dyDescent="0.3">
      <c r="A1051" s="1">
        <v>1167</v>
      </c>
      <c r="C1051" s="1" t="s">
        <v>15</v>
      </c>
      <c r="D1051" s="1">
        <v>24</v>
      </c>
      <c r="E1051" s="1">
        <v>28</v>
      </c>
      <c r="F1051" s="1">
        <v>45</v>
      </c>
      <c r="G1051" s="1">
        <v>0.45756194890364921</v>
      </c>
      <c r="H1051" s="1">
        <v>1.8346679306426366</v>
      </c>
      <c r="I1051" s="1">
        <v>1922.9342452892554</v>
      </c>
      <c r="K1051" s="1">
        <f t="shared" si="48"/>
        <v>0.52579729254347929</v>
      </c>
      <c r="L1051" s="1">
        <f t="shared" si="49"/>
        <v>0.9035436306583946</v>
      </c>
      <c r="M1051" s="1">
        <f t="shared" si="50"/>
        <v>945.85984405531258</v>
      </c>
      <c r="N1051"/>
      <c r="P1051" s="1"/>
    </row>
    <row r="1052" spans="1:19" x14ac:dyDescent="0.3">
      <c r="A1052" s="1">
        <v>1168</v>
      </c>
      <c r="C1052" s="1" t="s">
        <v>15</v>
      </c>
      <c r="D1052" s="1">
        <v>24</v>
      </c>
      <c r="E1052" s="1">
        <v>29</v>
      </c>
      <c r="F1052" s="1">
        <v>0</v>
      </c>
      <c r="G1052" s="1">
        <v>0.39323781922037754</v>
      </c>
      <c r="H1052" s="1">
        <v>1.8957522750035987</v>
      </c>
      <c r="I1052" s="1">
        <v>508.83404041090216</v>
      </c>
      <c r="K1052" s="1">
        <f t="shared" si="48"/>
        <v>0.45188062767718418</v>
      </c>
      <c r="L1052" s="1">
        <f t="shared" si="49"/>
        <v>0.93362666059447619</v>
      </c>
      <c r="M1052" s="1">
        <f t="shared" si="50"/>
        <v>250.28712619379954</v>
      </c>
      <c r="N1052" s="1">
        <f>SLOPE(K1052:K1055,F1052:F1055)</f>
        <v>1.9757764147298454E-3</v>
      </c>
      <c r="O1052" s="1">
        <f>SLOPE(L1052:L1055,F1052:F1055)</f>
        <v>-7.5481056930531976E-4</v>
      </c>
      <c r="P1052" s="1">
        <f>SLOPE(M1052:M1055,F1052:F1055)</f>
        <v>10.980947182889937</v>
      </c>
      <c r="Q1052" s="1">
        <f>(N1052*41.35/0.31*60)/1000</f>
        <v>1.5812584790144343E-2</v>
      </c>
      <c r="R1052" s="1">
        <f>O1052*41.35/0.31*60/1000</f>
        <v>-6.0409194272467688E-3</v>
      </c>
      <c r="S1052" s="1">
        <f>(O1052*41.35/0.31*60)/1000</f>
        <v>-6.0409194272467688E-3</v>
      </c>
    </row>
    <row r="1053" spans="1:19" x14ac:dyDescent="0.3">
      <c r="A1053" s="1">
        <v>1169</v>
      </c>
      <c r="C1053" s="1" t="s">
        <v>15</v>
      </c>
      <c r="D1053" s="1">
        <v>24</v>
      </c>
      <c r="E1053" s="1">
        <v>30</v>
      </c>
      <c r="F1053" s="1">
        <v>15</v>
      </c>
      <c r="G1053" s="1">
        <v>0.41843460848092529</v>
      </c>
      <c r="H1053" s="1">
        <v>1.8635441661587278</v>
      </c>
      <c r="I1053" s="1">
        <v>847.9905914563991</v>
      </c>
      <c r="K1053" s="1">
        <f t="shared" si="48"/>
        <v>0.48083496622244282</v>
      </c>
      <c r="L1053" s="1">
        <f t="shared" si="49"/>
        <v>0.91776469935545135</v>
      </c>
      <c r="M1053" s="1">
        <f t="shared" si="50"/>
        <v>417.11267588074486</v>
      </c>
      <c r="N1053"/>
      <c r="P1053" s="1"/>
    </row>
    <row r="1054" spans="1:19" x14ac:dyDescent="0.3">
      <c r="A1054" s="1">
        <v>1170</v>
      </c>
      <c r="C1054" s="1" t="s">
        <v>15</v>
      </c>
      <c r="D1054" s="1">
        <v>24</v>
      </c>
      <c r="E1054" s="1">
        <v>31</v>
      </c>
      <c r="F1054" s="1">
        <v>30</v>
      </c>
      <c r="G1054" s="1">
        <v>0.44614346434448854</v>
      </c>
      <c r="H1054" s="1">
        <v>1.8368891795284896</v>
      </c>
      <c r="I1054" s="1">
        <v>1204.2165073850947</v>
      </c>
      <c r="K1054" s="1">
        <f t="shared" si="48"/>
        <v>0.51267599108792394</v>
      </c>
      <c r="L1054" s="1">
        <f t="shared" si="49"/>
        <v>0.90463755901970666</v>
      </c>
      <c r="M1054" s="1">
        <f t="shared" si="50"/>
        <v>592.33436643735206</v>
      </c>
      <c r="N1054"/>
      <c r="P1054" s="1"/>
    </row>
    <row r="1055" spans="1:19" x14ac:dyDescent="0.3">
      <c r="A1055" s="1">
        <v>1171</v>
      </c>
      <c r="C1055" s="1" t="s">
        <v>15</v>
      </c>
      <c r="D1055" s="1">
        <v>24</v>
      </c>
      <c r="E1055" s="1">
        <v>32</v>
      </c>
      <c r="F1055" s="1">
        <v>45</v>
      </c>
      <c r="G1055" s="1">
        <v>0.46997003545793709</v>
      </c>
      <c r="H1055" s="1">
        <v>1.8280041839850771</v>
      </c>
      <c r="I1055" s="1">
        <v>1506.306035884631</v>
      </c>
      <c r="K1055" s="1">
        <f t="shared" si="48"/>
        <v>0.54005577345851608</v>
      </c>
      <c r="L1055" s="1">
        <f t="shared" si="49"/>
        <v>0.90026184557445843</v>
      </c>
      <c r="M1055" s="1">
        <f t="shared" si="50"/>
        <v>740.92725515276061</v>
      </c>
      <c r="N1055"/>
      <c r="P1055" s="1"/>
    </row>
    <row r="1056" spans="1:19" x14ac:dyDescent="0.3">
      <c r="A1056" s="1">
        <v>1172</v>
      </c>
      <c r="C1056" s="1" t="s">
        <v>15</v>
      </c>
      <c r="D1056" s="1">
        <v>24</v>
      </c>
      <c r="E1056" s="1">
        <v>33</v>
      </c>
      <c r="F1056" s="1">
        <v>0</v>
      </c>
      <c r="G1056" s="1">
        <v>0.38875606403090696</v>
      </c>
      <c r="H1056" s="1">
        <v>1.8768716594738466</v>
      </c>
      <c r="I1056" s="1">
        <v>440.80077207367015</v>
      </c>
      <c r="K1056" s="1">
        <f t="shared" si="48"/>
        <v>0.44673051685587861</v>
      </c>
      <c r="L1056" s="1">
        <f t="shared" si="49"/>
        <v>0.92432826952332359</v>
      </c>
      <c r="M1056" s="1">
        <f t="shared" si="50"/>
        <v>216.82267636267818</v>
      </c>
      <c r="N1056" s="1">
        <f>SLOPE(K1056:K1059,F1056:F1059)</f>
        <v>2.12018362686015E-3</v>
      </c>
      <c r="O1056" s="1">
        <f>SLOPE(L1056:L1059,F1056:F1059)</f>
        <v>-6.7823558401347128E-4</v>
      </c>
      <c r="P1056" s="1">
        <f>SLOPE(M1056:M1059,F1056:F1059)</f>
        <v>12.457590234916317</v>
      </c>
      <c r="Q1056" s="1">
        <f>(N1056*41.35/0.31*60)/1000</f>
        <v>1.6968308316903331E-2</v>
      </c>
      <c r="R1056" s="1">
        <f>O1056*41.35/0.31*60/1000</f>
        <v>-5.4280725288303943E-3</v>
      </c>
      <c r="S1056" s="1">
        <f>(O1056*41.35/0.31*60)/1000</f>
        <v>-5.4280725288303943E-3</v>
      </c>
    </row>
    <row r="1057" spans="1:19" x14ac:dyDescent="0.3">
      <c r="A1057" s="1">
        <v>1173</v>
      </c>
      <c r="C1057" s="1" t="s">
        <v>15</v>
      </c>
      <c r="D1057" s="1">
        <v>24</v>
      </c>
      <c r="E1057" s="1">
        <v>34</v>
      </c>
      <c r="F1057" s="1">
        <v>15</v>
      </c>
      <c r="G1057" s="1">
        <v>0.41669328958565338</v>
      </c>
      <c r="H1057" s="1">
        <v>1.8513272972865353</v>
      </c>
      <c r="I1057" s="1">
        <v>796.22906348243669</v>
      </c>
      <c r="K1057" s="1">
        <f t="shared" si="48"/>
        <v>0.47883396775047077</v>
      </c>
      <c r="L1057" s="1">
        <f t="shared" si="49"/>
        <v>0.91174809336823504</v>
      </c>
      <c r="M1057" s="1">
        <f t="shared" si="50"/>
        <v>391.65202848863805</v>
      </c>
      <c r="N1057"/>
      <c r="P1057" s="1"/>
    </row>
    <row r="1058" spans="1:19" x14ac:dyDescent="0.3">
      <c r="A1058" s="1">
        <v>1174</v>
      </c>
      <c r="C1058" s="1" t="s">
        <v>15</v>
      </c>
      <c r="D1058" s="1">
        <v>24</v>
      </c>
      <c r="E1058" s="1">
        <v>35</v>
      </c>
      <c r="F1058" s="1">
        <v>30</v>
      </c>
      <c r="G1058" s="1">
        <v>0.44612443353688985</v>
      </c>
      <c r="H1058" s="1">
        <v>1.841331677300196</v>
      </c>
      <c r="I1058" s="1">
        <v>1217.9462574339102</v>
      </c>
      <c r="K1058" s="1">
        <f t="shared" si="48"/>
        <v>0.51265412225216456</v>
      </c>
      <c r="L1058" s="1">
        <f t="shared" si="49"/>
        <v>0.90682541574233078</v>
      </c>
      <c r="M1058" s="1">
        <f t="shared" si="50"/>
        <v>599.0878054963863</v>
      </c>
      <c r="N1058"/>
      <c r="P1058" s="1"/>
    </row>
    <row r="1059" spans="1:19" x14ac:dyDescent="0.3">
      <c r="A1059" s="1">
        <v>1175</v>
      </c>
      <c r="C1059" s="1" t="s">
        <v>15</v>
      </c>
      <c r="D1059" s="1">
        <v>24</v>
      </c>
      <c r="E1059" s="1">
        <v>36</v>
      </c>
      <c r="F1059" s="1">
        <v>45</v>
      </c>
      <c r="G1059" s="1">
        <v>0.47119752254804681</v>
      </c>
      <c r="H1059" s="1">
        <v>1.8113448173411784</v>
      </c>
      <c r="I1059" s="1">
        <v>1566.5432000684791</v>
      </c>
      <c r="K1059" s="1">
        <f t="shared" si="48"/>
        <v>0.54146631336498818</v>
      </c>
      <c r="L1059" s="1">
        <f t="shared" si="49"/>
        <v>0.89205738286461811</v>
      </c>
      <c r="M1059" s="1">
        <f t="shared" si="50"/>
        <v>770.55692910591131</v>
      </c>
      <c r="N1059"/>
      <c r="P1059" s="1"/>
    </row>
    <row r="1060" spans="1:19" x14ac:dyDescent="0.3">
      <c r="A1060" s="1">
        <v>1176</v>
      </c>
      <c r="C1060" s="1" t="s">
        <v>15</v>
      </c>
      <c r="D1060" s="1">
        <v>24</v>
      </c>
      <c r="E1060" s="1">
        <v>37</v>
      </c>
      <c r="F1060" s="1">
        <v>0</v>
      </c>
      <c r="G1060" s="1">
        <v>0.3916772929972922</v>
      </c>
      <c r="H1060" s="1">
        <v>1.9046372705470112</v>
      </c>
      <c r="I1060" s="1">
        <v>601.15832800499345</v>
      </c>
      <c r="K1060" s="1">
        <f t="shared" si="48"/>
        <v>0.45008738314492486</v>
      </c>
      <c r="L1060" s="1">
        <f t="shared" si="49"/>
        <v>0.9380023740397242</v>
      </c>
      <c r="M1060" s="1">
        <f t="shared" si="50"/>
        <v>295.6999303394395</v>
      </c>
      <c r="N1060" s="1">
        <f>SLOPE(K1060:K1063,F1060:F1063)</f>
        <v>4.8074990610770807E-3</v>
      </c>
      <c r="O1060" s="1">
        <f>SLOPE(L1060:L1063,F1060:F1063)</f>
        <v>-7.8398199227364205E-4</v>
      </c>
      <c r="P1060" s="1">
        <f>SLOPE(M1060:M1063,F1060:F1063)</f>
        <v>14.171231297044136</v>
      </c>
      <c r="Q1060" s="1">
        <f>(N1060*41.35/0.31*60)/1000</f>
        <v>3.8475500550103993E-2</v>
      </c>
      <c r="R1060" s="1">
        <f>O1060*41.35/0.31*60/1000</f>
        <v>-6.2743849123577614E-3</v>
      </c>
      <c r="S1060" s="1">
        <f>(O1060*41.35/0.31*60)/1000</f>
        <v>-6.2743849123577614E-3</v>
      </c>
    </row>
    <row r="1061" spans="1:19" x14ac:dyDescent="0.3">
      <c r="A1061" s="1">
        <v>1177</v>
      </c>
      <c r="C1061" s="1" t="s">
        <v>15</v>
      </c>
      <c r="D1061" s="1">
        <v>24</v>
      </c>
      <c r="E1061" s="1">
        <v>38</v>
      </c>
      <c r="F1061" s="1">
        <v>15</v>
      </c>
      <c r="G1061" s="1">
        <v>0.44908372411847236</v>
      </c>
      <c r="H1061" s="1">
        <v>1.8657654150445808</v>
      </c>
      <c r="I1061" s="1">
        <v>908.13067963217566</v>
      </c>
      <c r="K1061" s="1">
        <f t="shared" si="48"/>
        <v>0.51605472621272941</v>
      </c>
      <c r="L1061" s="1">
        <f t="shared" si="49"/>
        <v>0.91885862771676341</v>
      </c>
      <c r="M1061" s="1">
        <f t="shared" si="50"/>
        <v>446.69459973631388</v>
      </c>
      <c r="N1061"/>
      <c r="P1061" s="1"/>
    </row>
    <row r="1062" spans="1:19" x14ac:dyDescent="0.3">
      <c r="A1062" s="1">
        <v>1178</v>
      </c>
      <c r="C1062" s="1" t="s">
        <v>15</v>
      </c>
      <c r="D1062" s="1">
        <v>24</v>
      </c>
      <c r="E1062" s="1">
        <v>39</v>
      </c>
      <c r="F1062" s="1">
        <v>30</v>
      </c>
      <c r="G1062" s="1">
        <v>0.53339020178027519</v>
      </c>
      <c r="H1062" s="1">
        <v>1.8602122928299478</v>
      </c>
      <c r="I1062" s="1">
        <v>1542.2051439829668</v>
      </c>
      <c r="K1062" s="1">
        <f t="shared" si="48"/>
        <v>0.61293366862624632</v>
      </c>
      <c r="L1062" s="1">
        <f t="shared" si="49"/>
        <v>0.91612380681348315</v>
      </c>
      <c r="M1062" s="1">
        <f t="shared" si="50"/>
        <v>758.58543814617281</v>
      </c>
      <c r="N1062"/>
      <c r="P1062" s="1"/>
    </row>
    <row r="1063" spans="1:19" x14ac:dyDescent="0.3">
      <c r="A1063" s="1">
        <v>1179</v>
      </c>
      <c r="C1063" s="1" t="s">
        <v>15</v>
      </c>
      <c r="D1063" s="1">
        <v>24</v>
      </c>
      <c r="E1063" s="1">
        <v>40</v>
      </c>
      <c r="F1063" s="1">
        <v>45</v>
      </c>
      <c r="G1063" s="1">
        <v>0.57275542729798146</v>
      </c>
      <c r="H1063" s="1">
        <v>1.8268935595421503</v>
      </c>
      <c r="I1063" s="1">
        <v>1830.3067202678887</v>
      </c>
      <c r="K1063" s="1">
        <f t="shared" si="48"/>
        <v>0.65816935539427324</v>
      </c>
      <c r="L1063" s="1">
        <f t="shared" si="49"/>
        <v>0.89971488139380218</v>
      </c>
      <c r="M1063" s="1">
        <f t="shared" si="50"/>
        <v>900.29788238835999</v>
      </c>
      <c r="N1063"/>
      <c r="P1063" s="1"/>
    </row>
    <row r="1064" spans="1:19" x14ac:dyDescent="0.3">
      <c r="A1064" s="1">
        <v>1180</v>
      </c>
      <c r="C1064" s="1" t="s">
        <v>15</v>
      </c>
      <c r="D1064" s="1">
        <v>24</v>
      </c>
      <c r="E1064" s="1">
        <v>41</v>
      </c>
      <c r="F1064" s="1">
        <v>0</v>
      </c>
      <c r="G1064" s="1">
        <v>0.38796628551556495</v>
      </c>
      <c r="H1064" s="1">
        <v>1.8724291617021405</v>
      </c>
      <c r="I1064" s="1">
        <v>428.37304147332077</v>
      </c>
      <c r="K1064" s="1">
        <f t="shared" si="48"/>
        <v>0.44582296017186929</v>
      </c>
      <c r="L1064" s="1">
        <f t="shared" si="49"/>
        <v>0.92214041280069969</v>
      </c>
      <c r="M1064" s="1">
        <f t="shared" si="50"/>
        <v>210.70967933409818</v>
      </c>
      <c r="N1064" s="1">
        <f>SLOPE(K1064:K1067,F1064:F1067)</f>
        <v>4.5268490021665959E-4</v>
      </c>
      <c r="O1064" s="1">
        <f>SLOPE(L1064:L1067,F1064:F1067)</f>
        <v>2.2243210013345098E-4</v>
      </c>
      <c r="P1064" s="1">
        <f>SLOPE(M1064:M1067,F1064:F1067)</f>
        <v>5.4832372364505941</v>
      </c>
      <c r="Q1064" s="1">
        <f>(N1064*41.35/0.31*60)/1000</f>
        <v>3.6229394756049429E-3</v>
      </c>
      <c r="R1064" s="1">
        <f>O1064*41.35/0.31*60/1000</f>
        <v>1.7801743239712641E-3</v>
      </c>
      <c r="S1064" s="1">
        <f>(O1064*41.35/0.31*60)/1000</f>
        <v>1.7801743239712641E-3</v>
      </c>
    </row>
    <row r="1065" spans="1:19" x14ac:dyDescent="0.3">
      <c r="A1065" s="1">
        <v>1181</v>
      </c>
      <c r="C1065" s="1" t="s">
        <v>15</v>
      </c>
      <c r="D1065" s="1">
        <v>24</v>
      </c>
      <c r="E1065" s="1">
        <v>42</v>
      </c>
      <c r="F1065" s="1">
        <v>15</v>
      </c>
      <c r="G1065" s="1">
        <v>0.40196344450433613</v>
      </c>
      <c r="H1065" s="1">
        <v>1.8602122928299478</v>
      </c>
      <c r="I1065" s="1">
        <v>737.8423481534802</v>
      </c>
      <c r="K1065" s="1">
        <f t="shared" si="48"/>
        <v>0.46190748887280431</v>
      </c>
      <c r="L1065" s="1">
        <f t="shared" si="49"/>
        <v>0.91612380681348315</v>
      </c>
      <c r="M1065" s="1">
        <f t="shared" si="50"/>
        <v>362.93256000382701</v>
      </c>
      <c r="N1065"/>
      <c r="P1065" s="1"/>
    </row>
    <row r="1066" spans="1:19" x14ac:dyDescent="0.3">
      <c r="A1066" s="1">
        <v>1182</v>
      </c>
      <c r="C1066" s="1" t="s">
        <v>15</v>
      </c>
      <c r="D1066" s="1">
        <v>24</v>
      </c>
      <c r="E1066" s="1">
        <v>43</v>
      </c>
      <c r="F1066" s="1">
        <v>30</v>
      </c>
      <c r="G1066" s="1">
        <v>0.40404731793638288</v>
      </c>
      <c r="H1066" s="1">
        <v>1.8946416505606722</v>
      </c>
      <c r="I1066" s="1">
        <v>874.39226330112581</v>
      </c>
      <c r="K1066" s="1">
        <f t="shared" si="48"/>
        <v>0.46430212638844309</v>
      </c>
      <c r="L1066" s="1">
        <f t="shared" si="49"/>
        <v>0.93307969641382027</v>
      </c>
      <c r="M1066" s="1">
        <f t="shared" si="50"/>
        <v>430.09922561588485</v>
      </c>
      <c r="N1066"/>
      <c r="P1066" s="1"/>
    </row>
    <row r="1067" spans="1:19" x14ac:dyDescent="0.3">
      <c r="A1067" s="1">
        <v>1183</v>
      </c>
      <c r="C1067" s="1" t="s">
        <v>15</v>
      </c>
      <c r="D1067" s="1">
        <v>24</v>
      </c>
      <c r="E1067" s="1">
        <v>44</v>
      </c>
      <c r="F1067" s="1">
        <v>45</v>
      </c>
      <c r="G1067" s="1">
        <v>0.40696854690276812</v>
      </c>
      <c r="H1067" s="1">
        <v>1.8835354061314062</v>
      </c>
      <c r="I1067" s="1">
        <v>940.22781087830242</v>
      </c>
      <c r="K1067" s="1">
        <f t="shared" si="48"/>
        <v>0.46765899267748934</v>
      </c>
      <c r="L1067" s="1">
        <f t="shared" si="49"/>
        <v>0.92761005460725987</v>
      </c>
      <c r="M1067" s="1">
        <f t="shared" si="50"/>
        <v>462.48265261927531</v>
      </c>
      <c r="N1067"/>
      <c r="P1067" s="1"/>
    </row>
    <row r="1068" spans="1:19" x14ac:dyDescent="0.3">
      <c r="A1068" s="1">
        <v>1184</v>
      </c>
      <c r="C1068" s="1" t="s">
        <v>15</v>
      </c>
      <c r="D1068" s="1">
        <v>24</v>
      </c>
      <c r="E1068" s="1">
        <v>45</v>
      </c>
      <c r="F1068" s="1">
        <v>0</v>
      </c>
      <c r="G1068" s="1">
        <v>0.3942179058117054</v>
      </c>
      <c r="H1068" s="1">
        <v>1.9201860127479835</v>
      </c>
      <c r="I1068" s="1">
        <v>464.894636963621</v>
      </c>
      <c r="K1068" s="1">
        <f t="shared" si="48"/>
        <v>0.45300687271878587</v>
      </c>
      <c r="L1068" s="1">
        <f t="shared" si="49"/>
        <v>0.94565987256890882</v>
      </c>
      <c r="M1068" s="1">
        <f t="shared" si="50"/>
        <v>228.67405367489127</v>
      </c>
      <c r="N1068" s="1">
        <f>SLOPE(K1068:K1071,F1068:F1071)</f>
        <v>2.9733598059480406E-3</v>
      </c>
      <c r="O1068" s="1">
        <f>SLOPE(L1068:L1071,F1068:F1071)</f>
        <v>-1.6190139747418483E-3</v>
      </c>
      <c r="P1068" s="1">
        <f>SLOPE(M1068:M1071,F1068:F1071)</f>
        <v>9.7970663786359076</v>
      </c>
      <c r="Q1068" s="1">
        <f>(N1068*41.35/0.31*60)/1000</f>
        <v>2.3796469930829321E-2</v>
      </c>
      <c r="R1068" s="1">
        <f>O1068*41.35/0.31*60/1000</f>
        <v>-1.2957334423659759E-2</v>
      </c>
      <c r="S1068" s="1">
        <f>(O1068*41.35/0.31*60)/1000</f>
        <v>-1.2957334423659759E-2</v>
      </c>
    </row>
    <row r="1069" spans="1:19" x14ac:dyDescent="0.3">
      <c r="A1069" s="1">
        <v>1185</v>
      </c>
      <c r="C1069" s="1" t="s">
        <v>15</v>
      </c>
      <c r="D1069" s="1">
        <v>24</v>
      </c>
      <c r="E1069" s="1">
        <v>46</v>
      </c>
      <c r="F1069" s="1">
        <v>15</v>
      </c>
      <c r="G1069" s="1">
        <v>0.43840744105565715</v>
      </c>
      <c r="H1069" s="1">
        <v>1.843552926186049</v>
      </c>
      <c r="I1069" s="1">
        <v>862.7991862134752</v>
      </c>
      <c r="K1069" s="1">
        <f t="shared" si="48"/>
        <v>0.50378630935178514</v>
      </c>
      <c r="L1069" s="1">
        <f t="shared" si="49"/>
        <v>0.90791934410364261</v>
      </c>
      <c r="M1069" s="1">
        <f t="shared" si="50"/>
        <v>424.39678097270001</v>
      </c>
      <c r="N1069"/>
      <c r="P1069" s="1"/>
    </row>
    <row r="1070" spans="1:19" x14ac:dyDescent="0.3">
      <c r="A1070" s="1">
        <v>1186</v>
      </c>
      <c r="C1070" s="1" t="s">
        <v>15</v>
      </c>
      <c r="D1070" s="1">
        <v>24</v>
      </c>
      <c r="E1070" s="1">
        <v>47</v>
      </c>
      <c r="F1070" s="1">
        <v>30</v>
      </c>
      <c r="G1070" s="1">
        <v>0.48103645007652363</v>
      </c>
      <c r="H1070" s="1">
        <v>1.8002385729119126</v>
      </c>
      <c r="I1070" s="1">
        <v>1157.5659811969256</v>
      </c>
      <c r="K1070" s="1">
        <f t="shared" si="48"/>
        <v>0.5527725014525251</v>
      </c>
      <c r="L1070" s="1">
        <f t="shared" si="49"/>
        <v>0.88658774105805771</v>
      </c>
      <c r="M1070" s="1">
        <f t="shared" si="50"/>
        <v>569.38773706948075</v>
      </c>
      <c r="N1070"/>
      <c r="P1070" s="1"/>
    </row>
    <row r="1071" spans="1:19" x14ac:dyDescent="0.3">
      <c r="A1071" s="1">
        <v>1187</v>
      </c>
      <c r="C1071" s="1" t="s">
        <v>15</v>
      </c>
      <c r="D1071" s="1">
        <v>24</v>
      </c>
      <c r="E1071" s="1">
        <v>48</v>
      </c>
      <c r="F1071" s="1">
        <v>45</v>
      </c>
      <c r="G1071" s="1">
        <v>0.5093828379946399</v>
      </c>
      <c r="H1071" s="1">
        <v>1.7702517129528945</v>
      </c>
      <c r="I1071" s="1">
        <v>1362.5114483407926</v>
      </c>
      <c r="K1071" s="1">
        <f t="shared" si="48"/>
        <v>0.58534613231594124</v>
      </c>
      <c r="L1071" s="1">
        <f t="shared" si="49"/>
        <v>0.87181970818034471</v>
      </c>
      <c r="M1071" s="1">
        <f t="shared" si="50"/>
        <v>670.19705390775971</v>
      </c>
      <c r="N1071"/>
      <c r="P1071" s="1"/>
    </row>
    <row r="1072" spans="1:19" x14ac:dyDescent="0.3">
      <c r="A1072" s="1">
        <v>1188</v>
      </c>
      <c r="C1072" s="1" t="s">
        <v>15</v>
      </c>
      <c r="D1072" s="1">
        <v>24</v>
      </c>
      <c r="E1072" s="1">
        <v>49</v>
      </c>
      <c r="F1072" s="1">
        <v>0</v>
      </c>
      <c r="G1072" s="1">
        <v>0.3893079574512664</v>
      </c>
      <c r="H1072" s="1">
        <v>1.9201860127479835</v>
      </c>
      <c r="I1072" s="1">
        <v>435.22640748646239</v>
      </c>
      <c r="K1072" s="1">
        <f t="shared" si="48"/>
        <v>0.44736471309289716</v>
      </c>
      <c r="L1072" s="1">
        <f t="shared" si="49"/>
        <v>0.94565987256890882</v>
      </c>
      <c r="M1072" s="1">
        <f t="shared" si="50"/>
        <v>214.08073776957215</v>
      </c>
      <c r="N1072" s="1">
        <f>SLOPE(K1072:K1075,F1072:F1075)</f>
        <v>1.4598905791689256E-3</v>
      </c>
      <c r="O1072" s="1">
        <f>SLOPE(L1072:L1075,F1072:F1075)</f>
        <v>-1.2179069089274302E-3</v>
      </c>
      <c r="P1072" s="1">
        <f>SLOPE(M1072:M1075,F1072:F1075)</f>
        <v>10.919154290287194</v>
      </c>
      <c r="Q1072" s="1">
        <f>(N1072*41.35/0.31*60)/1000</f>
        <v>1.1683833957800337E-2</v>
      </c>
      <c r="R1072" s="1">
        <f>O1072*41.35/0.31*60/1000</f>
        <v>-9.7471840033837246E-3</v>
      </c>
      <c r="S1072" s="1">
        <f>(O1072*41.35/0.31*60)/1000</f>
        <v>-9.7471840033837246E-3</v>
      </c>
    </row>
    <row r="1073" spans="1:19" x14ac:dyDescent="0.3">
      <c r="A1073" s="1">
        <v>1189</v>
      </c>
      <c r="C1073" s="1" t="s">
        <v>15</v>
      </c>
      <c r="D1073" s="1">
        <v>24</v>
      </c>
      <c r="E1073" s="1">
        <v>50</v>
      </c>
      <c r="F1073" s="1">
        <v>15</v>
      </c>
      <c r="G1073" s="1">
        <v>0.41042263848191424</v>
      </c>
      <c r="H1073" s="1">
        <v>1.8513272972865353</v>
      </c>
      <c r="I1073" s="1">
        <v>839.2497475955962</v>
      </c>
      <c r="K1073" s="1">
        <f t="shared" si="48"/>
        <v>0.47162818636779485</v>
      </c>
      <c r="L1073" s="1">
        <f t="shared" si="49"/>
        <v>0.91174809336823504</v>
      </c>
      <c r="M1073" s="1">
        <f t="shared" si="50"/>
        <v>412.81319802218337</v>
      </c>
      <c r="N1073"/>
      <c r="P1073" s="1"/>
    </row>
    <row r="1074" spans="1:19" x14ac:dyDescent="0.3">
      <c r="A1074" s="1">
        <v>1190</v>
      </c>
      <c r="C1074" s="1" t="s">
        <v>15</v>
      </c>
      <c r="D1074" s="1">
        <v>24</v>
      </c>
      <c r="E1074" s="1">
        <v>51</v>
      </c>
      <c r="F1074" s="1">
        <v>30</v>
      </c>
      <c r="G1074" s="1">
        <v>0.43025273999965663</v>
      </c>
      <c r="H1074" s="1">
        <v>1.8268935595421503</v>
      </c>
      <c r="I1074" s="1">
        <v>1166.9823539798767</v>
      </c>
      <c r="K1074" s="1">
        <f t="shared" si="48"/>
        <v>0.49441551322894273</v>
      </c>
      <c r="L1074" s="1">
        <f t="shared" si="49"/>
        <v>0.89971488139380218</v>
      </c>
      <c r="M1074" s="1">
        <f t="shared" si="50"/>
        <v>574.01949653492682</v>
      </c>
      <c r="N1074"/>
      <c r="P1074" s="1"/>
    </row>
    <row r="1075" spans="1:19" x14ac:dyDescent="0.3">
      <c r="A1075" s="1">
        <v>1191</v>
      </c>
      <c r="C1075" s="1" t="s">
        <v>15</v>
      </c>
      <c r="D1075" s="1">
        <v>24</v>
      </c>
      <c r="E1075" s="1">
        <v>52</v>
      </c>
      <c r="F1075" s="1">
        <v>45</v>
      </c>
      <c r="G1075" s="1">
        <v>0.44621958757488289</v>
      </c>
      <c r="H1075" s="1">
        <v>1.8046810706836185</v>
      </c>
      <c r="I1075" s="1">
        <v>1435.9149214132051</v>
      </c>
      <c r="K1075" s="1">
        <f t="shared" si="48"/>
        <v>0.51276346643096082</v>
      </c>
      <c r="L1075" s="1">
        <f t="shared" si="49"/>
        <v>0.8887755977806816</v>
      </c>
      <c r="M1075" s="1">
        <f t="shared" si="50"/>
        <v>706.30301944635073</v>
      </c>
      <c r="N1075"/>
      <c r="P1075" s="1"/>
    </row>
    <row r="1076" spans="1:19" x14ac:dyDescent="0.3">
      <c r="A1076" s="1">
        <v>1192</v>
      </c>
      <c r="C1076" s="1" t="s">
        <v>15</v>
      </c>
      <c r="D1076" s="1">
        <v>24</v>
      </c>
      <c r="E1076" s="1">
        <v>53</v>
      </c>
      <c r="F1076" s="1">
        <v>0</v>
      </c>
      <c r="G1076" s="1">
        <v>0.39491253028905438</v>
      </c>
      <c r="H1076" s="1">
        <v>1.8957522750035987</v>
      </c>
      <c r="I1076" s="1">
        <v>426.93291388965974</v>
      </c>
      <c r="K1076" s="1">
        <f t="shared" si="48"/>
        <v>0.45380508522399887</v>
      </c>
      <c r="L1076" s="1">
        <f t="shared" si="49"/>
        <v>0.93362666059447619</v>
      </c>
      <c r="M1076" s="1">
        <f t="shared" si="50"/>
        <v>210.00130417512523</v>
      </c>
      <c r="N1076" s="1">
        <f>SLOPE(K1076:K1079,F1076:F1079)</f>
        <v>7.7453584569759232E-3</v>
      </c>
      <c r="O1076" s="1">
        <f>SLOPE(L1076:L1079,F1076:F1079)</f>
        <v>-1.3200068893165517E-3</v>
      </c>
      <c r="P1076" s="1">
        <f>SLOPE(M1076:M1079,F1076:F1079)</f>
        <v>10.734815941065452</v>
      </c>
      <c r="Q1076" s="1">
        <f>(N1076*41.35/0.31*60)/1000</f>
        <v>6.1987852683087964E-2</v>
      </c>
      <c r="R1076" s="1">
        <f>O1076*41.35/0.31*60/1000</f>
        <v>-1.0564313201272144E-2</v>
      </c>
      <c r="S1076" s="1">
        <f>(O1076*41.35/0.31*60)/1000</f>
        <v>-1.0564313201272144E-2</v>
      </c>
    </row>
    <row r="1077" spans="1:19" x14ac:dyDescent="0.3">
      <c r="A1077" s="1">
        <v>1193</v>
      </c>
      <c r="C1077" s="1" t="s">
        <v>15</v>
      </c>
      <c r="D1077" s="1">
        <v>24</v>
      </c>
      <c r="E1077" s="1">
        <v>54</v>
      </c>
      <c r="F1077" s="1">
        <v>15</v>
      </c>
      <c r="G1077" s="1">
        <v>0.50554813026352174</v>
      </c>
      <c r="H1077" s="1">
        <v>1.849106048400682</v>
      </c>
      <c r="I1077" s="1">
        <v>794.71487791323636</v>
      </c>
      <c r="K1077" s="1">
        <f t="shared" si="48"/>
        <v>0.58093956191045049</v>
      </c>
      <c r="L1077" s="1">
        <f t="shared" si="49"/>
        <v>0.91065416500692298</v>
      </c>
      <c r="M1077" s="1">
        <f t="shared" si="50"/>
        <v>390.90722542016954</v>
      </c>
      <c r="N1077"/>
      <c r="P1077" s="1"/>
    </row>
    <row r="1078" spans="1:19" x14ac:dyDescent="0.3">
      <c r="A1078" s="1">
        <v>1194</v>
      </c>
      <c r="C1078" s="1" t="s">
        <v>15</v>
      </c>
      <c r="D1078" s="1">
        <v>24</v>
      </c>
      <c r="E1078" s="1">
        <v>55</v>
      </c>
      <c r="F1078" s="1">
        <v>30</v>
      </c>
      <c r="G1078" s="1">
        <v>0.60387079772169427</v>
      </c>
      <c r="H1078" s="1">
        <v>1.8168979395558111</v>
      </c>
      <c r="I1078" s="1">
        <v>1095.2812137912774</v>
      </c>
      <c r="K1078" s="1">
        <f t="shared" si="48"/>
        <v>0.69392490186066158</v>
      </c>
      <c r="L1078" s="1">
        <f t="shared" si="49"/>
        <v>0.89479220376789814</v>
      </c>
      <c r="M1078" s="1">
        <f t="shared" si="50"/>
        <v>538.75088064568456</v>
      </c>
      <c r="N1078"/>
      <c r="P1078" s="1"/>
    </row>
    <row r="1079" spans="1:19" x14ac:dyDescent="0.3">
      <c r="A1079" s="1">
        <v>1195</v>
      </c>
      <c r="C1079" s="1" t="s">
        <v>15</v>
      </c>
      <c r="D1079" s="1">
        <v>24</v>
      </c>
      <c r="E1079" s="1">
        <v>56</v>
      </c>
      <c r="F1079" s="1">
        <v>45</v>
      </c>
      <c r="G1079" s="1">
        <v>0.69914853596409066</v>
      </c>
      <c r="H1079" s="1">
        <v>1.7724729618387478</v>
      </c>
      <c r="I1079" s="1">
        <v>1417.9388465989455</v>
      </c>
      <c r="K1079" s="1">
        <f t="shared" si="48"/>
        <v>0.80341122808939136</v>
      </c>
      <c r="L1079" s="1">
        <f t="shared" si="49"/>
        <v>0.87291363654165688</v>
      </c>
      <c r="M1079" s="1">
        <f t="shared" si="50"/>
        <v>697.46088281989284</v>
      </c>
      <c r="N1079"/>
      <c r="P1079" s="1"/>
    </row>
    <row r="1080" spans="1:19" x14ac:dyDescent="0.3">
      <c r="A1080" s="1">
        <v>1196</v>
      </c>
      <c r="C1080" s="1" t="s">
        <v>15</v>
      </c>
      <c r="D1080" s="1">
        <v>24</v>
      </c>
      <c r="E1080" s="1">
        <v>57</v>
      </c>
      <c r="F1080" s="1">
        <v>0</v>
      </c>
      <c r="G1080" s="1">
        <v>0.39038319808058736</v>
      </c>
      <c r="H1080" s="1">
        <v>1.8713185372592136</v>
      </c>
      <c r="I1080" s="1">
        <v>419.03773216102746</v>
      </c>
      <c r="K1080" s="1">
        <f t="shared" si="48"/>
        <v>0.44860030231329528</v>
      </c>
      <c r="L1080" s="1">
        <f t="shared" si="49"/>
        <v>0.92159344862004344</v>
      </c>
      <c r="M1080" s="1">
        <f t="shared" si="50"/>
        <v>206.11779366147832</v>
      </c>
      <c r="N1080" s="1">
        <f>SLOPE(K1080:K1083,F1080:F1083)</f>
        <v>1.3452249836712134E-3</v>
      </c>
      <c r="O1080" s="1">
        <f>SLOPE(L1080:L1083,F1080:F1083)</f>
        <v>-5.3967132491394842E-4</v>
      </c>
      <c r="P1080" s="1">
        <f>SLOPE(M1080:M1083,F1080:F1083)</f>
        <v>14.326319019479095</v>
      </c>
      <c r="Q1080" s="1">
        <f>(N1080*41.35/0.31*60)/1000</f>
        <v>1.0766139304800906E-2</v>
      </c>
      <c r="R1080" s="1">
        <f>O1080*41.35/0.31*60/1000</f>
        <v>-4.3191114745532461E-3</v>
      </c>
      <c r="S1080" s="1">
        <f>(O1080*41.35/0.31*60)/1000</f>
        <v>-4.3191114745532461E-3</v>
      </c>
    </row>
    <row r="1081" spans="1:19" x14ac:dyDescent="0.3">
      <c r="A1081" s="1">
        <v>1197</v>
      </c>
      <c r="C1081" s="1" t="s">
        <v>15</v>
      </c>
      <c r="D1081" s="1">
        <v>24</v>
      </c>
      <c r="E1081" s="1">
        <v>58</v>
      </c>
      <c r="F1081" s="1">
        <v>15</v>
      </c>
      <c r="G1081" s="1">
        <v>0.42760745774345105</v>
      </c>
      <c r="H1081" s="1">
        <v>1.8568804195011683</v>
      </c>
      <c r="I1081" s="1">
        <v>892.10513203164464</v>
      </c>
      <c r="K1081" s="1">
        <f t="shared" si="48"/>
        <v>0.49137574505840564</v>
      </c>
      <c r="L1081" s="1">
        <f t="shared" si="49"/>
        <v>0.91448291427151518</v>
      </c>
      <c r="M1081" s="1">
        <f t="shared" si="50"/>
        <v>438.81189548291951</v>
      </c>
      <c r="N1081"/>
      <c r="P1081" s="1"/>
    </row>
    <row r="1082" spans="1:19" x14ac:dyDescent="0.3">
      <c r="A1082" s="1">
        <v>1198</v>
      </c>
      <c r="C1082" s="1" t="s">
        <v>15</v>
      </c>
      <c r="D1082" s="1">
        <v>24</v>
      </c>
      <c r="E1082" s="1">
        <v>59</v>
      </c>
      <c r="F1082" s="1">
        <v>30</v>
      </c>
      <c r="G1082" s="1">
        <v>0.42830208222080002</v>
      </c>
      <c r="H1082" s="1">
        <v>1.8291148084280036</v>
      </c>
      <c r="I1082" s="1">
        <v>1310.0773937954466</v>
      </c>
      <c r="K1082" s="1">
        <f t="shared" si="48"/>
        <v>0.49217395756361865</v>
      </c>
      <c r="L1082" s="1">
        <f t="shared" si="49"/>
        <v>0.90080880975511446</v>
      </c>
      <c r="M1082" s="1">
        <f t="shared" si="50"/>
        <v>644.40560171590982</v>
      </c>
      <c r="N1082"/>
      <c r="P1082" s="1"/>
    </row>
    <row r="1083" spans="1:19" x14ac:dyDescent="0.3">
      <c r="A1083" s="1">
        <v>1199</v>
      </c>
      <c r="C1083" s="1" t="s">
        <v>15</v>
      </c>
      <c r="D1083" s="1">
        <v>24</v>
      </c>
      <c r="E1083" s="1">
        <v>60</v>
      </c>
      <c r="F1083" s="1">
        <v>45</v>
      </c>
      <c r="G1083" s="1">
        <v>0.44868407715890174</v>
      </c>
      <c r="H1083" s="1">
        <v>1.8257829350992236</v>
      </c>
      <c r="I1083" s="1">
        <v>1735.9848686314156</v>
      </c>
      <c r="K1083" s="1">
        <f t="shared" si="48"/>
        <v>0.51559548066178496</v>
      </c>
      <c r="L1083" s="1">
        <f t="shared" si="49"/>
        <v>0.89916791721314626</v>
      </c>
      <c r="M1083" s="1">
        <f t="shared" si="50"/>
        <v>853.90250922443636</v>
      </c>
      <c r="N1083"/>
      <c r="P1083" s="1"/>
    </row>
    <row r="1084" spans="1:19" x14ac:dyDescent="0.3">
      <c r="A1084" s="1">
        <v>1200</v>
      </c>
      <c r="C1084" s="1" t="s">
        <v>15</v>
      </c>
      <c r="D1084" s="1">
        <v>24</v>
      </c>
      <c r="E1084" s="1">
        <v>61</v>
      </c>
      <c r="F1084" s="1">
        <v>0</v>
      </c>
      <c r="G1084" s="1">
        <v>0.39460803736747679</v>
      </c>
      <c r="H1084" s="1">
        <v>2.3855376543342226</v>
      </c>
      <c r="I1084" s="1">
        <v>437.17793548377932</v>
      </c>
      <c r="K1084" s="1">
        <f t="shared" si="48"/>
        <v>0.45345518385185074</v>
      </c>
      <c r="L1084" s="1">
        <f t="shared" si="49"/>
        <v>1.1748378642637853</v>
      </c>
      <c r="M1084" s="1">
        <f t="shared" si="50"/>
        <v>215.04066241168292</v>
      </c>
      <c r="N1084" s="1">
        <f>SLOPE(K1084:K1087,F1084:F1087)</f>
        <v>1.3727797167278788E-3</v>
      </c>
      <c r="O1084" s="1">
        <f>SLOPE(L1084:L1087,F1084:F1087)</f>
        <v>-5.1414632981666795E-3</v>
      </c>
      <c r="P1084" s="1">
        <f>SLOPE(M1084:M1087,F1084:F1087)</f>
        <v>9.4808655606278052</v>
      </c>
      <c r="Q1084" s="1">
        <f>(N1084*41.35/0.31*60)/1000</f>
        <v>1.0986666055489895E-2</v>
      </c>
      <c r="R1084" s="1">
        <f>O1084*41.35/0.31*60/1000</f>
        <v>-4.1148291750811396E-2</v>
      </c>
      <c r="S1084" s="1">
        <f>(O1084*41.35/0.31*60)/1000</f>
        <v>-4.1148291750811396E-2</v>
      </c>
    </row>
    <row r="1085" spans="1:19" x14ac:dyDescent="0.3">
      <c r="A1085" s="1">
        <v>1201</v>
      </c>
      <c r="C1085" s="1" t="s">
        <v>15</v>
      </c>
      <c r="D1085" s="1">
        <v>24</v>
      </c>
      <c r="E1085" s="1">
        <v>62</v>
      </c>
      <c r="F1085" s="1">
        <v>15</v>
      </c>
      <c r="G1085" s="1">
        <v>0.39226724803284879</v>
      </c>
      <c r="H1085" s="1">
        <v>1.8846460305743329</v>
      </c>
      <c r="I1085" s="1">
        <v>472.3604825328436</v>
      </c>
      <c r="K1085" s="1">
        <f t="shared" si="48"/>
        <v>0.45076531705346179</v>
      </c>
      <c r="L1085" s="1">
        <f t="shared" si="49"/>
        <v>0.92815701878791601</v>
      </c>
      <c r="M1085" s="1">
        <f t="shared" si="50"/>
        <v>232.34638076727381</v>
      </c>
      <c r="N1085"/>
      <c r="P1085" s="1"/>
    </row>
    <row r="1086" spans="1:19" x14ac:dyDescent="0.3">
      <c r="A1086" s="1">
        <v>1202</v>
      </c>
      <c r="C1086" s="1" t="s">
        <v>15</v>
      </c>
      <c r="D1086" s="1">
        <v>24</v>
      </c>
      <c r="E1086" s="1">
        <v>63</v>
      </c>
      <c r="F1086" s="1">
        <v>30</v>
      </c>
      <c r="G1086" s="1">
        <v>0.42162226875369097</v>
      </c>
      <c r="H1086" s="1">
        <v>1.8846460305743329</v>
      </c>
      <c r="I1086" s="1">
        <v>899.24972606900121</v>
      </c>
      <c r="K1086" s="1">
        <f t="shared" si="48"/>
        <v>0.4844979962121187</v>
      </c>
      <c r="L1086" s="1">
        <f t="shared" si="49"/>
        <v>0.92815701878791601</v>
      </c>
      <c r="M1086" s="1">
        <f t="shared" si="50"/>
        <v>442.32620421113921</v>
      </c>
      <c r="N1086"/>
      <c r="P1086" s="1"/>
    </row>
    <row r="1087" spans="1:19" x14ac:dyDescent="0.3">
      <c r="A1087" s="1">
        <v>1203</v>
      </c>
      <c r="C1087" s="1" t="s">
        <v>15</v>
      </c>
      <c r="D1087" s="1">
        <v>24</v>
      </c>
      <c r="E1087" s="1">
        <v>64</v>
      </c>
      <c r="F1087" s="1">
        <v>45</v>
      </c>
      <c r="G1087" s="1">
        <v>0.44455439191000529</v>
      </c>
      <c r="H1087" s="1">
        <v>1.8635441661587278</v>
      </c>
      <c r="I1087" s="1">
        <v>1258.6120977636408</v>
      </c>
      <c r="K1087" s="1">
        <f t="shared" si="48"/>
        <v>0.51084994330202571</v>
      </c>
      <c r="L1087" s="1">
        <f t="shared" si="49"/>
        <v>0.91776469935545135</v>
      </c>
      <c r="M1087" s="1">
        <f t="shared" si="50"/>
        <v>619.09066596178468</v>
      </c>
      <c r="N1087"/>
      <c r="P1087" s="1"/>
    </row>
    <row r="1088" spans="1:19" x14ac:dyDescent="0.3">
      <c r="A1088" s="1">
        <v>1204</v>
      </c>
      <c r="C1088" s="1" t="s">
        <v>15</v>
      </c>
      <c r="D1088" s="1">
        <v>24</v>
      </c>
      <c r="E1088" s="1">
        <v>65</v>
      </c>
      <c r="F1088" s="1">
        <v>0</v>
      </c>
      <c r="G1088" s="1">
        <v>0.38813756278395239</v>
      </c>
      <c r="H1088" s="1">
        <v>1.9101903927616442</v>
      </c>
      <c r="I1088" s="1">
        <v>421.89597008940547</v>
      </c>
      <c r="K1088" s="1">
        <f t="shared" si="48"/>
        <v>0.44601977969370271</v>
      </c>
      <c r="L1088" s="1">
        <f t="shared" si="49"/>
        <v>0.94073719494300456</v>
      </c>
      <c r="M1088" s="1">
        <f t="shared" si="50"/>
        <v>207.52371406038512</v>
      </c>
      <c r="N1088" s="1">
        <f>SLOPE(K1088:K1091,F1088:F1091)</f>
        <v>1.321606641051212E-3</v>
      </c>
      <c r="O1088" s="1">
        <f>SLOPE(L1088:L1091,F1088:F1091)</f>
        <v>-7.2928557420804058E-4</v>
      </c>
      <c r="P1088" s="1">
        <f>SLOPE(M1088:M1091,F1088:F1091)</f>
        <v>13.086962775395182</v>
      </c>
      <c r="Q1088" s="1">
        <f>(N1088*41.35/0.31*60)/1000</f>
        <v>1.0577116375638894E-2</v>
      </c>
      <c r="R1088" s="1">
        <f>O1088*41.35/0.31*60/1000</f>
        <v>-5.8366371277746741E-3</v>
      </c>
      <c r="S1088" s="1">
        <f>(O1088*41.35/0.31*60)/1000</f>
        <v>-5.8366371277746741E-3</v>
      </c>
    </row>
    <row r="1089" spans="1:19" x14ac:dyDescent="0.3">
      <c r="A1089" s="1">
        <v>1205</v>
      </c>
      <c r="C1089" s="1" t="s">
        <v>15</v>
      </c>
      <c r="D1089" s="1">
        <v>24</v>
      </c>
      <c r="E1089" s="1">
        <v>66</v>
      </c>
      <c r="F1089" s="1">
        <v>15</v>
      </c>
      <c r="G1089" s="1">
        <v>0.40409489495537937</v>
      </c>
      <c r="H1089" s="1">
        <v>1.881314157245553</v>
      </c>
      <c r="I1089" s="1">
        <v>853.80714567199198</v>
      </c>
      <c r="K1089" s="1">
        <f t="shared" si="48"/>
        <v>0.46435679847784123</v>
      </c>
      <c r="L1089" s="1">
        <f t="shared" si="49"/>
        <v>0.9265161262459477</v>
      </c>
      <c r="M1089" s="1">
        <f t="shared" si="50"/>
        <v>419.97374358328216</v>
      </c>
      <c r="N1089"/>
      <c r="P1089" s="1"/>
    </row>
    <row r="1090" spans="1:19" x14ac:dyDescent="0.3">
      <c r="A1090" s="1">
        <v>1206</v>
      </c>
      <c r="C1090" s="1" t="s">
        <v>15</v>
      </c>
      <c r="D1090" s="1">
        <v>24</v>
      </c>
      <c r="E1090" s="1">
        <v>67</v>
      </c>
      <c r="F1090" s="1">
        <v>30</v>
      </c>
      <c r="G1090" s="1">
        <v>0.41949081830264767</v>
      </c>
      <c r="H1090" s="1">
        <v>1.87576103503092</v>
      </c>
      <c r="I1090" s="1">
        <v>1200.0622547097805</v>
      </c>
      <c r="K1090" s="1">
        <f t="shared" si="48"/>
        <v>0.48204868660708172</v>
      </c>
      <c r="L1090" s="1">
        <f t="shared" si="49"/>
        <v>0.92378130534266756</v>
      </c>
      <c r="M1090" s="1">
        <f t="shared" si="50"/>
        <v>590.29095762227428</v>
      </c>
      <c r="N1090"/>
      <c r="P1090" s="1"/>
    </row>
    <row r="1091" spans="1:19" x14ac:dyDescent="0.3">
      <c r="A1091" s="1">
        <v>1207</v>
      </c>
      <c r="C1091" s="1" t="s">
        <v>15</v>
      </c>
      <c r="D1091" s="1">
        <v>24</v>
      </c>
      <c r="E1091" s="1">
        <v>68</v>
      </c>
      <c r="F1091" s="1">
        <v>45</v>
      </c>
      <c r="G1091" s="1">
        <v>0.44051034529530253</v>
      </c>
      <c r="H1091" s="1">
        <v>1.837999803971416</v>
      </c>
      <c r="I1091" s="1">
        <v>1636.7681844642361</v>
      </c>
      <c r="K1091" s="1">
        <f t="shared" ref="K1091:K1154" si="51">(G1091*28*1)/(0.082*(D1091+273.15))</f>
        <v>0.50620281570318315</v>
      </c>
      <c r="L1091" s="1">
        <f t="shared" ref="L1091:L1154" si="52">(H1091*12*1)/(0.082*(D1091+273.15))</f>
        <v>0.90518452320036258</v>
      </c>
      <c r="M1091" s="1">
        <f t="shared" ref="M1091:M1154" si="53">(I1091*12*1)/(0.0821*(D1091+273.15))</f>
        <v>805.09944815048016</v>
      </c>
      <c r="N1091"/>
      <c r="P1091" s="1"/>
    </row>
    <row r="1092" spans="1:19" x14ac:dyDescent="0.3">
      <c r="A1092" s="1">
        <v>1208</v>
      </c>
      <c r="C1092" s="1" t="s">
        <v>15</v>
      </c>
      <c r="D1092" s="1">
        <v>24</v>
      </c>
      <c r="E1092" s="1">
        <v>69</v>
      </c>
      <c r="F1092" s="1">
        <v>0</v>
      </c>
      <c r="G1092" s="1">
        <v>0.3932283038165782</v>
      </c>
      <c r="H1092" s="1">
        <v>1.911301017204571</v>
      </c>
      <c r="I1092" s="1">
        <v>447.35590457747816</v>
      </c>
      <c r="K1092" s="1">
        <f t="shared" si="51"/>
        <v>0.45186969325930443</v>
      </c>
      <c r="L1092" s="1">
        <f t="shared" si="52"/>
        <v>0.9412841591236607</v>
      </c>
      <c r="M1092" s="1">
        <f t="shared" si="53"/>
        <v>220.04703862207569</v>
      </c>
      <c r="N1092" s="1">
        <f>SLOPE(K1092:K1095,F1092:F1095)</f>
        <v>4.4202019797806094E-3</v>
      </c>
      <c r="O1092" s="1">
        <f>SLOPE(L1092:L1095,F1092:F1095)</f>
        <v>-1.2871890384771915E-3</v>
      </c>
      <c r="P1092" s="1">
        <f>SLOPE(M1092:M1095,F1092:F1095)</f>
        <v>16.151888935773847</v>
      </c>
      <c r="Q1092" s="1">
        <f>(N1092*41.35/0.31*60)/1000</f>
        <v>3.5375874554308691E-2</v>
      </c>
      <c r="R1092" s="1">
        <f>O1092*41.35/0.31*60/1000</f>
        <v>-1.0301664530522297E-2</v>
      </c>
      <c r="S1092" s="1">
        <f>(O1092*41.35/0.31*60)/1000</f>
        <v>-1.0301664530522297E-2</v>
      </c>
    </row>
    <row r="1093" spans="1:19" x14ac:dyDescent="0.3">
      <c r="A1093" s="1">
        <v>1209</v>
      </c>
      <c r="C1093" s="1" t="s">
        <v>15</v>
      </c>
      <c r="D1093" s="1">
        <v>24</v>
      </c>
      <c r="E1093" s="1">
        <v>70</v>
      </c>
      <c r="F1093" s="1">
        <v>15</v>
      </c>
      <c r="G1093" s="1">
        <v>0.46047366246623511</v>
      </c>
      <c r="H1093" s="1">
        <v>1.9046372705470112</v>
      </c>
      <c r="I1093" s="1">
        <v>1012.5724549142222</v>
      </c>
      <c r="K1093" s="1">
        <f t="shared" si="51"/>
        <v>0.52914322441464579</v>
      </c>
      <c r="L1093" s="1">
        <f t="shared" si="52"/>
        <v>0.9380023740397242</v>
      </c>
      <c r="M1093" s="1">
        <f t="shared" si="53"/>
        <v>498.0677975058905</v>
      </c>
      <c r="N1093"/>
      <c r="P1093" s="1"/>
    </row>
    <row r="1094" spans="1:19" x14ac:dyDescent="0.3">
      <c r="A1094" s="1">
        <v>1210</v>
      </c>
      <c r="C1094" s="1" t="s">
        <v>15</v>
      </c>
      <c r="D1094" s="1">
        <v>24</v>
      </c>
      <c r="E1094" s="1">
        <v>71</v>
      </c>
      <c r="F1094" s="1">
        <v>30</v>
      </c>
      <c r="G1094" s="1">
        <v>0.52054440665121948</v>
      </c>
      <c r="H1094" s="1">
        <v>1.8257829350992236</v>
      </c>
      <c r="I1094" s="1">
        <v>1511.2869358039368</v>
      </c>
      <c r="K1094" s="1">
        <f t="shared" si="51"/>
        <v>0.59817220448874664</v>
      </c>
      <c r="L1094" s="1">
        <f t="shared" si="52"/>
        <v>0.89916791721314626</v>
      </c>
      <c r="M1094" s="1">
        <f t="shared" si="53"/>
        <v>743.37727820085536</v>
      </c>
      <c r="N1094"/>
      <c r="P1094" s="1"/>
    </row>
    <row r="1095" spans="1:19" x14ac:dyDescent="0.3">
      <c r="A1095" s="1">
        <v>1211</v>
      </c>
      <c r="C1095" s="1" t="s">
        <v>15</v>
      </c>
      <c r="D1095" s="1">
        <v>24</v>
      </c>
      <c r="E1095" s="1">
        <v>72</v>
      </c>
      <c r="F1095" s="1">
        <v>45</v>
      </c>
      <c r="G1095" s="1">
        <v>0.56553323581431247</v>
      </c>
      <c r="H1095" s="1">
        <v>1.806902319569472</v>
      </c>
      <c r="I1095" s="1">
        <v>1922.9582640953763</v>
      </c>
      <c r="K1095" s="1">
        <f t="shared" si="51"/>
        <v>0.64987013222363466</v>
      </c>
      <c r="L1095" s="1">
        <f t="shared" si="52"/>
        <v>0.88986952614199377</v>
      </c>
      <c r="M1095" s="1">
        <f t="shared" si="53"/>
        <v>945.8716585124464</v>
      </c>
      <c r="N1095"/>
      <c r="P1095" s="1"/>
    </row>
    <row r="1096" spans="1:19" x14ac:dyDescent="0.3">
      <c r="A1096" s="1">
        <v>1212</v>
      </c>
      <c r="C1096" s="1" t="s">
        <v>15</v>
      </c>
      <c r="D1096" s="1">
        <v>24</v>
      </c>
      <c r="E1096" s="1">
        <v>73</v>
      </c>
      <c r="F1096" s="1">
        <v>0</v>
      </c>
      <c r="G1096" s="1">
        <v>0.38928892664366782</v>
      </c>
      <c r="H1096" s="1">
        <v>1.8657654150445808</v>
      </c>
      <c r="I1096" s="1">
        <v>433.01267418899317</v>
      </c>
      <c r="K1096" s="1">
        <f t="shared" si="51"/>
        <v>0.44734284425713794</v>
      </c>
      <c r="L1096" s="1">
        <f t="shared" si="52"/>
        <v>0.91885862771676341</v>
      </c>
      <c r="M1096" s="1">
        <f t="shared" si="53"/>
        <v>212.99183863708555</v>
      </c>
      <c r="N1096" s="1">
        <f>SLOPE(K1096:K1099,F1096:F1099)</f>
        <v>8.5317617908788783E-4</v>
      </c>
      <c r="O1096" s="1">
        <f>SLOPE(L1096:L1099,F1096:F1099)</f>
        <v>-3.3547136413569767E-4</v>
      </c>
      <c r="P1096" s="1">
        <f>SLOPE(M1096:M1099,F1096:F1099)</f>
        <v>9.8610941727130985</v>
      </c>
      <c r="Q1096" s="1">
        <f>(N1096*41.35/0.31*60)/1000</f>
        <v>6.8281616139259666E-3</v>
      </c>
      <c r="R1096" s="1">
        <f>O1096*41.35/0.31*60/1000</f>
        <v>-2.6848530787763414E-3</v>
      </c>
      <c r="S1096" s="1">
        <f>(O1096*41.35/0.31*60)/1000</f>
        <v>-2.6848530787763414E-3</v>
      </c>
    </row>
    <row r="1097" spans="1:19" x14ac:dyDescent="0.3">
      <c r="A1097" s="1">
        <v>1213</v>
      </c>
      <c r="C1097" s="1" t="s">
        <v>15</v>
      </c>
      <c r="D1097" s="1">
        <v>24</v>
      </c>
      <c r="E1097" s="1">
        <v>74</v>
      </c>
      <c r="F1097" s="1">
        <v>15</v>
      </c>
      <c r="G1097" s="1">
        <v>0.40768220218771567</v>
      </c>
      <c r="H1097" s="1">
        <v>1.8635441661587278</v>
      </c>
      <c r="I1097" s="1">
        <v>904.6649660656584</v>
      </c>
      <c r="K1097" s="1">
        <f t="shared" si="51"/>
        <v>0.46847907401846151</v>
      </c>
      <c r="L1097" s="1">
        <f t="shared" si="52"/>
        <v>0.91776469935545135</v>
      </c>
      <c r="M1097" s="1">
        <f t="shared" si="53"/>
        <v>444.9898720257346</v>
      </c>
      <c r="N1097"/>
      <c r="P1097" s="1"/>
    </row>
    <row r="1098" spans="1:19" x14ac:dyDescent="0.3">
      <c r="A1098" s="1">
        <v>1214</v>
      </c>
      <c r="C1098" s="1" t="s">
        <v>15</v>
      </c>
      <c r="D1098" s="1">
        <v>24</v>
      </c>
      <c r="E1098" s="1">
        <v>75</v>
      </c>
      <c r="F1098" s="1">
        <v>30</v>
      </c>
      <c r="G1098" s="1">
        <v>0.42056605893196869</v>
      </c>
      <c r="H1098" s="1">
        <v>1.841331677300196</v>
      </c>
      <c r="I1098" s="1">
        <v>1271.1859427678919</v>
      </c>
      <c r="K1098" s="1">
        <f t="shared" si="51"/>
        <v>0.4832842758274799</v>
      </c>
      <c r="L1098" s="1">
        <f t="shared" si="52"/>
        <v>0.90682541574233078</v>
      </c>
      <c r="M1098" s="1">
        <f t="shared" si="53"/>
        <v>625.27553427126122</v>
      </c>
      <c r="N1098"/>
      <c r="P1098" s="1"/>
    </row>
    <row r="1099" spans="1:19" x14ac:dyDescent="0.3">
      <c r="A1099" s="1">
        <v>1215</v>
      </c>
      <c r="C1099" s="1" t="s">
        <v>15</v>
      </c>
      <c r="D1099" s="1">
        <v>24</v>
      </c>
      <c r="E1099" s="1">
        <v>76</v>
      </c>
      <c r="F1099" s="1">
        <v>45</v>
      </c>
      <c r="G1099" s="1">
        <v>0.42211706975125468</v>
      </c>
      <c r="H1099" s="1">
        <v>1.8391104284143429</v>
      </c>
      <c r="I1099" s="1">
        <v>1313.2198542629208</v>
      </c>
      <c r="K1099" s="1">
        <f t="shared" si="51"/>
        <v>0.48506658594185953</v>
      </c>
      <c r="L1099" s="1">
        <f t="shared" si="52"/>
        <v>0.90573148738101872</v>
      </c>
      <c r="M1099" s="1">
        <f t="shared" si="53"/>
        <v>645.95132652423149</v>
      </c>
      <c r="N1099"/>
      <c r="P1099" s="1"/>
    </row>
    <row r="1100" spans="1:19" x14ac:dyDescent="0.3">
      <c r="A1100" s="1">
        <v>1216</v>
      </c>
      <c r="C1100" s="1" t="s">
        <v>15</v>
      </c>
      <c r="D1100" s="1">
        <v>24</v>
      </c>
      <c r="E1100" s="1">
        <v>77</v>
      </c>
      <c r="F1100" s="1">
        <v>0</v>
      </c>
      <c r="G1100" s="1">
        <v>0.39067817559836565</v>
      </c>
      <c r="H1100" s="1">
        <v>1.8724291617021405</v>
      </c>
      <c r="I1100" s="1">
        <v>455.22706749998963</v>
      </c>
      <c r="K1100" s="1">
        <f t="shared" si="51"/>
        <v>0.44893926926756378</v>
      </c>
      <c r="L1100" s="1">
        <f t="shared" si="52"/>
        <v>0.92214041280069969</v>
      </c>
      <c r="M1100" s="1">
        <f t="shared" si="53"/>
        <v>223.91873467858895</v>
      </c>
      <c r="N1100" s="1">
        <f>SLOPE(K1100:K1103,F1100:F1103)</f>
        <v>2.0246168145921892E-3</v>
      </c>
      <c r="O1100" s="1">
        <f>SLOPE(L1100:L1103,F1100:F1103)</f>
        <v>-2.9900708542530318E-4</v>
      </c>
      <c r="P1100" s="1">
        <f>SLOPE(M1100:M1103,F1100:F1103)</f>
        <v>9.5876780984971361</v>
      </c>
      <c r="Q1100" s="1">
        <f>(N1100*41.35/0.31*60)/1000</f>
        <v>1.6203465538720072E-2</v>
      </c>
      <c r="R1100" s="1">
        <f>O1100*41.35/0.31*60/1000</f>
        <v>-2.3930212223876686E-3</v>
      </c>
      <c r="S1100" s="1">
        <f>(O1100*41.35/0.31*60)/1000</f>
        <v>-2.3930212223876686E-3</v>
      </c>
    </row>
    <row r="1101" spans="1:19" x14ac:dyDescent="0.3">
      <c r="A1101" s="1">
        <v>1217</v>
      </c>
      <c r="C1101" s="1" t="s">
        <v>15</v>
      </c>
      <c r="D1101" s="1">
        <v>24</v>
      </c>
      <c r="E1101" s="1">
        <v>78</v>
      </c>
      <c r="F1101" s="1">
        <v>15</v>
      </c>
      <c r="G1101" s="1">
        <v>0.42713168755348602</v>
      </c>
      <c r="H1101" s="1">
        <v>1.8368891795284896</v>
      </c>
      <c r="I1101" s="1">
        <v>875.69228118241529</v>
      </c>
      <c r="K1101" s="1">
        <f t="shared" si="51"/>
        <v>0.4908290241644242</v>
      </c>
      <c r="L1101" s="1">
        <f t="shared" si="52"/>
        <v>0.90463755901970666</v>
      </c>
      <c r="M1101" s="1">
        <f t="shared" si="53"/>
        <v>430.73868310824469</v>
      </c>
      <c r="N1101"/>
      <c r="P1101" s="1"/>
    </row>
    <row r="1102" spans="1:19" x14ac:dyDescent="0.3">
      <c r="A1102" s="1">
        <v>1218</v>
      </c>
      <c r="C1102" s="1" t="s">
        <v>15</v>
      </c>
      <c r="D1102" s="1">
        <v>24</v>
      </c>
      <c r="E1102" s="1">
        <v>79</v>
      </c>
      <c r="F1102" s="1">
        <v>30</v>
      </c>
      <c r="G1102" s="1">
        <v>0.4623577124184966</v>
      </c>
      <c r="H1102" s="1">
        <v>1.8324466817567833</v>
      </c>
      <c r="I1102" s="1">
        <v>1253.5111038137311</v>
      </c>
      <c r="K1102" s="1">
        <f t="shared" si="51"/>
        <v>0.5313082391548124</v>
      </c>
      <c r="L1102" s="1">
        <f t="shared" si="52"/>
        <v>0.90244970229708243</v>
      </c>
      <c r="M1102" s="1">
        <f t="shared" si="53"/>
        <v>616.58157062802161</v>
      </c>
      <c r="N1102"/>
      <c r="P1102" s="1"/>
    </row>
    <row r="1103" spans="1:19" x14ac:dyDescent="0.3">
      <c r="A1103" s="1">
        <v>1219</v>
      </c>
      <c r="C1103" s="1" t="s">
        <v>15</v>
      </c>
      <c r="D1103" s="1">
        <v>24</v>
      </c>
      <c r="E1103" s="1">
        <v>80</v>
      </c>
      <c r="F1103" s="1">
        <v>45</v>
      </c>
      <c r="G1103" s="1">
        <v>0.46702977568395321</v>
      </c>
      <c r="H1103" s="1">
        <v>1.843552926186049</v>
      </c>
      <c r="I1103" s="1">
        <v>1303.8755378983326</v>
      </c>
      <c r="K1103" s="1">
        <f t="shared" si="51"/>
        <v>0.5366770383337105</v>
      </c>
      <c r="L1103" s="1">
        <f t="shared" si="52"/>
        <v>0.90791934410364261</v>
      </c>
      <c r="M1103" s="1">
        <f t="shared" si="53"/>
        <v>641.35501043018678</v>
      </c>
      <c r="N1103"/>
      <c r="P1103" s="1"/>
    </row>
    <row r="1104" spans="1:19" x14ac:dyDescent="0.3">
      <c r="A1104" s="1">
        <v>1220</v>
      </c>
      <c r="C1104" s="1" t="s">
        <v>15</v>
      </c>
      <c r="D1104" s="1">
        <v>24</v>
      </c>
      <c r="E1104" s="1">
        <v>81</v>
      </c>
      <c r="F1104" s="1">
        <v>0</v>
      </c>
      <c r="G1104" s="1">
        <v>0.38723359942301883</v>
      </c>
      <c r="H1104" s="1">
        <v>1.835778555085563</v>
      </c>
      <c r="I1104" s="1">
        <v>435.85890271431072</v>
      </c>
      <c r="K1104" s="1">
        <f t="shared" si="51"/>
        <v>0.44498100999513784</v>
      </c>
      <c r="L1104" s="1">
        <f t="shared" si="52"/>
        <v>0.90409059483905052</v>
      </c>
      <c r="M1104" s="1">
        <f t="shared" si="53"/>
        <v>214.39185180742547</v>
      </c>
      <c r="N1104" s="1">
        <f>SLOPE(K1104:K1107,F1104:F1107)</f>
        <v>8.764300411119013E-4</v>
      </c>
      <c r="O1104" s="1">
        <f>SLOPE(L1104:L1107,F1104:F1107)</f>
        <v>-9.5536410221253119E-4</v>
      </c>
      <c r="P1104" s="1">
        <f>SLOPE(M1104:M1107,F1104:F1107)</f>
        <v>7.1810830257494214</v>
      </c>
      <c r="Q1104" s="1">
        <f>(N1104*41.35/0.31*60)/1000</f>
        <v>7.0142675225762169E-3</v>
      </c>
      <c r="R1104" s="1">
        <f>O1104*41.35/0.31*60/1000</f>
        <v>-7.6459946373848052E-3</v>
      </c>
      <c r="S1104" s="1">
        <f>(O1104*41.35/0.31*60)/1000</f>
        <v>-7.6459946373848052E-3</v>
      </c>
    </row>
    <row r="1105" spans="1:19" x14ac:dyDescent="0.3">
      <c r="A1105" s="1">
        <v>1221</v>
      </c>
      <c r="C1105" s="1" t="s">
        <v>15</v>
      </c>
      <c r="D1105" s="1">
        <v>24</v>
      </c>
      <c r="E1105" s="1">
        <v>82</v>
      </c>
      <c r="F1105" s="1">
        <v>15</v>
      </c>
      <c r="G1105" s="1">
        <v>0.40541753608348224</v>
      </c>
      <c r="H1105" s="1">
        <v>1.8202298128845908</v>
      </c>
      <c r="I1105" s="1">
        <v>784.32574348239189</v>
      </c>
      <c r="K1105" s="1">
        <f t="shared" si="51"/>
        <v>0.46587668256310982</v>
      </c>
      <c r="L1105" s="1">
        <f t="shared" si="52"/>
        <v>0.89643309630986612</v>
      </c>
      <c r="M1105" s="1">
        <f t="shared" si="53"/>
        <v>385.79698044080988</v>
      </c>
      <c r="N1105"/>
      <c r="P1105" s="1"/>
    </row>
    <row r="1106" spans="1:19" x14ac:dyDescent="0.3">
      <c r="A1106" s="1">
        <v>1222</v>
      </c>
      <c r="C1106" s="1" t="s">
        <v>15</v>
      </c>
      <c r="D1106" s="1">
        <v>24</v>
      </c>
      <c r="E1106" s="1">
        <v>83</v>
      </c>
      <c r="F1106" s="1">
        <v>30</v>
      </c>
      <c r="G1106" s="1">
        <v>0.41331532123690168</v>
      </c>
      <c r="H1106" s="1">
        <v>1.7658092151811882</v>
      </c>
      <c r="I1106" s="1">
        <v>942.40551596659054</v>
      </c>
      <c r="K1106" s="1">
        <f t="shared" si="51"/>
        <v>0.47495224940320224</v>
      </c>
      <c r="L1106" s="1">
        <f t="shared" si="52"/>
        <v>0.86963185145772059</v>
      </c>
      <c r="M1106" s="1">
        <f t="shared" si="53"/>
        <v>463.55383006606149</v>
      </c>
      <c r="N1106"/>
      <c r="P1106" s="1"/>
    </row>
    <row r="1107" spans="1:19" x14ac:dyDescent="0.3">
      <c r="A1107" s="1">
        <v>1223</v>
      </c>
      <c r="C1107" s="1" t="s">
        <v>15</v>
      </c>
      <c r="D1107" s="1">
        <v>24</v>
      </c>
      <c r="E1107" s="1">
        <v>84</v>
      </c>
      <c r="F1107" s="1">
        <v>45</v>
      </c>
      <c r="G1107" s="1">
        <v>0.42273557099820919</v>
      </c>
      <c r="H1107" s="1">
        <v>1.7569242196377757</v>
      </c>
      <c r="I1107" s="1">
        <v>1113.1231836046954</v>
      </c>
      <c r="K1107" s="1">
        <f t="shared" si="51"/>
        <v>0.48577732310403543</v>
      </c>
      <c r="L1107" s="1">
        <f t="shared" si="52"/>
        <v>0.86525613801247248</v>
      </c>
      <c r="M1107" s="1">
        <f t="shared" si="53"/>
        <v>547.52705321981261</v>
      </c>
      <c r="N1107"/>
      <c r="P1107" s="1"/>
    </row>
    <row r="1108" spans="1:19" x14ac:dyDescent="0.3">
      <c r="A1108" s="1">
        <v>1224</v>
      </c>
      <c r="C1108" s="1" t="s">
        <v>15</v>
      </c>
      <c r="D1108" s="1">
        <v>24</v>
      </c>
      <c r="E1108" s="1">
        <v>85</v>
      </c>
      <c r="F1108" s="1">
        <v>0</v>
      </c>
      <c r="G1108" s="1">
        <v>0.38691007569384267</v>
      </c>
      <c r="H1108" s="1">
        <v>1.8424423017431224</v>
      </c>
      <c r="I1108" s="1">
        <v>441.02294603028776</v>
      </c>
      <c r="K1108" s="1">
        <f t="shared" si="51"/>
        <v>0.44460923978723055</v>
      </c>
      <c r="L1108" s="1">
        <f t="shared" si="52"/>
        <v>0.90737237992298669</v>
      </c>
      <c r="M1108" s="1">
        <f t="shared" si="53"/>
        <v>216.9319600911646</v>
      </c>
      <c r="N1108" s="1">
        <f>SLOPE(K1108:K1111,F1108:F1111)</f>
        <v>1.0912549043870179E-4</v>
      </c>
      <c r="O1108" s="1">
        <f>SLOPE(L1108:L1111,F1108:F1111)</f>
        <v>-1.4221068697056749E-4</v>
      </c>
      <c r="P1108" s="1">
        <f>SLOPE(M1108:M1111,F1108:F1111)</f>
        <v>1.0463178599006835</v>
      </c>
      <c r="Q1108" s="1">
        <f>(N1108*41.35/0.31*60)/1000</f>
        <v>8.7335594122070676E-4</v>
      </c>
      <c r="R1108" s="1">
        <f>O1108*41.35/0.31*60/1000</f>
        <v>-1.1381442399160577E-3</v>
      </c>
      <c r="S1108" s="1">
        <f>(O1108*41.35/0.31*60)/1000</f>
        <v>-1.1381442399160577E-3</v>
      </c>
    </row>
    <row r="1109" spans="1:19" x14ac:dyDescent="0.3">
      <c r="A1109" s="1">
        <v>1225</v>
      </c>
      <c r="C1109" s="1" t="s">
        <v>15</v>
      </c>
      <c r="D1109" s="1">
        <v>24</v>
      </c>
      <c r="E1109" s="1">
        <v>86</v>
      </c>
      <c r="F1109" s="1">
        <v>15</v>
      </c>
      <c r="G1109" s="1">
        <v>0.39334248866216975</v>
      </c>
      <c r="H1109" s="1">
        <v>1.8257829350992236</v>
      </c>
      <c r="I1109" s="1">
        <v>551.6925975827462</v>
      </c>
      <c r="K1109" s="1">
        <f t="shared" si="51"/>
        <v>0.45200090627385991</v>
      </c>
      <c r="L1109" s="1">
        <f t="shared" si="52"/>
        <v>0.89916791721314626</v>
      </c>
      <c r="M1109" s="1">
        <f t="shared" si="53"/>
        <v>271.3685481416926</v>
      </c>
      <c r="N1109"/>
      <c r="P1109" s="1"/>
    </row>
    <row r="1110" spans="1:19" x14ac:dyDescent="0.3">
      <c r="A1110" s="1">
        <v>1226</v>
      </c>
      <c r="C1110" s="1" t="s">
        <v>15</v>
      </c>
      <c r="D1110" s="1">
        <v>24</v>
      </c>
      <c r="E1110" s="1">
        <v>87</v>
      </c>
      <c r="F1110" s="1">
        <v>30</v>
      </c>
      <c r="G1110" s="1">
        <v>0.39288574927980335</v>
      </c>
      <c r="H1110" s="1">
        <v>1.8324466817567833</v>
      </c>
      <c r="I1110" s="1">
        <v>547.90363091718632</v>
      </c>
      <c r="K1110" s="1">
        <f t="shared" si="51"/>
        <v>0.4514760542156378</v>
      </c>
      <c r="L1110" s="1">
        <f t="shared" si="52"/>
        <v>0.90244970229708243</v>
      </c>
      <c r="M1110" s="1">
        <f t="shared" si="53"/>
        <v>269.50481752885611</v>
      </c>
      <c r="N1110"/>
      <c r="P1110" s="1"/>
    </row>
    <row r="1111" spans="1:19" x14ac:dyDescent="0.3">
      <c r="A1111" s="1">
        <v>1227</v>
      </c>
      <c r="C1111" s="1" t="s">
        <v>15</v>
      </c>
      <c r="D1111" s="1">
        <v>24</v>
      </c>
      <c r="E1111" s="1">
        <v>88</v>
      </c>
      <c r="F1111" s="1">
        <v>45</v>
      </c>
      <c r="G1111" s="1">
        <v>0.39181050865048245</v>
      </c>
      <c r="H1111" s="1">
        <v>1.8257829350992236</v>
      </c>
      <c r="I1111" s="1">
        <v>548.64421077257839</v>
      </c>
      <c r="K1111" s="1">
        <f t="shared" si="51"/>
        <v>0.45024046499523968</v>
      </c>
      <c r="L1111" s="1">
        <f t="shared" si="52"/>
        <v>0.89916791721314626</v>
      </c>
      <c r="M1111" s="1">
        <f t="shared" si="53"/>
        <v>269.86909662381095</v>
      </c>
      <c r="N1111"/>
      <c r="P1111" s="1"/>
    </row>
    <row r="1112" spans="1:19" x14ac:dyDescent="0.3">
      <c r="A1112" s="1">
        <v>1228</v>
      </c>
      <c r="C1112" s="1" t="s">
        <v>15</v>
      </c>
      <c r="D1112" s="1">
        <v>24</v>
      </c>
      <c r="E1112" s="1">
        <v>89</v>
      </c>
      <c r="F1112" s="1">
        <v>0</v>
      </c>
      <c r="G1112" s="1">
        <v>0.38562549618093711</v>
      </c>
      <c r="H1112" s="1">
        <v>1.843552926186049</v>
      </c>
      <c r="I1112" s="1">
        <v>414.74637213410705</v>
      </c>
      <c r="K1112" s="1">
        <f t="shared" si="51"/>
        <v>0.44313309337348056</v>
      </c>
      <c r="L1112" s="1">
        <f t="shared" si="52"/>
        <v>0.90791934410364261</v>
      </c>
      <c r="M1112" s="1">
        <f t="shared" si="53"/>
        <v>204.0069439869292</v>
      </c>
      <c r="N1112" s="1">
        <f>SLOPE(K1112:K1115,F1112:F1115)</f>
        <v>1.631779628236701E-3</v>
      </c>
      <c r="O1112" s="1">
        <f>SLOPE(L1112:L1115,F1112:F1115)</f>
        <v>-1.5424389894500045E-3</v>
      </c>
      <c r="P1112" s="1">
        <f>SLOPE(M1112:M1115,F1112:F1115)</f>
        <v>6.9481478761845166</v>
      </c>
      <c r="Q1112" s="1">
        <f>(N1112*41.35/0.31*60)/1000</f>
        <v>1.3059500831145985E-2</v>
      </c>
      <c r="R1112" s="1">
        <f>O1112*41.35/0.31*60/1000</f>
        <v>-1.2344487525243423E-2</v>
      </c>
      <c r="S1112" s="1">
        <f>(O1112*41.35/0.31*60)/1000</f>
        <v>-1.2344487525243423E-2</v>
      </c>
    </row>
    <row r="1113" spans="1:19" x14ac:dyDescent="0.3">
      <c r="A1113" s="1">
        <v>1229</v>
      </c>
      <c r="C1113" s="1" t="s">
        <v>15</v>
      </c>
      <c r="D1113" s="1">
        <v>24</v>
      </c>
      <c r="E1113" s="1">
        <v>90</v>
      </c>
      <c r="F1113" s="1">
        <v>15</v>
      </c>
      <c r="G1113" s="1">
        <v>0.38699571432803631</v>
      </c>
      <c r="H1113" s="1">
        <v>2.0123678415108901</v>
      </c>
      <c r="I1113" s="1">
        <v>417.51153718876679</v>
      </c>
      <c r="K1113" s="1">
        <f t="shared" si="51"/>
        <v>0.44470764954814707</v>
      </c>
      <c r="L1113" s="1">
        <f t="shared" si="52"/>
        <v>0.99105789956335921</v>
      </c>
      <c r="M1113" s="1">
        <f t="shared" si="53"/>
        <v>205.36708336444298</v>
      </c>
      <c r="N1113"/>
      <c r="P1113" s="1"/>
    </row>
    <row r="1114" spans="1:19" x14ac:dyDescent="0.3">
      <c r="A1114" s="1">
        <v>1230</v>
      </c>
      <c r="C1114" s="1" t="s">
        <v>15</v>
      </c>
      <c r="D1114" s="1">
        <v>24</v>
      </c>
      <c r="E1114" s="1">
        <v>91</v>
      </c>
      <c r="F1114" s="1">
        <v>30</v>
      </c>
      <c r="G1114" s="1">
        <v>0.42164129956128965</v>
      </c>
      <c r="H1114" s="1">
        <v>1.8091235684553251</v>
      </c>
      <c r="I1114" s="1">
        <v>758.2803505951241</v>
      </c>
      <c r="K1114" s="1">
        <f t="shared" si="51"/>
        <v>0.48451986504787803</v>
      </c>
      <c r="L1114" s="1">
        <f t="shared" si="52"/>
        <v>0.89096345450330583</v>
      </c>
      <c r="M1114" s="1">
        <f t="shared" si="53"/>
        <v>372.98567848648599</v>
      </c>
      <c r="N1114"/>
      <c r="P1114" s="1"/>
    </row>
    <row r="1115" spans="1:19" x14ac:dyDescent="0.3">
      <c r="A1115" s="1">
        <v>1231</v>
      </c>
      <c r="C1115" s="1" t="s">
        <v>15</v>
      </c>
      <c r="D1115" s="1">
        <v>24</v>
      </c>
      <c r="E1115" s="1">
        <v>92</v>
      </c>
      <c r="F1115" s="1">
        <v>45</v>
      </c>
      <c r="G1115" s="1">
        <v>0.44507773911896681</v>
      </c>
      <c r="H1115" s="1">
        <v>1.7547029707519222</v>
      </c>
      <c r="I1115" s="1">
        <v>1007.4364335387196</v>
      </c>
      <c r="K1115" s="1">
        <f t="shared" si="51"/>
        <v>0.51145133628540529</v>
      </c>
      <c r="L1115" s="1">
        <f t="shared" si="52"/>
        <v>0.8641622096511602</v>
      </c>
      <c r="M1115" s="1">
        <f t="shared" si="53"/>
        <v>495.54147275547405</v>
      </c>
      <c r="N1115"/>
      <c r="P1115" s="1"/>
    </row>
    <row r="1116" spans="1:19" x14ac:dyDescent="0.3">
      <c r="A1116" s="1">
        <v>1232</v>
      </c>
      <c r="C1116" s="1" t="s">
        <v>15</v>
      </c>
      <c r="D1116" s="1">
        <v>24</v>
      </c>
      <c r="E1116" s="1">
        <v>93</v>
      </c>
      <c r="F1116" s="1">
        <v>0</v>
      </c>
      <c r="G1116" s="1">
        <v>0.39079236044395721</v>
      </c>
      <c r="H1116" s="1">
        <v>1.8424423017431224</v>
      </c>
      <c r="I1116" s="1">
        <v>441.21609726284271</v>
      </c>
      <c r="K1116" s="1">
        <f t="shared" si="51"/>
        <v>0.44907048228211927</v>
      </c>
      <c r="L1116" s="1">
        <f t="shared" si="52"/>
        <v>0.90737237992298669</v>
      </c>
      <c r="M1116" s="1">
        <f t="shared" si="53"/>
        <v>217.02696801728123</v>
      </c>
      <c r="N1116" s="1">
        <f>SLOPE(K1116:K1119,F1116:F1119)</f>
        <v>6.5239839798213132E-3</v>
      </c>
      <c r="O1116" s="1">
        <f>SLOPE(L1116:L1119,F1116:F1119)</f>
        <v>2.2243210013345172E-4</v>
      </c>
      <c r="P1116" s="1">
        <f>SLOPE(M1116:M1119,F1116:F1119)</f>
        <v>11.998628111416066</v>
      </c>
      <c r="Q1116" s="1">
        <f>(N1116*41.35/0.31*60)/1000</f>
        <v>5.2212916948182836E-2</v>
      </c>
      <c r="R1116" s="1">
        <f>O1116*41.35/0.31*60/1000</f>
        <v>1.7801743239712702E-3</v>
      </c>
      <c r="S1116" s="1">
        <f>(O1116*41.35/0.31*60)/1000</f>
        <v>1.7801743239712702E-3</v>
      </c>
    </row>
    <row r="1117" spans="1:19" x14ac:dyDescent="0.3">
      <c r="A1117" s="1">
        <v>1233</v>
      </c>
      <c r="C1117" s="1" t="s">
        <v>15</v>
      </c>
      <c r="D1117" s="1">
        <v>24</v>
      </c>
      <c r="E1117" s="1">
        <v>94</v>
      </c>
      <c r="F1117" s="1">
        <v>15</v>
      </c>
      <c r="G1117" s="1">
        <v>0.44245148767035991</v>
      </c>
      <c r="H1117" s="1">
        <v>1.801349197354839</v>
      </c>
      <c r="I1117" s="1">
        <v>857.01665863988694</v>
      </c>
      <c r="K1117" s="1">
        <f t="shared" si="51"/>
        <v>0.5084334369506277</v>
      </c>
      <c r="L1117" s="1">
        <f t="shared" si="52"/>
        <v>0.88713470523871363</v>
      </c>
      <c r="M1117" s="1">
        <f t="shared" si="53"/>
        <v>421.5524504177688</v>
      </c>
      <c r="N1117"/>
      <c r="P1117" s="1"/>
    </row>
    <row r="1118" spans="1:19" x14ac:dyDescent="0.3">
      <c r="A1118" s="1">
        <v>1234</v>
      </c>
      <c r="C1118" s="1" t="s">
        <v>15</v>
      </c>
      <c r="D1118" s="1">
        <v>24</v>
      </c>
      <c r="E1118" s="1">
        <v>95</v>
      </c>
      <c r="F1118" s="1">
        <v>30</v>
      </c>
      <c r="G1118" s="1">
        <v>0.51188538919385596</v>
      </c>
      <c r="H1118" s="1">
        <v>1.7524817218660691</v>
      </c>
      <c r="I1118" s="1">
        <v>1286.5759927898096</v>
      </c>
      <c r="K1118" s="1">
        <f t="shared" si="51"/>
        <v>0.5882218842182837</v>
      </c>
      <c r="L1118" s="1">
        <f t="shared" si="52"/>
        <v>0.86306828128984836</v>
      </c>
      <c r="M1118" s="1">
        <f t="shared" si="53"/>
        <v>632.8456476796606</v>
      </c>
      <c r="N1118"/>
      <c r="P1118" s="1"/>
    </row>
    <row r="1119" spans="1:19" x14ac:dyDescent="0.3">
      <c r="A1119" s="1">
        <v>1235</v>
      </c>
      <c r="C1119" s="1" t="s">
        <v>15</v>
      </c>
      <c r="D1119" s="1">
        <v>24</v>
      </c>
      <c r="E1119" s="1">
        <v>96</v>
      </c>
      <c r="F1119" s="1">
        <v>45</v>
      </c>
      <c r="G1119" s="1">
        <v>0.65151442454479203</v>
      </c>
      <c r="H1119" s="1">
        <v>1.881314157245553</v>
      </c>
      <c r="I1119" s="1">
        <v>1517.6909499859016</v>
      </c>
      <c r="K1119" s="1">
        <f t="shared" si="51"/>
        <v>0.74867353218396626</v>
      </c>
      <c r="L1119" s="1">
        <f t="shared" si="52"/>
        <v>0.9265161262459477</v>
      </c>
      <c r="M1119" s="1">
        <f t="shared" si="53"/>
        <v>746.52730783412051</v>
      </c>
      <c r="N1119"/>
      <c r="P1119" s="1"/>
    </row>
    <row r="1120" spans="1:19" x14ac:dyDescent="0.3">
      <c r="A1120" s="1">
        <v>1236</v>
      </c>
      <c r="C1120" s="1" t="s">
        <v>15</v>
      </c>
      <c r="D1120" s="1">
        <v>24</v>
      </c>
      <c r="E1120" s="1">
        <v>97</v>
      </c>
      <c r="F1120" s="1">
        <v>0</v>
      </c>
      <c r="G1120" s="1">
        <v>0.39030707485019295</v>
      </c>
      <c r="H1120" s="1">
        <v>1.8313360573138566</v>
      </c>
      <c r="I1120" s="1">
        <v>546.7887579997448</v>
      </c>
      <c r="K1120" s="1">
        <f t="shared" si="51"/>
        <v>0.44851282697025818</v>
      </c>
      <c r="L1120" s="1">
        <f t="shared" si="52"/>
        <v>0.90190273811642629</v>
      </c>
      <c r="M1120" s="1">
        <f t="shared" si="53"/>
        <v>268.95642981023491</v>
      </c>
      <c r="N1120" s="1">
        <f>SLOPE(K1120:K1123,F1120:F1123)</f>
        <v>2.6310396301964393E-3</v>
      </c>
      <c r="O1120" s="1">
        <f>SLOPE(L1120:L1123,F1120:F1123)</f>
        <v>-4.7038919536418255E-4</v>
      </c>
      <c r="P1120" s="1">
        <f>SLOPE(M1120:M1123,F1120:F1123)</f>
        <v>7.5580364077737681</v>
      </c>
      <c r="Q1120" s="1">
        <f>(N1120*41.35/0.31*60)/1000</f>
        <v>2.1056804266185055E-2</v>
      </c>
      <c r="R1120" s="1">
        <f>O1120*41.35/0.31*60/1000</f>
        <v>-3.764630947414636E-3</v>
      </c>
      <c r="S1120" s="1">
        <f>(O1120*41.35/0.31*60)/1000</f>
        <v>-3.764630947414636E-3</v>
      </c>
    </row>
    <row r="1121" spans="1:19" x14ac:dyDescent="0.3">
      <c r="A1121" s="1">
        <v>1237</v>
      </c>
      <c r="C1121" s="1" t="s">
        <v>15</v>
      </c>
      <c r="D1121" s="1">
        <v>24</v>
      </c>
      <c r="E1121" s="1">
        <v>98</v>
      </c>
      <c r="F1121" s="1">
        <v>15</v>
      </c>
      <c r="G1121" s="1">
        <v>0.41823478500114003</v>
      </c>
      <c r="H1121" s="1">
        <v>1.8002385729119126</v>
      </c>
      <c r="I1121" s="1">
        <v>752.25463260956269</v>
      </c>
      <c r="K1121" s="1">
        <f t="shared" si="51"/>
        <v>0.48060534344697065</v>
      </c>
      <c r="L1121" s="1">
        <f t="shared" si="52"/>
        <v>0.88658774105805771</v>
      </c>
      <c r="M1121" s="1">
        <f t="shared" si="53"/>
        <v>370.02172655307652</v>
      </c>
      <c r="N1121"/>
      <c r="P1121" s="1"/>
    </row>
    <row r="1122" spans="1:19" x14ac:dyDescent="0.3">
      <c r="A1122" s="1">
        <v>1238</v>
      </c>
      <c r="C1122" s="1" t="s">
        <v>15</v>
      </c>
      <c r="D1122" s="1">
        <v>24</v>
      </c>
      <c r="E1122" s="1">
        <v>99</v>
      </c>
      <c r="F1122" s="1">
        <v>30</v>
      </c>
      <c r="G1122" s="1">
        <v>0.4895717672844962</v>
      </c>
      <c r="H1122" s="1">
        <v>1.9301816327343229</v>
      </c>
      <c r="I1122" s="1">
        <v>1010.1995970262027</v>
      </c>
      <c r="K1122" s="1">
        <f t="shared" si="51"/>
        <v>0.5625806742905527</v>
      </c>
      <c r="L1122" s="1">
        <f t="shared" si="52"/>
        <v>0.95058255019481308</v>
      </c>
      <c r="M1122" s="1">
        <f t="shared" si="53"/>
        <v>496.90062759489336</v>
      </c>
      <c r="N1122"/>
      <c r="P1122" s="1"/>
    </row>
    <row r="1123" spans="1:19" x14ac:dyDescent="0.3">
      <c r="A1123" s="1">
        <v>1239</v>
      </c>
      <c r="C1123" s="1" t="s">
        <v>15</v>
      </c>
      <c r="D1123" s="1">
        <v>24</v>
      </c>
      <c r="E1123" s="1">
        <v>100</v>
      </c>
      <c r="F1123" s="1">
        <v>45</v>
      </c>
      <c r="G1123" s="1">
        <v>0.48100790386512571</v>
      </c>
      <c r="H1123" s="1">
        <v>1.7402648529938769</v>
      </c>
      <c r="I1123" s="1">
        <v>1229.0819764216769</v>
      </c>
      <c r="K1123" s="1">
        <f t="shared" si="51"/>
        <v>0.55273969819888613</v>
      </c>
      <c r="L1123" s="1">
        <f t="shared" si="52"/>
        <v>0.85705167530263204</v>
      </c>
      <c r="M1123" s="1">
        <f t="shared" si="53"/>
        <v>604.56528318498431</v>
      </c>
      <c r="N1123"/>
      <c r="P1123" s="1"/>
    </row>
    <row r="1124" spans="1:19" x14ac:dyDescent="0.3">
      <c r="A1124" s="1">
        <v>1240</v>
      </c>
      <c r="C1124" s="1" t="s">
        <v>15</v>
      </c>
      <c r="D1124" s="1">
        <v>24</v>
      </c>
      <c r="E1124" s="1">
        <v>101</v>
      </c>
      <c r="F1124" s="1">
        <v>0</v>
      </c>
      <c r="G1124" s="1">
        <v>0.38724311482681817</v>
      </c>
      <c r="H1124" s="1">
        <v>1.8502166728436087</v>
      </c>
      <c r="I1124" s="1">
        <v>477.53753603546937</v>
      </c>
      <c r="K1124" s="1">
        <f t="shared" si="51"/>
        <v>0.44499194441301754</v>
      </c>
      <c r="L1124" s="1">
        <f t="shared" si="52"/>
        <v>0.9112011291875789</v>
      </c>
      <c r="M1124" s="1">
        <f t="shared" si="53"/>
        <v>234.89288854862701</v>
      </c>
      <c r="N1124" s="1">
        <f>SLOPE(K1124:K1127,F1124:F1127)</f>
        <v>2.1334507205541006E-3</v>
      </c>
      <c r="O1124" s="1">
        <f>SLOPE(L1124:L1127,F1124:F1127)</f>
        <v>-5.9072131510851176E-4</v>
      </c>
      <c r="P1124" s="1">
        <f>SLOPE(M1124:M1127,F1124:F1127)</f>
        <v>4.4142782821706925</v>
      </c>
      <c r="Q1124" s="1">
        <f>(N1124*41.35/0.31*60)/1000</f>
        <v>1.7074487863531364E-2</v>
      </c>
      <c r="R1124" s="1">
        <f>O1124*41.35/0.31*60/1000</f>
        <v>-4.7276760734974773E-3</v>
      </c>
      <c r="S1124" s="1">
        <f>(O1124*41.35/0.31*60)/1000</f>
        <v>-4.7276760734974773E-3</v>
      </c>
    </row>
    <row r="1125" spans="1:19" x14ac:dyDescent="0.3">
      <c r="A1125" s="1">
        <v>1241</v>
      </c>
      <c r="C1125" s="1" t="s">
        <v>15</v>
      </c>
      <c r="D1125" s="1">
        <v>24</v>
      </c>
      <c r="E1125" s="1">
        <v>102</v>
      </c>
      <c r="F1125" s="1">
        <v>15</v>
      </c>
      <c r="G1125" s="1">
        <v>0.42441979747068537</v>
      </c>
      <c r="H1125" s="1">
        <v>1.8113448173411784</v>
      </c>
      <c r="I1125" s="1">
        <v>654.31694986831724</v>
      </c>
      <c r="K1125" s="1">
        <f t="shared" si="51"/>
        <v>0.48771271506872982</v>
      </c>
      <c r="L1125" s="1">
        <f t="shared" si="52"/>
        <v>0.89205738286461811</v>
      </c>
      <c r="M1125" s="1">
        <f t="shared" si="53"/>
        <v>321.84778532148823</v>
      </c>
      <c r="N1125"/>
      <c r="P1125" s="1"/>
    </row>
    <row r="1126" spans="1:19" x14ac:dyDescent="0.3">
      <c r="A1126" s="1">
        <v>1242</v>
      </c>
      <c r="C1126" s="1" t="s">
        <v>15</v>
      </c>
      <c r="D1126" s="1">
        <v>24</v>
      </c>
      <c r="E1126" s="1">
        <v>103</v>
      </c>
      <c r="F1126" s="1">
        <v>30</v>
      </c>
      <c r="G1126" s="1">
        <v>0.4513864518379031</v>
      </c>
      <c r="H1126" s="1">
        <v>1.841331677300196</v>
      </c>
      <c r="I1126" s="1">
        <v>775.76303910031845</v>
      </c>
      <c r="K1126" s="1">
        <f t="shared" si="51"/>
        <v>0.51870085533959964</v>
      </c>
      <c r="L1126" s="1">
        <f t="shared" si="52"/>
        <v>0.90682541574233078</v>
      </c>
      <c r="M1126" s="1">
        <f t="shared" si="53"/>
        <v>381.58512647265638</v>
      </c>
      <c r="N1126"/>
      <c r="P1126" s="1"/>
    </row>
    <row r="1127" spans="1:19" x14ac:dyDescent="0.3">
      <c r="A1127" s="1">
        <v>1243</v>
      </c>
      <c r="C1127" s="1" t="s">
        <v>15</v>
      </c>
      <c r="D1127" s="1">
        <v>24</v>
      </c>
      <c r="E1127" s="1">
        <v>104</v>
      </c>
      <c r="F1127" s="1">
        <v>45</v>
      </c>
      <c r="G1127" s="1">
        <v>0.4710833377024552</v>
      </c>
      <c r="H1127" s="1">
        <v>1.7802473329392339</v>
      </c>
      <c r="I1127" s="1">
        <v>885.76716956651251</v>
      </c>
      <c r="K1127" s="1">
        <f t="shared" si="51"/>
        <v>0.54133510035043264</v>
      </c>
      <c r="L1127" s="1">
        <f t="shared" si="52"/>
        <v>0.87674238580624908</v>
      </c>
      <c r="M1127" s="1">
        <f t="shared" si="53"/>
        <v>435.69435560677226</v>
      </c>
      <c r="N1127"/>
      <c r="P1127" s="1"/>
    </row>
    <row r="1128" spans="1:19" x14ac:dyDescent="0.3">
      <c r="A1128" s="1">
        <v>1244</v>
      </c>
      <c r="C1128" s="1" t="s">
        <v>15</v>
      </c>
      <c r="D1128" s="1">
        <v>24</v>
      </c>
      <c r="E1128" s="1">
        <v>105</v>
      </c>
      <c r="F1128" s="1">
        <v>0</v>
      </c>
      <c r="G1128" s="1">
        <v>0.38649139792667336</v>
      </c>
      <c r="H1128" s="1">
        <v>1.8324466817567833</v>
      </c>
      <c r="I1128" s="1">
        <v>414.83344030629502</v>
      </c>
      <c r="K1128" s="1">
        <f t="shared" si="51"/>
        <v>0.44412812540052676</v>
      </c>
      <c r="L1128" s="1">
        <f t="shared" si="52"/>
        <v>0.90244970229708243</v>
      </c>
      <c r="M1128" s="1">
        <f t="shared" si="53"/>
        <v>204.04977139403877</v>
      </c>
      <c r="N1128" s="1">
        <f>SLOPE(K1128:K1131,F1128:F1131)</f>
        <v>1.5382539073062723E-3</v>
      </c>
      <c r="O1128" s="1">
        <f>SLOPE(L1128:L1131,F1128:F1131)</f>
        <v>-7.8762842014467932E-4</v>
      </c>
      <c r="P1128" s="1">
        <f>SLOPE(M1128:M1131,F1128:F1131)</f>
        <v>9.2735973191858037</v>
      </c>
      <c r="Q1128" s="1">
        <f>(N1128*41.35/0.31*60)/1000</f>
        <v>1.2310993367828585E-2</v>
      </c>
      <c r="R1128" s="1">
        <f>O1128*41.35/0.31*60/1000</f>
        <v>-6.3035680979966115E-3</v>
      </c>
      <c r="S1128" s="1">
        <f>(O1128*41.35/0.31*60)/1000</f>
        <v>-6.3035680979966115E-3</v>
      </c>
    </row>
    <row r="1129" spans="1:19" x14ac:dyDescent="0.3">
      <c r="A1129" s="1">
        <v>1245</v>
      </c>
      <c r="C1129" s="1" t="s">
        <v>15</v>
      </c>
      <c r="D1129" s="1">
        <v>24</v>
      </c>
      <c r="E1129" s="1">
        <v>106</v>
      </c>
      <c r="F1129" s="1">
        <v>15</v>
      </c>
      <c r="G1129" s="1">
        <v>0.41477117801819458</v>
      </c>
      <c r="H1129" s="1">
        <v>1.8080129440123984</v>
      </c>
      <c r="I1129" s="1">
        <v>822.84190066430881</v>
      </c>
      <c r="K1129" s="1">
        <f t="shared" si="51"/>
        <v>0.47662521533878549</v>
      </c>
      <c r="L1129" s="1">
        <f t="shared" si="52"/>
        <v>0.8904164903226498</v>
      </c>
      <c r="M1129" s="1">
        <f t="shared" si="53"/>
        <v>404.74244699274476</v>
      </c>
      <c r="N1129"/>
      <c r="P1129" s="1"/>
    </row>
    <row r="1130" spans="1:19" x14ac:dyDescent="0.3">
      <c r="A1130" s="1">
        <v>1246</v>
      </c>
      <c r="C1130" s="1" t="s">
        <v>15</v>
      </c>
      <c r="D1130" s="1">
        <v>24</v>
      </c>
      <c r="E1130" s="1">
        <v>107</v>
      </c>
      <c r="F1130" s="1">
        <v>30</v>
      </c>
      <c r="G1130" s="1">
        <v>0.43700867669716004</v>
      </c>
      <c r="H1130" s="1">
        <v>1.7813579573821603</v>
      </c>
      <c r="I1130" s="1">
        <v>1121.3586317533729</v>
      </c>
      <c r="K1130" s="1">
        <f t="shared" si="51"/>
        <v>0.50217894992347956</v>
      </c>
      <c r="L1130" s="1">
        <f t="shared" si="52"/>
        <v>0.87728934998690511</v>
      </c>
      <c r="M1130" s="1">
        <f t="shared" si="53"/>
        <v>551.57793520951998</v>
      </c>
      <c r="N1130"/>
      <c r="P1130" s="1"/>
    </row>
    <row r="1131" spans="1:19" x14ac:dyDescent="0.3">
      <c r="A1131" s="1">
        <v>1247</v>
      </c>
      <c r="C1131" s="1" t="s">
        <v>15</v>
      </c>
      <c r="D1131" s="1">
        <v>24</v>
      </c>
      <c r="E1131" s="1">
        <v>108</v>
      </c>
      <c r="F1131" s="1">
        <v>45</v>
      </c>
      <c r="G1131" s="1">
        <v>0.44601024869129829</v>
      </c>
      <c r="H1131" s="1">
        <v>1.761366717409482</v>
      </c>
      <c r="I1131" s="1">
        <v>1257.9896103716762</v>
      </c>
      <c r="K1131" s="1">
        <f t="shared" si="51"/>
        <v>0.51252290923760901</v>
      </c>
      <c r="L1131" s="1">
        <f t="shared" si="52"/>
        <v>0.8674439947350967</v>
      </c>
      <c r="M1131" s="1">
        <f t="shared" si="53"/>
        <v>618.78447461440385</v>
      </c>
      <c r="N1131"/>
      <c r="P1131" s="1"/>
    </row>
    <row r="1132" spans="1:19" x14ac:dyDescent="0.3">
      <c r="A1132" s="1">
        <v>1248</v>
      </c>
      <c r="C1132" s="1" t="s">
        <v>15</v>
      </c>
      <c r="D1132" s="1">
        <v>24</v>
      </c>
      <c r="E1132" s="1">
        <v>109</v>
      </c>
      <c r="F1132" s="1">
        <v>0</v>
      </c>
      <c r="G1132" s="1">
        <v>0.38724311482681817</v>
      </c>
      <c r="H1132" s="1">
        <v>1.8957522750035987</v>
      </c>
      <c r="I1132" s="1">
        <v>665.77992508948023</v>
      </c>
      <c r="K1132" s="1">
        <f t="shared" si="51"/>
        <v>0.44499194441301754</v>
      </c>
      <c r="L1132" s="1">
        <f t="shared" si="52"/>
        <v>0.93362666059447619</v>
      </c>
      <c r="M1132" s="1">
        <f t="shared" si="53"/>
        <v>327.48623498853249</v>
      </c>
      <c r="N1132" s="1">
        <f>SLOPE(K1132:K1135,F1132:F1135)</f>
        <v>1.0538591952386849E-3</v>
      </c>
      <c r="O1132" s="1">
        <f>SLOPE(L1132:L1135,F1132:F1135)</f>
        <v>-1.3418854565427907E-3</v>
      </c>
      <c r="P1132" s="1">
        <f>SLOPE(M1132:M1135,F1132:F1135)</f>
        <v>7.571478634556966</v>
      </c>
      <c r="Q1132" s="1">
        <f>(N1132*41.35/0.31*60)/1000</f>
        <v>8.4342731077005732E-3</v>
      </c>
      <c r="R1132" s="1">
        <f>O1132*41.35/0.31*60/1000</f>
        <v>-1.0739412315105366E-2</v>
      </c>
      <c r="S1132" s="1">
        <f>(O1132*41.35/0.31*60)/1000</f>
        <v>-1.0739412315105366E-2</v>
      </c>
    </row>
    <row r="1133" spans="1:19" x14ac:dyDescent="0.3">
      <c r="A1133" s="1">
        <v>1249</v>
      </c>
      <c r="C1133" s="1" t="s">
        <v>15</v>
      </c>
      <c r="D1133" s="1">
        <v>24</v>
      </c>
      <c r="E1133" s="1">
        <v>110</v>
      </c>
      <c r="F1133" s="1">
        <v>15</v>
      </c>
      <c r="G1133" s="1">
        <v>0.40467533458713678</v>
      </c>
      <c r="H1133" s="1">
        <v>1.8180085639987378</v>
      </c>
      <c r="I1133" s="1">
        <v>900.05635764122553</v>
      </c>
      <c r="K1133" s="1">
        <f t="shared" si="51"/>
        <v>0.46502379796849874</v>
      </c>
      <c r="L1133" s="1">
        <f t="shared" si="52"/>
        <v>0.89533916794855406</v>
      </c>
      <c r="M1133" s="1">
        <f t="shared" si="53"/>
        <v>442.72297306321161</v>
      </c>
      <c r="N1133"/>
      <c r="P1133" s="1"/>
    </row>
    <row r="1134" spans="1:19" x14ac:dyDescent="0.3">
      <c r="A1134" s="1">
        <v>1250</v>
      </c>
      <c r="C1134" s="1" t="s">
        <v>15</v>
      </c>
      <c r="D1134" s="1">
        <v>24</v>
      </c>
      <c r="E1134" s="1">
        <v>111</v>
      </c>
      <c r="F1134" s="1">
        <v>30</v>
      </c>
      <c r="G1134" s="1">
        <v>0.41689311306543864</v>
      </c>
      <c r="H1134" s="1">
        <v>1.795796075140206</v>
      </c>
      <c r="I1134" s="1">
        <v>1123.9166346052405</v>
      </c>
      <c r="K1134" s="1">
        <f t="shared" si="51"/>
        <v>0.47906359052594288</v>
      </c>
      <c r="L1134" s="1">
        <f t="shared" si="52"/>
        <v>0.88439988433543348</v>
      </c>
      <c r="M1134" s="1">
        <f t="shared" si="53"/>
        <v>552.83617489425569</v>
      </c>
      <c r="N1134"/>
      <c r="P1134" s="1"/>
    </row>
    <row r="1135" spans="1:19" x14ac:dyDescent="0.3">
      <c r="A1135" s="1">
        <v>1251</v>
      </c>
      <c r="C1135" s="1" t="s">
        <v>15</v>
      </c>
      <c r="D1135" s="1">
        <v>24</v>
      </c>
      <c r="E1135" s="1">
        <v>112</v>
      </c>
      <c r="F1135" s="1">
        <v>45</v>
      </c>
      <c r="G1135" s="1">
        <v>0.42902525290954679</v>
      </c>
      <c r="H1135" s="1">
        <v>1.766919839624115</v>
      </c>
      <c r="I1135" s="1">
        <v>1360.801109188272</v>
      </c>
      <c r="K1135" s="1">
        <f t="shared" si="51"/>
        <v>0.4930049733224704</v>
      </c>
      <c r="L1135" s="1">
        <f t="shared" si="52"/>
        <v>0.87017881563837685</v>
      </c>
      <c r="M1135" s="1">
        <f t="shared" si="53"/>
        <v>669.35576610603277</v>
      </c>
      <c r="N1135"/>
      <c r="P1135" s="1"/>
    </row>
    <row r="1136" spans="1:19" x14ac:dyDescent="0.3">
      <c r="A1136" s="1">
        <v>1252</v>
      </c>
      <c r="C1136" s="1" t="s">
        <v>15</v>
      </c>
      <c r="D1136" s="1">
        <v>24</v>
      </c>
      <c r="E1136" s="1">
        <v>113</v>
      </c>
      <c r="F1136" s="1">
        <v>0</v>
      </c>
      <c r="G1136" s="1">
        <v>0.38693862190524048</v>
      </c>
      <c r="H1136" s="1">
        <v>1.8924204016748187</v>
      </c>
      <c r="I1136" s="1">
        <v>559.70587177480593</v>
      </c>
      <c r="K1136" s="1">
        <f t="shared" si="51"/>
        <v>0.44464204304086929</v>
      </c>
      <c r="L1136" s="1">
        <f t="shared" si="52"/>
        <v>0.93198576805250788</v>
      </c>
      <c r="M1136" s="1">
        <f t="shared" si="53"/>
        <v>275.3101464029134</v>
      </c>
      <c r="N1136" s="1">
        <f>SLOPE(K1136:K1139,F1136:F1139)</f>
        <v>2.9836381587548902E-4</v>
      </c>
      <c r="O1136" s="1">
        <f>SLOPE(L1136:L1139,F1136:F1139)</f>
        <v>-8.5691054969444427E-4</v>
      </c>
      <c r="P1136" s="1">
        <f>SLOPE(M1136:M1139,F1136:F1139)</f>
        <v>1.18388736784133</v>
      </c>
      <c r="Q1136" s="1">
        <f>(N1136*41.35/0.31*60)/1000</f>
        <v>2.3878729909260913E-3</v>
      </c>
      <c r="R1136" s="1">
        <f>O1136*41.35/0.31*60/1000</f>
        <v>-6.8580486251352138E-3</v>
      </c>
      <c r="S1136" s="1">
        <f>(O1136*41.35/0.31*60)/1000</f>
        <v>-6.8580486251352138E-3</v>
      </c>
    </row>
    <row r="1137" spans="1:19" x14ac:dyDescent="0.3">
      <c r="A1137" s="1">
        <v>1253</v>
      </c>
      <c r="C1137" s="1" t="s">
        <v>15</v>
      </c>
      <c r="D1137" s="1">
        <v>24</v>
      </c>
      <c r="E1137" s="1">
        <v>114</v>
      </c>
      <c r="F1137" s="1">
        <v>15</v>
      </c>
      <c r="G1137" s="1">
        <v>0.39271447201141602</v>
      </c>
      <c r="H1137" s="1">
        <v>1.8235616862133708</v>
      </c>
      <c r="I1137" s="1">
        <v>583.82175390370082</v>
      </c>
      <c r="K1137" s="1">
        <f t="shared" si="51"/>
        <v>0.45127923469380454</v>
      </c>
      <c r="L1137" s="1">
        <f t="shared" si="52"/>
        <v>0.89807398885183443</v>
      </c>
      <c r="M1137" s="1">
        <f t="shared" si="53"/>
        <v>287.17235363416563</v>
      </c>
      <c r="N1137"/>
      <c r="P1137" s="1"/>
    </row>
    <row r="1138" spans="1:19" x14ac:dyDescent="0.3">
      <c r="A1138" s="1">
        <v>1254</v>
      </c>
      <c r="C1138" s="1" t="s">
        <v>15</v>
      </c>
      <c r="D1138" s="1">
        <v>24</v>
      </c>
      <c r="E1138" s="1">
        <v>115</v>
      </c>
      <c r="F1138" s="1">
        <v>30</v>
      </c>
      <c r="G1138" s="1">
        <v>0.39840468348339764</v>
      </c>
      <c r="H1138" s="1">
        <v>1.8157873151128845</v>
      </c>
      <c r="I1138" s="1">
        <v>708.66850576897536</v>
      </c>
      <c r="K1138" s="1">
        <f t="shared" si="51"/>
        <v>0.45781801658582283</v>
      </c>
      <c r="L1138" s="1">
        <f t="shared" si="52"/>
        <v>0.894245239587242</v>
      </c>
      <c r="M1138" s="1">
        <f t="shared" si="53"/>
        <v>348.58242500784263</v>
      </c>
      <c r="N1138"/>
      <c r="P1138" s="1"/>
    </row>
    <row r="1139" spans="1:19" x14ac:dyDescent="0.3">
      <c r="A1139" s="1">
        <v>1255</v>
      </c>
      <c r="C1139" s="1" t="s">
        <v>15</v>
      </c>
      <c r="D1139" s="1">
        <v>24</v>
      </c>
      <c r="E1139" s="1">
        <v>116</v>
      </c>
      <c r="F1139" s="1">
        <v>45</v>
      </c>
      <c r="G1139" s="1">
        <v>0.39802406733142565</v>
      </c>
      <c r="H1139" s="1">
        <v>1.8080129440123984</v>
      </c>
      <c r="I1139" s="1">
        <v>638.4325127537461</v>
      </c>
      <c r="K1139" s="1">
        <f t="shared" si="51"/>
        <v>0.45738063987063765</v>
      </c>
      <c r="L1139" s="1">
        <f t="shared" si="52"/>
        <v>0.8904164903226498</v>
      </c>
      <c r="M1139" s="1">
        <f t="shared" si="53"/>
        <v>314.03449100375423</v>
      </c>
      <c r="N1139"/>
      <c r="P1139" s="1"/>
    </row>
    <row r="1140" spans="1:19" x14ac:dyDescent="0.3">
      <c r="A1140" s="1">
        <v>1256</v>
      </c>
      <c r="C1140" s="1" t="s">
        <v>15</v>
      </c>
      <c r="D1140" s="1">
        <v>24</v>
      </c>
      <c r="E1140" s="1">
        <v>117</v>
      </c>
      <c r="F1140" s="1">
        <v>0</v>
      </c>
      <c r="G1140" s="1">
        <v>0.38835641707133634</v>
      </c>
      <c r="H1140" s="1">
        <v>1.8901991527889659</v>
      </c>
      <c r="I1140" s="1">
        <v>424.54704581499129</v>
      </c>
      <c r="K1140" s="1">
        <f t="shared" si="51"/>
        <v>0.44627127130493416</v>
      </c>
      <c r="L1140" s="1">
        <f t="shared" si="52"/>
        <v>0.93089183969119604</v>
      </c>
      <c r="M1140" s="1">
        <f t="shared" si="53"/>
        <v>208.82773476651397</v>
      </c>
      <c r="N1140" s="1">
        <f>SLOPE(K1140:K1143,F1140:F1143)</f>
        <v>1.1011687765978828E-3</v>
      </c>
      <c r="O1140" s="1">
        <f>SLOPE(L1140:L1143,F1140:F1143)</f>
        <v>-7.8398199227364205E-4</v>
      </c>
      <c r="P1140" s="1">
        <f>SLOPE(M1140:M1143,F1140:F1143)</f>
        <v>7.3862246649073677</v>
      </c>
      <c r="Q1140" s="1">
        <f>(N1140*41.35/0.31*60)/1000</f>
        <v>8.8129023701269283E-3</v>
      </c>
      <c r="R1140" s="1">
        <f>O1140*41.35/0.31*60/1000</f>
        <v>-6.2743849123577614E-3</v>
      </c>
      <c r="S1140" s="1">
        <f>(O1140*41.35/0.31*60)/1000</f>
        <v>-6.2743849123577614E-3</v>
      </c>
    </row>
    <row r="1141" spans="1:19" x14ac:dyDescent="0.3">
      <c r="A1141" s="1">
        <v>1257</v>
      </c>
      <c r="C1141" s="1" t="s">
        <v>15</v>
      </c>
      <c r="D1141" s="1">
        <v>24</v>
      </c>
      <c r="E1141" s="1">
        <v>118</v>
      </c>
      <c r="F1141" s="1">
        <v>15</v>
      </c>
      <c r="G1141" s="1">
        <v>0.41217347278098559</v>
      </c>
      <c r="H1141" s="1">
        <v>1.8524379217294618</v>
      </c>
      <c r="I1141" s="1">
        <v>797.2458596082181</v>
      </c>
      <c r="K1141" s="1">
        <f t="shared" si="51"/>
        <v>0.47364011925764671</v>
      </c>
      <c r="L1141" s="1">
        <f t="shared" si="52"/>
        <v>0.91229505754889095</v>
      </c>
      <c r="M1141" s="1">
        <f t="shared" si="53"/>
        <v>392.15217384063004</v>
      </c>
      <c r="N1141"/>
      <c r="P1141" s="1"/>
    </row>
    <row r="1142" spans="1:19" x14ac:dyDescent="0.3">
      <c r="A1142" s="1">
        <v>1258</v>
      </c>
      <c r="C1142" s="1" t="s">
        <v>15</v>
      </c>
      <c r="D1142" s="1">
        <v>24</v>
      </c>
      <c r="E1142" s="1">
        <v>119</v>
      </c>
      <c r="F1142" s="1">
        <v>30</v>
      </c>
      <c r="G1142" s="1">
        <v>0.43975862839515784</v>
      </c>
      <c r="H1142" s="1">
        <v>1.8235616862133708</v>
      </c>
      <c r="I1142" s="1">
        <v>1035.6905558055148</v>
      </c>
      <c r="K1142" s="1">
        <f t="shared" si="51"/>
        <v>0.50533899669069249</v>
      </c>
      <c r="L1142" s="1">
        <f t="shared" si="52"/>
        <v>0.89807398885183443</v>
      </c>
      <c r="M1142" s="1">
        <f t="shared" si="53"/>
        <v>509.43921249704829</v>
      </c>
      <c r="N1142"/>
      <c r="P1142" s="1"/>
    </row>
    <row r="1143" spans="1:19" x14ac:dyDescent="0.3">
      <c r="A1143" s="1">
        <v>1259</v>
      </c>
      <c r="C1143" s="1" t="s">
        <v>15</v>
      </c>
      <c r="D1143" s="1">
        <v>24</v>
      </c>
      <c r="E1143" s="1">
        <v>120</v>
      </c>
      <c r="F1143" s="1">
        <v>45</v>
      </c>
      <c r="G1143" s="1">
        <v>0.42707459513069018</v>
      </c>
      <c r="H1143" s="1">
        <v>1.8202298128845908</v>
      </c>
      <c r="I1143" s="1">
        <v>1095.8756792427678</v>
      </c>
      <c r="K1143" s="1">
        <f t="shared" si="51"/>
        <v>0.49076341765714637</v>
      </c>
      <c r="L1143" s="1">
        <f t="shared" si="52"/>
        <v>0.89643309630986612</v>
      </c>
      <c r="M1143" s="1">
        <f t="shared" si="53"/>
        <v>539.04328845974294</v>
      </c>
      <c r="N1143"/>
      <c r="P1143" s="1"/>
    </row>
    <row r="1144" spans="1:19" x14ac:dyDescent="0.3">
      <c r="A1144" s="1">
        <v>1260</v>
      </c>
      <c r="C1144" s="1" t="s">
        <v>15</v>
      </c>
      <c r="D1144" s="1">
        <v>24</v>
      </c>
      <c r="E1144" s="1">
        <v>121</v>
      </c>
      <c r="F1144" s="1">
        <v>0</v>
      </c>
      <c r="G1144" s="1">
        <v>0.38702426053943423</v>
      </c>
      <c r="H1144" s="1">
        <v>1.837999803971416</v>
      </c>
      <c r="I1144" s="1">
        <v>457.24164486337366</v>
      </c>
      <c r="K1144" s="1">
        <f t="shared" si="51"/>
        <v>0.44474045280178603</v>
      </c>
      <c r="L1144" s="1">
        <f t="shared" si="52"/>
        <v>0.90518452320036258</v>
      </c>
      <c r="M1144" s="1">
        <f t="shared" si="53"/>
        <v>224.90967227067551</v>
      </c>
      <c r="N1144" s="1">
        <f>SLOPE(K1144:K1147,F1144:F1147)</f>
        <v>9.5544943432202152E-4</v>
      </c>
      <c r="O1144" s="1">
        <f>SLOPE(L1144:L1147,F1144:F1147)</f>
        <v>-4.9226776259042593E-4</v>
      </c>
      <c r="P1144" s="1">
        <f>SLOPE(M1144:M1147,F1144:F1147)</f>
        <v>6.9460967551543664</v>
      </c>
      <c r="Q1144" s="1">
        <f>(N1144*41.35/0.31*60)/1000</f>
        <v>7.6466775695255987E-3</v>
      </c>
      <c r="R1144" s="1">
        <f>O1144*41.35/0.31*60/1000</f>
        <v>-3.9397300612478928E-3</v>
      </c>
      <c r="S1144" s="1">
        <f>(O1144*41.35/0.31*60)/1000</f>
        <v>-3.9397300612478928E-3</v>
      </c>
    </row>
    <row r="1145" spans="1:19" x14ac:dyDescent="0.3">
      <c r="A1145" s="1">
        <v>1261</v>
      </c>
      <c r="C1145" s="1" t="s">
        <v>15</v>
      </c>
      <c r="D1145" s="1">
        <v>24</v>
      </c>
      <c r="E1145" s="1">
        <v>122</v>
      </c>
      <c r="F1145" s="1">
        <v>15</v>
      </c>
      <c r="G1145" s="1">
        <v>0.40803427212828985</v>
      </c>
      <c r="H1145" s="1">
        <v>1.806902319569472</v>
      </c>
      <c r="I1145" s="1">
        <v>774.6982053622952</v>
      </c>
      <c r="K1145" s="1">
        <f t="shared" si="51"/>
        <v>0.46888364748000788</v>
      </c>
      <c r="L1145" s="1">
        <f t="shared" si="52"/>
        <v>0.88986952614199377</v>
      </c>
      <c r="M1145" s="1">
        <f t="shared" si="53"/>
        <v>381.06135220639698</v>
      </c>
      <c r="N1145"/>
      <c r="P1145" s="1"/>
    </row>
    <row r="1146" spans="1:19" x14ac:dyDescent="0.3">
      <c r="A1146" s="1">
        <v>1262</v>
      </c>
      <c r="C1146" s="1" t="s">
        <v>15</v>
      </c>
      <c r="D1146" s="1">
        <v>24</v>
      </c>
      <c r="E1146" s="1">
        <v>123</v>
      </c>
      <c r="F1146" s="1">
        <v>30</v>
      </c>
      <c r="G1146" s="1">
        <v>0.4233921338603609</v>
      </c>
      <c r="H1146" s="1">
        <v>1.7802473329392339</v>
      </c>
      <c r="I1146" s="1">
        <v>1064.9784875190935</v>
      </c>
      <c r="K1146" s="1">
        <f t="shared" si="51"/>
        <v>0.48653179793772983</v>
      </c>
      <c r="L1146" s="1">
        <f t="shared" si="52"/>
        <v>0.87674238580624908</v>
      </c>
      <c r="M1146" s="1">
        <f t="shared" si="53"/>
        <v>523.84546616441753</v>
      </c>
      <c r="N1146"/>
      <c r="P1146" s="1"/>
    </row>
    <row r="1147" spans="1:19" x14ac:dyDescent="0.3">
      <c r="A1147" s="1">
        <v>1263</v>
      </c>
      <c r="C1147" s="1" t="s">
        <v>15</v>
      </c>
      <c r="D1147" s="1">
        <v>24</v>
      </c>
      <c r="E1147" s="1">
        <v>124</v>
      </c>
      <c r="F1147" s="1">
        <v>45</v>
      </c>
      <c r="G1147" s="1">
        <v>0.42347777249455459</v>
      </c>
      <c r="H1147" s="1">
        <v>1.7969066995831326</v>
      </c>
      <c r="I1147" s="1">
        <v>1066.5527201035959</v>
      </c>
      <c r="K1147" s="1">
        <f t="shared" si="51"/>
        <v>0.48663020769864646</v>
      </c>
      <c r="L1147" s="1">
        <f t="shared" si="52"/>
        <v>0.88494684851608951</v>
      </c>
      <c r="M1147" s="1">
        <f t="shared" si="53"/>
        <v>524.61980537572026</v>
      </c>
      <c r="N1147"/>
      <c r="P1147" s="1"/>
    </row>
    <row r="1148" spans="1:19" x14ac:dyDescent="0.3">
      <c r="A1148" s="1">
        <v>1264</v>
      </c>
      <c r="C1148" s="1" t="s">
        <v>15</v>
      </c>
      <c r="D1148" s="1">
        <v>24</v>
      </c>
      <c r="E1148" s="1">
        <v>125</v>
      </c>
      <c r="F1148" s="1">
        <v>0</v>
      </c>
      <c r="G1148" s="1">
        <v>0.38940311148925938</v>
      </c>
      <c r="H1148" s="1">
        <v>1.8524379217294618</v>
      </c>
      <c r="I1148" s="1">
        <v>444.94101377874705</v>
      </c>
      <c r="K1148" s="1">
        <f t="shared" si="51"/>
        <v>0.44747405727169343</v>
      </c>
      <c r="L1148" s="1">
        <f t="shared" si="52"/>
        <v>0.91229505754889095</v>
      </c>
      <c r="M1148" s="1">
        <f t="shared" si="53"/>
        <v>218.85919341109459</v>
      </c>
      <c r="N1148" s="1">
        <f>SLOPE(K1148:K1151,F1148:F1151)</f>
        <v>1.199870121991331E-4</v>
      </c>
      <c r="O1148" s="1">
        <f>SLOPE(L1148:L1151,F1148:F1151)</f>
        <v>-3.2088565265153544E-4</v>
      </c>
      <c r="P1148" s="1">
        <f>SLOPE(M1148:M1151,F1148:F1151)</f>
        <v>2.86225571183784</v>
      </c>
      <c r="Q1148" s="1">
        <f>(N1148*41.35/0.31*60)/1000</f>
        <v>9.6028315247112658E-4</v>
      </c>
      <c r="R1148" s="1">
        <f>O1148*41.35/0.31*60/1000</f>
        <v>-2.5681203362208369E-3</v>
      </c>
      <c r="S1148" s="1">
        <f>(O1148*41.35/0.31*60)/1000</f>
        <v>-2.5681203362208369E-3</v>
      </c>
    </row>
    <row r="1149" spans="1:19" x14ac:dyDescent="0.3">
      <c r="A1149" s="1">
        <v>1265</v>
      </c>
      <c r="C1149" s="1" t="s">
        <v>15</v>
      </c>
      <c r="D1149" s="1">
        <v>24</v>
      </c>
      <c r="E1149" s="1">
        <v>126</v>
      </c>
      <c r="F1149" s="1">
        <v>15</v>
      </c>
      <c r="G1149" s="1">
        <v>0.39457949115607888</v>
      </c>
      <c r="H1149" s="1">
        <v>1.8168979395558111</v>
      </c>
      <c r="I1149" s="1">
        <v>724.78912781040106</v>
      </c>
      <c r="K1149" s="1">
        <f t="shared" si="51"/>
        <v>0.45342238059821188</v>
      </c>
      <c r="L1149" s="1">
        <f t="shared" si="52"/>
        <v>0.89479220376789814</v>
      </c>
      <c r="M1149" s="1">
        <f t="shared" si="53"/>
        <v>356.51189482072431</v>
      </c>
      <c r="N1149"/>
      <c r="P1149" s="1"/>
    </row>
    <row r="1150" spans="1:19" x14ac:dyDescent="0.3">
      <c r="A1150" s="1">
        <v>1266</v>
      </c>
      <c r="C1150" s="1" t="s">
        <v>15</v>
      </c>
      <c r="D1150" s="1">
        <v>24</v>
      </c>
      <c r="E1150" s="1">
        <v>127</v>
      </c>
      <c r="F1150" s="1">
        <v>30</v>
      </c>
      <c r="G1150" s="1">
        <v>0.39391341289012782</v>
      </c>
      <c r="H1150" s="1">
        <v>1.8091235684553251</v>
      </c>
      <c r="I1150" s="1">
        <v>732.14989110284512</v>
      </c>
      <c r="K1150" s="1">
        <f t="shared" si="51"/>
        <v>0.45265697134663774</v>
      </c>
      <c r="L1150" s="1">
        <f t="shared" si="52"/>
        <v>0.89096345450330583</v>
      </c>
      <c r="M1150" s="1">
        <f t="shared" si="53"/>
        <v>360.13253366314711</v>
      </c>
      <c r="N1150"/>
      <c r="P1150" s="1"/>
    </row>
    <row r="1151" spans="1:19" x14ac:dyDescent="0.3">
      <c r="A1151" s="1">
        <v>1267</v>
      </c>
      <c r="C1151" s="1" t="s">
        <v>15</v>
      </c>
      <c r="D1151" s="1">
        <v>24</v>
      </c>
      <c r="E1151" s="1">
        <v>128</v>
      </c>
      <c r="F1151" s="1">
        <v>45</v>
      </c>
      <c r="G1151" s="1">
        <v>0.39484592246245931</v>
      </c>
      <c r="H1151" s="1">
        <v>1.8224510617704441</v>
      </c>
      <c r="I1151" s="1">
        <v>733.43589801389749</v>
      </c>
      <c r="K1151" s="1">
        <f t="shared" si="51"/>
        <v>0.45372854429884146</v>
      </c>
      <c r="L1151" s="1">
        <f t="shared" si="52"/>
        <v>0.89752702467117829</v>
      </c>
      <c r="M1151" s="1">
        <f t="shared" si="53"/>
        <v>360.76509938884567</v>
      </c>
      <c r="N1151"/>
      <c r="P1151" s="1"/>
    </row>
    <row r="1152" spans="1:19" x14ac:dyDescent="0.3">
      <c r="A1152" s="1">
        <v>1268</v>
      </c>
      <c r="C1152" s="1" t="s">
        <v>15</v>
      </c>
      <c r="D1152" s="1">
        <v>24</v>
      </c>
      <c r="E1152" s="1">
        <v>129</v>
      </c>
      <c r="F1152" s="1">
        <v>0</v>
      </c>
      <c r="G1152" s="1">
        <v>0.39048786752237963</v>
      </c>
      <c r="H1152" s="1">
        <v>1.8635441661587278</v>
      </c>
      <c r="I1152" s="1">
        <v>429.26073651620288</v>
      </c>
      <c r="K1152" s="1">
        <f t="shared" si="51"/>
        <v>0.44872058090997119</v>
      </c>
      <c r="L1152" s="1">
        <f t="shared" si="52"/>
        <v>0.91776469935545135</v>
      </c>
      <c r="M1152" s="1">
        <f t="shared" si="53"/>
        <v>211.14632197899675</v>
      </c>
      <c r="N1152" s="1">
        <f>SLOPE(K1152:K1155,F1152:F1155)</f>
        <v>1.051162038828372E-4</v>
      </c>
      <c r="O1152" s="1">
        <f>SLOPE(L1152:L1155,F1152:F1155)</f>
        <v>-1.6773568206785033E-4</v>
      </c>
      <c r="P1152" s="1">
        <f>SLOPE(M1152:M1155,F1152:F1155)</f>
        <v>0.61488670331552442</v>
      </c>
      <c r="Q1152" s="1">
        <f>(N1152*41.35/0.31*60)/1000</f>
        <v>8.4126871559135185E-4</v>
      </c>
      <c r="R1152" s="1">
        <f>O1152*41.35/0.31*60/1000</f>
        <v>-1.3424265393881829E-3</v>
      </c>
      <c r="S1152" s="1">
        <f>(O1152*41.35/0.31*60)/1000</f>
        <v>-1.3424265393881829E-3</v>
      </c>
    </row>
    <row r="1153" spans="1:19" x14ac:dyDescent="0.3">
      <c r="A1153" s="1">
        <v>1269</v>
      </c>
      <c r="C1153" s="1" t="s">
        <v>15</v>
      </c>
      <c r="D1153" s="1">
        <v>24</v>
      </c>
      <c r="E1153" s="1">
        <v>130</v>
      </c>
      <c r="F1153" s="1">
        <v>15</v>
      </c>
      <c r="G1153" s="1">
        <v>0.40028873343565918</v>
      </c>
      <c r="H1153" s="1">
        <v>1.8446635506289759</v>
      </c>
      <c r="I1153" s="1">
        <v>567.68111619050762</v>
      </c>
      <c r="K1153" s="1">
        <f t="shared" si="51"/>
        <v>0.4599830313259895</v>
      </c>
      <c r="L1153" s="1">
        <f t="shared" si="52"/>
        <v>0.90846630828429886</v>
      </c>
      <c r="M1153" s="1">
        <f t="shared" si="53"/>
        <v>279.23303844033921</v>
      </c>
      <c r="N1153"/>
      <c r="P1153" s="1"/>
    </row>
    <row r="1154" spans="1:19" x14ac:dyDescent="0.3">
      <c r="A1154" s="1">
        <v>1270</v>
      </c>
      <c r="C1154" s="1" t="s">
        <v>15</v>
      </c>
      <c r="D1154" s="1">
        <v>24</v>
      </c>
      <c r="E1154" s="1">
        <v>131</v>
      </c>
      <c r="F1154" s="1">
        <v>30</v>
      </c>
      <c r="G1154" s="1">
        <v>0.39773860521744664</v>
      </c>
      <c r="H1154" s="1">
        <v>1.843552926186049</v>
      </c>
      <c r="I1154" s="1">
        <v>564.21740419116725</v>
      </c>
      <c r="K1154" s="1">
        <f t="shared" si="51"/>
        <v>0.45705260733424879</v>
      </c>
      <c r="L1154" s="1">
        <f t="shared" si="52"/>
        <v>0.90791934410364261</v>
      </c>
      <c r="M1154" s="1">
        <f t="shared" si="53"/>
        <v>277.52929526785454</v>
      </c>
      <c r="N1154"/>
      <c r="P1154" s="1"/>
    </row>
    <row r="1155" spans="1:19" x14ac:dyDescent="0.3">
      <c r="A1155" s="1">
        <v>1271</v>
      </c>
      <c r="C1155" s="1" t="s">
        <v>15</v>
      </c>
      <c r="D1155" s="1">
        <v>24</v>
      </c>
      <c r="E1155" s="1">
        <v>132</v>
      </c>
      <c r="F1155" s="1">
        <v>45</v>
      </c>
      <c r="G1155" s="1">
        <v>0.39591164768798093</v>
      </c>
      <c r="H1155" s="1">
        <v>1.846884799514829</v>
      </c>
      <c r="I1155" s="1">
        <v>492.9185790050916</v>
      </c>
      <c r="K1155" s="1">
        <f t="shared" ref="K1155:K1218" si="54">(G1155*28*1)/(0.082*(D1155+273.15))</f>
        <v>0.45495319910135995</v>
      </c>
      <c r="L1155" s="1">
        <f t="shared" ref="L1155:L1218" si="55">(H1155*12*1)/(0.082*(D1155+273.15))</f>
        <v>0.90956023664561092</v>
      </c>
      <c r="M1155" s="1">
        <f t="shared" ref="M1155:M1218" si="56">(I1155*12*1)/(0.0821*(D1155+273.15))</f>
        <v>242.45857153560121</v>
      </c>
      <c r="N1155"/>
      <c r="P1155" s="1"/>
    </row>
    <row r="1156" spans="1:19" x14ac:dyDescent="0.3">
      <c r="A1156" s="1">
        <v>1272</v>
      </c>
      <c r="C1156" s="1" t="s">
        <v>15</v>
      </c>
      <c r="D1156" s="1">
        <v>24</v>
      </c>
      <c r="E1156" s="1">
        <v>133</v>
      </c>
      <c r="F1156" s="1">
        <v>0</v>
      </c>
      <c r="G1156" s="1">
        <v>0.38890831049169577</v>
      </c>
      <c r="H1156" s="1">
        <v>1.8835354061314062</v>
      </c>
      <c r="I1156" s="1">
        <v>459.14913838280233</v>
      </c>
      <c r="K1156" s="1">
        <f t="shared" si="54"/>
        <v>0.44690546754195271</v>
      </c>
      <c r="L1156" s="1">
        <f t="shared" si="55"/>
        <v>0.92761005460725987</v>
      </c>
      <c r="M1156" s="1">
        <f t="shared" si="56"/>
        <v>225.8479370747078</v>
      </c>
      <c r="N1156" s="1">
        <f>SLOPE(K1156:K1159,F1156:F1159)</f>
        <v>5.6392437811208997E-4</v>
      </c>
      <c r="O1156" s="1">
        <f>SLOPE(L1156:L1159,F1156:F1159)</f>
        <v>-8.5326412182340646E-4</v>
      </c>
      <c r="P1156" s="1">
        <f>SLOPE(M1156:M1159,F1156:F1159)</f>
        <v>6.2694401317916375</v>
      </c>
      <c r="Q1156" s="1">
        <f>(N1156*41.35/0.31*60)/1000</f>
        <v>4.5132141357938551E-3</v>
      </c>
      <c r="R1156" s="1">
        <f>O1156*41.35/0.31*60/1000</f>
        <v>-6.8288654394963594E-3</v>
      </c>
      <c r="S1156" s="1">
        <f>(O1156*41.35/0.31*60)/1000</f>
        <v>-6.8288654394963594E-3</v>
      </c>
    </row>
    <row r="1157" spans="1:19" x14ac:dyDescent="0.3">
      <c r="A1157" s="1">
        <v>1273</v>
      </c>
      <c r="C1157" s="1" t="s">
        <v>15</v>
      </c>
      <c r="D1157" s="1">
        <v>24</v>
      </c>
      <c r="E1157" s="1">
        <v>134</v>
      </c>
      <c r="F1157" s="1">
        <v>15</v>
      </c>
      <c r="G1157" s="1">
        <v>0.41058440034650234</v>
      </c>
      <c r="H1157" s="1">
        <v>1.7969066995831326</v>
      </c>
      <c r="I1157" s="1">
        <v>968.31780463660527</v>
      </c>
      <c r="K1157" s="1">
        <f t="shared" si="54"/>
        <v>0.47181407147174853</v>
      </c>
      <c r="L1157" s="1">
        <f t="shared" si="55"/>
        <v>0.88494684851608951</v>
      </c>
      <c r="M1157" s="1">
        <f t="shared" si="56"/>
        <v>476.29966023710284</v>
      </c>
      <c r="N1157"/>
      <c r="P1157" s="1"/>
    </row>
    <row r="1158" spans="1:19" x14ac:dyDescent="0.3">
      <c r="A1158" s="1">
        <v>1274</v>
      </c>
      <c r="C1158" s="1" t="s">
        <v>15</v>
      </c>
      <c r="D1158" s="1">
        <v>24</v>
      </c>
      <c r="E1158" s="1">
        <v>135</v>
      </c>
      <c r="F1158" s="1">
        <v>30</v>
      </c>
      <c r="G1158" s="1">
        <v>0.4162555810108855</v>
      </c>
      <c r="H1158" s="1">
        <v>1.7835792062680138</v>
      </c>
      <c r="I1158" s="1">
        <v>1119.1529047246106</v>
      </c>
      <c r="K1158" s="1">
        <f t="shared" si="54"/>
        <v>0.47833098452800771</v>
      </c>
      <c r="L1158" s="1">
        <f t="shared" si="55"/>
        <v>0.87838327834821728</v>
      </c>
      <c r="M1158" s="1">
        <f t="shared" si="56"/>
        <v>550.49297422941117</v>
      </c>
      <c r="N1158"/>
      <c r="P1158" s="1"/>
    </row>
    <row r="1159" spans="1:19" x14ac:dyDescent="0.3">
      <c r="A1159" s="1">
        <v>1275</v>
      </c>
      <c r="C1159" s="1" t="s">
        <v>15</v>
      </c>
      <c r="D1159" s="1">
        <v>24</v>
      </c>
      <c r="E1159" s="1">
        <v>136</v>
      </c>
      <c r="F1159" s="1">
        <v>45</v>
      </c>
      <c r="G1159" s="1">
        <v>0.41155497153403109</v>
      </c>
      <c r="H1159" s="1">
        <v>1.801349197354839</v>
      </c>
      <c r="I1159" s="1">
        <v>1046.1597529234286</v>
      </c>
      <c r="K1159" s="1">
        <f t="shared" si="54"/>
        <v>0.47292938209547081</v>
      </c>
      <c r="L1159" s="1">
        <f t="shared" si="55"/>
        <v>0.88713470523871363</v>
      </c>
      <c r="M1159" s="1">
        <f t="shared" si="56"/>
        <v>514.58883900018691</v>
      </c>
      <c r="N1159"/>
      <c r="P1159" s="1"/>
    </row>
    <row r="1160" spans="1:19" x14ac:dyDescent="0.3">
      <c r="A1160" s="1">
        <v>1276</v>
      </c>
      <c r="C1160" s="1" t="s">
        <v>15</v>
      </c>
      <c r="D1160" s="1">
        <v>24</v>
      </c>
      <c r="E1160" s="1">
        <v>137</v>
      </c>
      <c r="F1160" s="1">
        <v>0</v>
      </c>
      <c r="G1160" s="1">
        <v>0.38955535795004814</v>
      </c>
      <c r="H1160" s="1">
        <v>1.87576103503092</v>
      </c>
      <c r="I1160" s="1">
        <v>421.98604061235858</v>
      </c>
      <c r="K1160" s="1">
        <f t="shared" si="54"/>
        <v>0.44764900795776746</v>
      </c>
      <c r="L1160" s="1">
        <f t="shared" si="55"/>
        <v>0.92378130534266756</v>
      </c>
      <c r="M1160" s="1">
        <f t="shared" si="56"/>
        <v>207.56801827463639</v>
      </c>
      <c r="N1160" s="1">
        <f>SLOPE(K1160:K1163,F1160:F1163)</f>
        <v>3.6870857090110621E-4</v>
      </c>
      <c r="O1160" s="1">
        <f>SLOPE(L1160:L1163,F1160:F1163)</f>
        <v>-6.9282129549763497E-4</v>
      </c>
      <c r="P1160" s="1">
        <f>SLOPE(M1160:M1163,F1160:F1163)</f>
        <v>5.4932663978396219</v>
      </c>
      <c r="Q1160" s="1">
        <f>(N1160*41.35/0.31*60)/1000</f>
        <v>2.9508579496956276E-3</v>
      </c>
      <c r="R1160" s="1">
        <f>O1160*41.35/0.31*60/1000</f>
        <v>-5.544805271385911E-3</v>
      </c>
      <c r="S1160" s="1">
        <f>(O1160*41.35/0.31*60)/1000</f>
        <v>-5.544805271385911E-3</v>
      </c>
    </row>
    <row r="1161" spans="1:19" x14ac:dyDescent="0.3">
      <c r="A1161" s="1">
        <v>1277</v>
      </c>
      <c r="C1161" s="1" t="s">
        <v>15</v>
      </c>
      <c r="D1161" s="1">
        <v>24</v>
      </c>
      <c r="E1161" s="1">
        <v>138</v>
      </c>
      <c r="F1161" s="1">
        <v>15</v>
      </c>
      <c r="G1161" s="1">
        <v>0.39683464185651307</v>
      </c>
      <c r="H1161" s="1">
        <v>1.8268935595421503</v>
      </c>
      <c r="I1161" s="1">
        <v>696.79821162734675</v>
      </c>
      <c r="K1161" s="1">
        <f t="shared" si="54"/>
        <v>0.45601383763568398</v>
      </c>
      <c r="L1161" s="1">
        <f t="shared" si="55"/>
        <v>0.89971488139380218</v>
      </c>
      <c r="M1161" s="1">
        <f t="shared" si="56"/>
        <v>342.74362183857323</v>
      </c>
      <c r="N1161"/>
      <c r="P1161" s="1"/>
    </row>
    <row r="1162" spans="1:19" x14ac:dyDescent="0.3">
      <c r="A1162" s="1">
        <v>1278</v>
      </c>
      <c r="C1162" s="1" t="s">
        <v>15</v>
      </c>
      <c r="D1162" s="1">
        <v>24</v>
      </c>
      <c r="E1162" s="1">
        <v>139</v>
      </c>
      <c r="F1162" s="1">
        <v>30</v>
      </c>
      <c r="G1162" s="1">
        <v>0.3982334062150103</v>
      </c>
      <c r="H1162" s="1">
        <v>1.849106048400682</v>
      </c>
      <c r="I1162" s="1">
        <v>730.74779329554212</v>
      </c>
      <c r="K1162" s="1">
        <f t="shared" si="54"/>
        <v>0.45762119706398957</v>
      </c>
      <c r="L1162" s="1">
        <f t="shared" si="55"/>
        <v>0.91065416500692298</v>
      </c>
      <c r="M1162" s="1">
        <f t="shared" si="56"/>
        <v>359.44286472796915</v>
      </c>
      <c r="N1162"/>
      <c r="P1162" s="1"/>
    </row>
    <row r="1163" spans="1:19" x14ac:dyDescent="0.3">
      <c r="A1163" s="1">
        <v>1279</v>
      </c>
      <c r="C1163" s="1" t="s">
        <v>15</v>
      </c>
      <c r="D1163" s="1">
        <v>24</v>
      </c>
      <c r="E1163" s="1">
        <v>140</v>
      </c>
      <c r="F1163" s="1">
        <v>45</v>
      </c>
      <c r="G1163" s="1">
        <v>0.40513207396950318</v>
      </c>
      <c r="H1163" s="1">
        <v>1.7980173240260591</v>
      </c>
      <c r="I1163" s="1">
        <v>969.06038605917411</v>
      </c>
      <c r="K1163" s="1">
        <f t="shared" si="54"/>
        <v>0.46554865002672091</v>
      </c>
      <c r="L1163" s="1">
        <f t="shared" si="55"/>
        <v>0.88549381269674554</v>
      </c>
      <c r="M1163" s="1">
        <f t="shared" si="56"/>
        <v>476.66492387015217</v>
      </c>
      <c r="N1163"/>
      <c r="P1163" s="1"/>
    </row>
    <row r="1164" spans="1:19" x14ac:dyDescent="0.3">
      <c r="A1164" s="1">
        <v>1280</v>
      </c>
      <c r="C1164" s="1" t="s">
        <v>15</v>
      </c>
      <c r="D1164" s="1">
        <v>24</v>
      </c>
      <c r="E1164" s="1">
        <v>141</v>
      </c>
      <c r="F1164" s="1">
        <v>0</v>
      </c>
      <c r="G1164" s="1">
        <v>0.39136328467191522</v>
      </c>
      <c r="H1164" s="1">
        <v>1.8579910439440948</v>
      </c>
      <c r="I1164" s="1">
        <v>449.03822178952419</v>
      </c>
      <c r="K1164" s="1">
        <f t="shared" si="54"/>
        <v>0.44972654735489703</v>
      </c>
      <c r="L1164" s="1">
        <f t="shared" si="55"/>
        <v>0.91502987845217121</v>
      </c>
      <c r="M1164" s="1">
        <f t="shared" si="56"/>
        <v>220.87454289047989</v>
      </c>
      <c r="N1164" s="1">
        <f>SLOPE(K1164:K1167,F1164:F1167)</f>
        <v>8.9764281179837964E-4</v>
      </c>
      <c r="O1164" s="1">
        <f>SLOPE(L1164:L1167,F1164:F1167)</f>
        <v>-8.2044627098404831E-4</v>
      </c>
      <c r="P1164" s="1">
        <f>SLOPE(M1164:M1167,F1164:F1167)</f>
        <v>8.937147834368055</v>
      </c>
      <c r="Q1164" s="1">
        <f>(N1164*41.35/0.31*60)/1000</f>
        <v>7.1840381163605803E-3</v>
      </c>
      <c r="R1164" s="1">
        <f>O1164*41.35/0.31*60/1000</f>
        <v>-6.5662167687465297E-3</v>
      </c>
      <c r="S1164" s="1">
        <f>(O1164*41.35/0.31*60)/1000</f>
        <v>-6.5662167687465297E-3</v>
      </c>
    </row>
    <row r="1165" spans="1:19" x14ac:dyDescent="0.3">
      <c r="A1165" s="1">
        <v>1281</v>
      </c>
      <c r="C1165" s="1" t="s">
        <v>15</v>
      </c>
      <c r="D1165" s="1">
        <v>24</v>
      </c>
      <c r="E1165" s="1">
        <v>142</v>
      </c>
      <c r="F1165" s="1">
        <v>15</v>
      </c>
      <c r="G1165" s="1">
        <v>0.40583621385065138</v>
      </c>
      <c r="H1165" s="1">
        <v>1.8246723106562972</v>
      </c>
      <c r="I1165" s="1">
        <v>816.63604163284106</v>
      </c>
      <c r="K1165" s="1">
        <f t="shared" si="54"/>
        <v>0.46635779694981344</v>
      </c>
      <c r="L1165" s="1">
        <f t="shared" si="55"/>
        <v>0.89862095303249034</v>
      </c>
      <c r="M1165" s="1">
        <f t="shared" si="56"/>
        <v>401.68988663083263</v>
      </c>
      <c r="N1165"/>
      <c r="P1165" s="1"/>
    </row>
    <row r="1166" spans="1:19" x14ac:dyDescent="0.3">
      <c r="A1166" s="1">
        <v>1282</v>
      </c>
      <c r="C1166" s="1" t="s">
        <v>15</v>
      </c>
      <c r="D1166" s="1">
        <v>24</v>
      </c>
      <c r="E1166" s="1">
        <v>143</v>
      </c>
      <c r="F1166" s="1">
        <v>30</v>
      </c>
      <c r="G1166" s="1">
        <v>0.4166742587780547</v>
      </c>
      <c r="H1166" s="1">
        <v>1.801349197354839</v>
      </c>
      <c r="I1166" s="1">
        <v>1121.8049812337847</v>
      </c>
      <c r="K1166" s="1">
        <f t="shared" si="54"/>
        <v>0.47881209891471144</v>
      </c>
      <c r="L1166" s="1">
        <f t="shared" si="55"/>
        <v>0.88713470523871363</v>
      </c>
      <c r="M1166" s="1">
        <f t="shared" si="56"/>
        <v>551.79748720458713</v>
      </c>
      <c r="N1166"/>
      <c r="P1166" s="1"/>
    </row>
    <row r="1167" spans="1:19" x14ac:dyDescent="0.3">
      <c r="A1167" s="1">
        <v>1283</v>
      </c>
      <c r="C1167" s="1" t="s">
        <v>15</v>
      </c>
      <c r="D1167" s="1">
        <v>24</v>
      </c>
      <c r="E1167" s="1">
        <v>144</v>
      </c>
      <c r="F1167" s="1">
        <v>45</v>
      </c>
      <c r="G1167" s="1">
        <v>0.42680816382430975</v>
      </c>
      <c r="H1167" s="1">
        <v>1.7824685818250869</v>
      </c>
      <c r="I1167" s="1">
        <v>1255.7768778577954</v>
      </c>
      <c r="K1167" s="1">
        <f t="shared" si="54"/>
        <v>0.49045725395651668</v>
      </c>
      <c r="L1167" s="1">
        <f t="shared" si="55"/>
        <v>0.87783631416756103</v>
      </c>
      <c r="M1167" s="1">
        <f t="shared" si="56"/>
        <v>617.6960677509644</v>
      </c>
      <c r="N1167"/>
      <c r="P1167" s="1"/>
    </row>
    <row r="1168" spans="1:19" x14ac:dyDescent="0.3">
      <c r="A1168" s="1">
        <v>1284</v>
      </c>
      <c r="C1168" s="1" t="s">
        <v>15</v>
      </c>
      <c r="D1168" s="1">
        <v>24</v>
      </c>
      <c r="E1168" s="1">
        <v>145</v>
      </c>
      <c r="F1168" s="1">
        <v>0</v>
      </c>
      <c r="G1168" s="1">
        <v>0.39360891996855019</v>
      </c>
      <c r="H1168" s="1">
        <v>1.8679866639304341</v>
      </c>
      <c r="I1168" s="1">
        <v>441.1210228219478</v>
      </c>
      <c r="K1168" s="1">
        <f t="shared" si="54"/>
        <v>0.45230706997448961</v>
      </c>
      <c r="L1168" s="1">
        <f t="shared" si="55"/>
        <v>0.91995255607807547</v>
      </c>
      <c r="M1168" s="1">
        <f t="shared" si="56"/>
        <v>216.98020245779375</v>
      </c>
      <c r="N1168" s="1">
        <f>SLOPE(K1168:K1171,F1168:F1171)</f>
        <v>2.9369117463492744E-3</v>
      </c>
      <c r="O1168" s="1">
        <f>SLOPE(L1168:L1171,F1168:F1171)</f>
        <v>-7.1105343485283962E-4</v>
      </c>
      <c r="P1168" s="1">
        <f>SLOPE(M1168:M1171,F1168:F1171)</f>
        <v>5.9044620147897247</v>
      </c>
      <c r="Q1168" s="1">
        <f>(N1168*41.35/0.31*60)/1000</f>
        <v>2.3504767879653391E-2</v>
      </c>
      <c r="R1168" s="1">
        <f>O1168*41.35/0.31*60/1000</f>
        <v>-5.6907211995803073E-3</v>
      </c>
      <c r="S1168" s="1">
        <f>(O1168*41.35/0.31*60)/1000</f>
        <v>-5.6907211995803073E-3</v>
      </c>
    </row>
    <row r="1169" spans="1:19" x14ac:dyDescent="0.3">
      <c r="A1169" s="1">
        <v>1285</v>
      </c>
      <c r="C1169" s="1" t="s">
        <v>15</v>
      </c>
      <c r="D1169" s="1">
        <v>24</v>
      </c>
      <c r="E1169" s="1">
        <v>146</v>
      </c>
      <c r="F1169" s="1">
        <v>15</v>
      </c>
      <c r="G1169" s="1">
        <v>0.43527687320568725</v>
      </c>
      <c r="H1169" s="1">
        <v>1.8479954239577554</v>
      </c>
      <c r="I1169" s="1">
        <v>650.45692756798326</v>
      </c>
      <c r="K1169" s="1">
        <f t="shared" si="54"/>
        <v>0.50018888586938692</v>
      </c>
      <c r="L1169" s="1">
        <f t="shared" si="55"/>
        <v>0.91010720082626684</v>
      </c>
      <c r="M1169" s="1">
        <f t="shared" si="56"/>
        <v>319.94910360629797</v>
      </c>
      <c r="N1169"/>
      <c r="P1169" s="1"/>
    </row>
    <row r="1170" spans="1:19" x14ac:dyDescent="0.3">
      <c r="A1170" s="1">
        <v>1286</v>
      </c>
      <c r="C1170" s="1" t="s">
        <v>15</v>
      </c>
      <c r="D1170" s="1">
        <v>24</v>
      </c>
      <c r="E1170" s="1">
        <v>147</v>
      </c>
      <c r="F1170" s="1">
        <v>30</v>
      </c>
      <c r="G1170" s="1">
        <v>0.49327325936242405</v>
      </c>
      <c r="H1170" s="1">
        <v>1.8180085639987378</v>
      </c>
      <c r="I1170" s="1">
        <v>925.78450213098074</v>
      </c>
      <c r="K1170" s="1">
        <f t="shared" si="54"/>
        <v>0.56683416284572841</v>
      </c>
      <c r="L1170" s="1">
        <f t="shared" si="55"/>
        <v>0.89533916794855406</v>
      </c>
      <c r="M1170" s="1">
        <f t="shared" si="56"/>
        <v>455.37822572956151</v>
      </c>
      <c r="N1170"/>
      <c r="P1170" s="1"/>
    </row>
    <row r="1171" spans="1:19" x14ac:dyDescent="0.3">
      <c r="A1171" s="1">
        <v>1287</v>
      </c>
      <c r="C1171" s="1" t="s">
        <v>15</v>
      </c>
      <c r="D1171" s="1">
        <v>24</v>
      </c>
      <c r="E1171" s="1">
        <v>148</v>
      </c>
      <c r="F1171" s="1">
        <v>45</v>
      </c>
      <c r="G1171" s="1">
        <v>0.50206549247297783</v>
      </c>
      <c r="H1171" s="1">
        <v>1.8057916951265454</v>
      </c>
      <c r="I1171" s="1">
        <v>949.53409746653324</v>
      </c>
      <c r="K1171" s="1">
        <f t="shared" si="54"/>
        <v>0.57693756496650617</v>
      </c>
      <c r="L1171" s="1">
        <f t="shared" si="55"/>
        <v>0.88932256196133774</v>
      </c>
      <c r="M1171" s="1">
        <f t="shared" si="56"/>
        <v>467.06026248952543</v>
      </c>
      <c r="N1171"/>
      <c r="P1171" s="1"/>
    </row>
    <row r="1172" spans="1:19" x14ac:dyDescent="0.3">
      <c r="A1172" s="1">
        <v>1288</v>
      </c>
      <c r="C1172" s="1" t="s">
        <v>15</v>
      </c>
      <c r="D1172" s="1">
        <v>24</v>
      </c>
      <c r="E1172" s="1">
        <v>149</v>
      </c>
      <c r="F1172" s="1">
        <v>0</v>
      </c>
      <c r="G1172" s="1">
        <v>0.39080187584775655</v>
      </c>
      <c r="H1172" s="1">
        <v>1.8679866639304341</v>
      </c>
      <c r="I1172" s="1">
        <v>433.72122896955744</v>
      </c>
      <c r="K1172" s="1">
        <f t="shared" si="54"/>
        <v>0.4490814166999989</v>
      </c>
      <c r="L1172" s="1">
        <f t="shared" si="55"/>
        <v>0.91995255607807547</v>
      </c>
      <c r="M1172" s="1">
        <f t="shared" si="56"/>
        <v>213.34036512252882</v>
      </c>
      <c r="N1172" s="1">
        <f>SLOPE(K1172:K1175,F1172:F1175)</f>
        <v>1.0876100984271387E-4</v>
      </c>
      <c r="O1172" s="1">
        <f>SLOPE(L1172:L1175,F1172:F1175)</f>
        <v>-1.0209998038912685E-4</v>
      </c>
      <c r="P1172" s="1">
        <f>SLOPE(M1172:M1175,F1172:F1175)</f>
        <v>0.77869086968021517</v>
      </c>
      <c r="Q1172" s="1">
        <f>(N1172*41.35/0.31*60)/1000</f>
        <v>8.7043892070894546E-4</v>
      </c>
      <c r="R1172" s="1">
        <f>O1172*41.35/0.31*60/1000</f>
        <v>-8.1712919788846374E-4</v>
      </c>
      <c r="S1172" s="1">
        <f>(O1172*41.35/0.31*60)/1000</f>
        <v>-8.1712919788846374E-4</v>
      </c>
    </row>
    <row r="1173" spans="1:19" x14ac:dyDescent="0.3">
      <c r="A1173" s="1">
        <v>1289</v>
      </c>
      <c r="C1173" s="1" t="s">
        <v>15</v>
      </c>
      <c r="D1173" s="1">
        <v>24</v>
      </c>
      <c r="E1173" s="1">
        <v>150</v>
      </c>
      <c r="F1173" s="1">
        <v>15</v>
      </c>
      <c r="G1173" s="1">
        <v>0.39275253362661317</v>
      </c>
      <c r="H1173" s="1">
        <v>1.8646547906016542</v>
      </c>
      <c r="I1173" s="1">
        <v>474.38006381416943</v>
      </c>
      <c r="K1173" s="1">
        <f t="shared" si="54"/>
        <v>0.45132297236532293</v>
      </c>
      <c r="L1173" s="1">
        <f t="shared" si="55"/>
        <v>0.91831166353610727</v>
      </c>
      <c r="M1173" s="1">
        <f t="shared" si="56"/>
        <v>233.33977970459657</v>
      </c>
      <c r="N1173"/>
      <c r="P1173" s="1"/>
    </row>
    <row r="1174" spans="1:19" x14ac:dyDescent="0.3">
      <c r="A1174" s="1">
        <v>1290</v>
      </c>
      <c r="C1174" s="1" t="s">
        <v>15</v>
      </c>
      <c r="D1174" s="1">
        <v>24</v>
      </c>
      <c r="E1174" s="1">
        <v>151</v>
      </c>
      <c r="F1174" s="1">
        <v>30</v>
      </c>
      <c r="G1174" s="1">
        <v>0.39376116642933906</v>
      </c>
      <c r="H1174" s="1">
        <v>1.8568804195011683</v>
      </c>
      <c r="I1174" s="1">
        <v>488.76732868054262</v>
      </c>
      <c r="K1174" s="1">
        <f t="shared" si="54"/>
        <v>0.4524820206605637</v>
      </c>
      <c r="L1174" s="1">
        <f t="shared" si="55"/>
        <v>0.91448291427151518</v>
      </c>
      <c r="M1174" s="1">
        <f t="shared" si="56"/>
        <v>240.41663952766515</v>
      </c>
      <c r="N1174"/>
      <c r="P1174" s="1"/>
    </row>
    <row r="1175" spans="1:19" x14ac:dyDescent="0.3">
      <c r="A1175" s="1">
        <v>1291</v>
      </c>
      <c r="C1175" s="1" t="s">
        <v>15</v>
      </c>
      <c r="D1175" s="1">
        <v>24</v>
      </c>
      <c r="E1175" s="1">
        <v>152</v>
      </c>
      <c r="F1175" s="1">
        <v>45</v>
      </c>
      <c r="G1175" s="1">
        <v>0.39519799240303338</v>
      </c>
      <c r="H1175" s="1">
        <v>1.8602122928299478</v>
      </c>
      <c r="I1175" s="1">
        <v>508.07944958527293</v>
      </c>
      <c r="K1175" s="1">
        <f t="shared" si="54"/>
        <v>0.45413311776038767</v>
      </c>
      <c r="L1175" s="1">
        <f t="shared" si="55"/>
        <v>0.91612380681348315</v>
      </c>
      <c r="M1175" s="1">
        <f t="shared" si="56"/>
        <v>249.91595533218339</v>
      </c>
      <c r="N1175"/>
      <c r="P1175" s="1"/>
    </row>
    <row r="1176" spans="1:19" x14ac:dyDescent="0.3">
      <c r="A1176" s="1">
        <v>1292</v>
      </c>
      <c r="C1176" s="1" t="s">
        <v>15</v>
      </c>
      <c r="D1176" s="1">
        <v>24</v>
      </c>
      <c r="E1176" s="1">
        <v>153</v>
      </c>
      <c r="F1176" s="1">
        <v>0</v>
      </c>
      <c r="G1176" s="1">
        <v>0.39101121473134115</v>
      </c>
      <c r="H1176" s="1">
        <v>1.8846460305743329</v>
      </c>
      <c r="I1176" s="1">
        <v>425.21156611766742</v>
      </c>
      <c r="K1176" s="1">
        <f t="shared" si="54"/>
        <v>0.44932197389335082</v>
      </c>
      <c r="L1176" s="1">
        <f t="shared" si="55"/>
        <v>0.92815701878791601</v>
      </c>
      <c r="M1176" s="1">
        <f t="shared" si="56"/>
        <v>209.15460141387885</v>
      </c>
      <c r="N1176" s="1">
        <f>SLOPE(K1176:K1179,F1176:F1179)</f>
        <v>2.0414558181268204E-3</v>
      </c>
      <c r="O1176" s="1">
        <f>SLOPE(L1176:L1179,F1176:F1179)</f>
        <v>-4.8497490684835297E-4</v>
      </c>
      <c r="P1176" s="1">
        <f>SLOPE(M1176:M1179,F1176:F1179)</f>
        <v>4.9252240170591026</v>
      </c>
      <c r="Q1176" s="1">
        <f>(N1176*41.35/0.31*60)/1000</f>
        <v>1.6338231886363359E-2</v>
      </c>
      <c r="R1176" s="1">
        <f>O1176*41.35/0.31*60/1000</f>
        <v>-3.8813636899702061E-3</v>
      </c>
      <c r="S1176" s="1">
        <f>(O1176*41.35/0.31*60)/1000</f>
        <v>-3.8813636899702061E-3</v>
      </c>
    </row>
    <row r="1177" spans="1:19" x14ac:dyDescent="0.3">
      <c r="A1177" s="1">
        <v>1293</v>
      </c>
      <c r="C1177" s="1" t="s">
        <v>15</v>
      </c>
      <c r="D1177" s="1">
        <v>24</v>
      </c>
      <c r="E1177" s="1">
        <v>154</v>
      </c>
      <c r="F1177" s="1">
        <v>15</v>
      </c>
      <c r="G1177" s="1">
        <v>0.41620800399188901</v>
      </c>
      <c r="H1177" s="1">
        <v>1.8702079128162872</v>
      </c>
      <c r="I1177" s="1">
        <v>634.56048105035165</v>
      </c>
      <c r="K1177" s="1">
        <f t="shared" si="54"/>
        <v>0.47827631243860957</v>
      </c>
      <c r="L1177" s="1">
        <f t="shared" si="55"/>
        <v>0.92104648443938753</v>
      </c>
      <c r="M1177" s="1">
        <f t="shared" si="56"/>
        <v>312.12990205999711</v>
      </c>
      <c r="N1177"/>
      <c r="P1177" s="1"/>
    </row>
    <row r="1178" spans="1:19" x14ac:dyDescent="0.3">
      <c r="A1178" s="1">
        <v>1294</v>
      </c>
      <c r="C1178" s="1" t="s">
        <v>15</v>
      </c>
      <c r="D1178" s="1">
        <v>24</v>
      </c>
      <c r="E1178" s="1">
        <v>155</v>
      </c>
      <c r="F1178" s="1">
        <v>30</v>
      </c>
      <c r="G1178" s="1">
        <v>0.44635280322807314</v>
      </c>
      <c r="H1178" s="1">
        <v>1.8457741750719023</v>
      </c>
      <c r="I1178" s="1">
        <v>775.2096057759511</v>
      </c>
      <c r="K1178" s="1">
        <f t="shared" si="54"/>
        <v>0.51291654828127575</v>
      </c>
      <c r="L1178" s="1">
        <f t="shared" si="55"/>
        <v>0.90901327246495478</v>
      </c>
      <c r="M1178" s="1">
        <f t="shared" si="56"/>
        <v>381.31290168953473</v>
      </c>
      <c r="N1178"/>
      <c r="P1178" s="1"/>
    </row>
    <row r="1179" spans="1:19" x14ac:dyDescent="0.3">
      <c r="A1179" s="1">
        <v>1295</v>
      </c>
      <c r="C1179" s="1" t="s">
        <v>15</v>
      </c>
      <c r="D1179" s="1">
        <v>24</v>
      </c>
      <c r="E1179" s="1">
        <v>156</v>
      </c>
      <c r="F1179" s="1">
        <v>45</v>
      </c>
      <c r="G1179" s="1">
        <v>0.4697892427857504</v>
      </c>
      <c r="H1179" s="1">
        <v>1.843552926186049</v>
      </c>
      <c r="I1179" s="1">
        <v>878.97785370302631</v>
      </c>
      <c r="K1179" s="1">
        <f t="shared" si="54"/>
        <v>0.53984801951880312</v>
      </c>
      <c r="L1179" s="1">
        <f t="shared" si="55"/>
        <v>0.90791934410364261</v>
      </c>
      <c r="M1179" s="1">
        <f t="shared" si="56"/>
        <v>432.35480239032142</v>
      </c>
      <c r="N1179"/>
      <c r="P1179" s="1"/>
    </row>
    <row r="1180" spans="1:19" x14ac:dyDescent="0.3">
      <c r="A1180" s="1">
        <v>1296</v>
      </c>
      <c r="C1180" s="1" t="s">
        <v>15</v>
      </c>
      <c r="D1180" s="1">
        <v>24</v>
      </c>
      <c r="E1180" s="1">
        <v>157</v>
      </c>
      <c r="F1180" s="1">
        <v>0</v>
      </c>
      <c r="G1180" s="1">
        <v>0.39169632380489078</v>
      </c>
      <c r="H1180" s="1">
        <v>1.8779822839167735</v>
      </c>
      <c r="I1180" s="1">
        <v>430.42664939665116</v>
      </c>
      <c r="K1180" s="1">
        <f t="shared" si="54"/>
        <v>0.45010925198068402</v>
      </c>
      <c r="L1180" s="1">
        <f t="shared" si="55"/>
        <v>0.92487523370397973</v>
      </c>
      <c r="M1180" s="1">
        <f t="shared" si="56"/>
        <v>211.71981541902701</v>
      </c>
      <c r="N1180" s="1">
        <f>SLOPE(K1180:K1183,F1180:F1183)</f>
        <v>9.7709958172368955E-4</v>
      </c>
      <c r="O1180" s="1">
        <f>SLOPE(L1180:L1183,F1180:F1183)</f>
        <v>-2.6983566245697568E-4</v>
      </c>
      <c r="P1180" s="1">
        <f>SLOPE(M1180:M1183,F1180:F1183)</f>
        <v>1.9632969503305107</v>
      </c>
      <c r="Q1180" s="1">
        <f>(N1180*41.35/0.31*60)/1000</f>
        <v>7.8199485879241089E-3</v>
      </c>
      <c r="R1180" s="1">
        <f>O1180*41.35/0.31*60/1000</f>
        <v>-2.1595557372766343E-3</v>
      </c>
      <c r="S1180" s="1">
        <f>(O1180*41.35/0.31*60)/1000</f>
        <v>-2.1595557372766343E-3</v>
      </c>
    </row>
    <row r="1181" spans="1:19" x14ac:dyDescent="0.3">
      <c r="A1181" s="1">
        <v>1297</v>
      </c>
      <c r="C1181" s="1" t="s">
        <v>15</v>
      </c>
      <c r="D1181" s="1">
        <v>24</v>
      </c>
      <c r="E1181" s="1">
        <v>158</v>
      </c>
      <c r="F1181" s="1">
        <v>15</v>
      </c>
      <c r="G1181" s="1">
        <v>0.40781541784090591</v>
      </c>
      <c r="H1181" s="1">
        <v>1.8624335417158011</v>
      </c>
      <c r="I1181" s="1">
        <v>545.05640160828034</v>
      </c>
      <c r="K1181" s="1">
        <f t="shared" si="54"/>
        <v>0.46863215586877632</v>
      </c>
      <c r="L1181" s="1">
        <f t="shared" si="55"/>
        <v>0.91721773517479521</v>
      </c>
      <c r="M1181" s="1">
        <f t="shared" si="56"/>
        <v>268.10431208946892</v>
      </c>
      <c r="N1181"/>
      <c r="P1181" s="1"/>
    </row>
    <row r="1182" spans="1:19" x14ac:dyDescent="0.3">
      <c r="A1182" s="1">
        <v>1298</v>
      </c>
      <c r="C1182" s="1" t="s">
        <v>15</v>
      </c>
      <c r="D1182" s="1">
        <v>24</v>
      </c>
      <c r="E1182" s="1">
        <v>159</v>
      </c>
      <c r="F1182" s="1">
        <v>30</v>
      </c>
      <c r="G1182" s="1">
        <v>0.42408675833770987</v>
      </c>
      <c r="H1182" s="1">
        <v>1.8568804195011683</v>
      </c>
      <c r="I1182" s="1">
        <v>595.39381453599583</v>
      </c>
      <c r="K1182" s="1">
        <f t="shared" si="54"/>
        <v>0.48733001044294277</v>
      </c>
      <c r="L1182" s="1">
        <f t="shared" si="55"/>
        <v>0.91448291427151518</v>
      </c>
      <c r="M1182" s="1">
        <f t="shared" si="56"/>
        <v>292.86446062735865</v>
      </c>
      <c r="N1182"/>
      <c r="P1182" s="1"/>
    </row>
    <row r="1183" spans="1:19" x14ac:dyDescent="0.3">
      <c r="A1183" s="1">
        <v>1299</v>
      </c>
      <c r="C1183" s="1" t="s">
        <v>15</v>
      </c>
      <c r="D1183" s="1">
        <v>24</v>
      </c>
      <c r="E1183" s="1">
        <v>160</v>
      </c>
      <c r="F1183" s="1">
        <v>45</v>
      </c>
      <c r="G1183" s="1">
        <v>0.42878736781456428</v>
      </c>
      <c r="H1183" s="1">
        <v>1.8524379217294618</v>
      </c>
      <c r="I1183" s="1">
        <v>613.21676946123512</v>
      </c>
      <c r="K1183" s="1">
        <f t="shared" si="54"/>
        <v>0.49273161287547967</v>
      </c>
      <c r="L1183" s="1">
        <f t="shared" si="55"/>
        <v>0.91229505754889095</v>
      </c>
      <c r="M1183" s="1">
        <f t="shared" si="56"/>
        <v>301.63128008958932</v>
      </c>
      <c r="N1183"/>
      <c r="P1183" s="1"/>
    </row>
    <row r="1184" spans="1:19" x14ac:dyDescent="0.3">
      <c r="A1184" s="1">
        <v>1300</v>
      </c>
      <c r="C1184" s="1" t="s">
        <v>15</v>
      </c>
      <c r="D1184" s="1">
        <v>24</v>
      </c>
      <c r="E1184" s="1" t="s">
        <v>114</v>
      </c>
      <c r="G1184" s="1">
        <v>0.38769985420918451</v>
      </c>
      <c r="H1184" s="1">
        <v>1.8568804195011683</v>
      </c>
      <c r="I1184" s="1">
        <v>411.99521804968441</v>
      </c>
      <c r="K1184" s="1">
        <f t="shared" si="54"/>
        <v>0.4455167964712396</v>
      </c>
      <c r="L1184" s="1">
        <f t="shared" si="55"/>
        <v>0.91448291427151518</v>
      </c>
      <c r="M1184" s="1">
        <f t="shared" si="56"/>
        <v>202.65369637607674</v>
      </c>
      <c r="N1184"/>
      <c r="P1184" s="1"/>
    </row>
    <row r="1185" spans="1:19" x14ac:dyDescent="0.3">
      <c r="A1185" s="1">
        <v>1301</v>
      </c>
      <c r="C1185" s="1" t="s">
        <v>15</v>
      </c>
      <c r="D1185" s="1">
        <v>24</v>
      </c>
      <c r="E1185" s="1" t="s">
        <v>115</v>
      </c>
      <c r="G1185" s="1">
        <v>0.38701474513563494</v>
      </c>
      <c r="H1185" s="1">
        <v>1.8702079128162872</v>
      </c>
      <c r="I1185" s="1">
        <v>405.35601972445346</v>
      </c>
      <c r="K1185" s="1">
        <f t="shared" si="54"/>
        <v>0.44472951838390645</v>
      </c>
      <c r="L1185" s="1">
        <f t="shared" si="55"/>
        <v>0.92104648443938753</v>
      </c>
      <c r="M1185" s="1">
        <f t="shared" si="56"/>
        <v>199.3879835167113</v>
      </c>
      <c r="N1185"/>
      <c r="P1185" s="1"/>
    </row>
    <row r="1186" spans="1:19" x14ac:dyDescent="0.3">
      <c r="A1186" s="1">
        <v>1302</v>
      </c>
      <c r="C1186" s="1" t="s">
        <v>15</v>
      </c>
      <c r="D1186" s="1">
        <v>24</v>
      </c>
      <c r="E1186" s="1" t="s">
        <v>116</v>
      </c>
      <c r="G1186" s="1">
        <v>0.39028804404259437</v>
      </c>
      <c r="H1186" s="1">
        <v>1.8568804195011683</v>
      </c>
      <c r="I1186" s="1">
        <v>408.18323336159204</v>
      </c>
      <c r="K1186" s="1">
        <f t="shared" si="54"/>
        <v>0.44849095813449896</v>
      </c>
      <c r="L1186" s="1">
        <f t="shared" si="55"/>
        <v>0.91448291427151518</v>
      </c>
      <c r="M1186" s="1">
        <f t="shared" si="56"/>
        <v>200.77864357515375</v>
      </c>
      <c r="N1186"/>
      <c r="P1186" s="1"/>
    </row>
    <row r="1187" spans="1:19" x14ac:dyDescent="0.3">
      <c r="A1187" s="1">
        <v>1303</v>
      </c>
      <c r="B1187" s="1" t="s">
        <v>124</v>
      </c>
      <c r="C1187" s="1" t="s">
        <v>15</v>
      </c>
      <c r="D1187" s="1">
        <v>20</v>
      </c>
      <c r="E1187" s="1">
        <v>1</v>
      </c>
      <c r="F1187" s="1">
        <v>0</v>
      </c>
      <c r="G1187" s="1">
        <v>0.4038917054371246</v>
      </c>
      <c r="H1187" s="1">
        <v>1.6759703872185143</v>
      </c>
      <c r="I1187" s="1">
        <v>394.38423184858391</v>
      </c>
      <c r="K1187" s="1">
        <f t="shared" si="54"/>
        <v>0.47045621995896086</v>
      </c>
      <c r="L1187" s="1">
        <f t="shared" si="55"/>
        <v>0.83665003958774831</v>
      </c>
      <c r="M1187" s="1">
        <f t="shared" si="56"/>
        <v>196.63812896221776</v>
      </c>
      <c r="N1187" s="1">
        <f>SLOPE(K1187:K1190,F1187:F1190)</f>
        <v>1.6194888117993284E-3</v>
      </c>
      <c r="O1187" s="1">
        <f>SLOPE(L1187:L1190,F1187:F1190)</f>
        <v>-1.4793348848610426E-4</v>
      </c>
      <c r="P1187" s="1">
        <f>SLOPE(M1187:M1190,F1187:F1190)</f>
        <v>2.6577534214649652</v>
      </c>
      <c r="Q1187" s="1">
        <f>(N1187*41.35/0.31*60)/1000</f>
        <v>1.2961134651852044E-2</v>
      </c>
      <c r="R1187" s="1">
        <f>O1187*41.35/0.31*60/1000</f>
        <v>-1.1839451126904022E-3</v>
      </c>
      <c r="S1187" s="1">
        <f>(O1187*41.35/0.31*60)/1000</f>
        <v>-1.1839451126904022E-3</v>
      </c>
    </row>
    <row r="1188" spans="1:19" x14ac:dyDescent="0.3">
      <c r="A1188" s="1">
        <v>1304</v>
      </c>
      <c r="C1188" s="1" t="s">
        <v>15</v>
      </c>
      <c r="D1188" s="1">
        <v>20</v>
      </c>
      <c r="E1188" s="1">
        <v>2</v>
      </c>
      <c r="F1188" s="1">
        <v>15</v>
      </c>
      <c r="G1188" s="1">
        <v>0.4522445295562148</v>
      </c>
      <c r="H1188" s="1">
        <v>1.6629603765736036</v>
      </c>
      <c r="I1188" s="1">
        <v>567.43150356256365</v>
      </c>
      <c r="K1188" s="1">
        <f t="shared" si="54"/>
        <v>0.52677796797502385</v>
      </c>
      <c r="L1188" s="1">
        <f t="shared" si="55"/>
        <v>0.83015539862982179</v>
      </c>
      <c r="M1188" s="1">
        <f t="shared" si="56"/>
        <v>282.91868732114767</v>
      </c>
      <c r="N1188"/>
      <c r="P1188" s="1"/>
    </row>
    <row r="1189" spans="1:19" x14ac:dyDescent="0.3">
      <c r="A1189" s="1">
        <v>1305</v>
      </c>
      <c r="C1189" s="1" t="s">
        <v>15</v>
      </c>
      <c r="D1189" s="1">
        <v>20</v>
      </c>
      <c r="E1189" s="1">
        <v>3</v>
      </c>
      <c r="F1189" s="1">
        <v>30</v>
      </c>
      <c r="G1189" s="1">
        <v>0.45718871906649844</v>
      </c>
      <c r="H1189" s="1">
        <v>1.6738020521110293</v>
      </c>
      <c r="I1189" s="1">
        <v>602.05031592187845</v>
      </c>
      <c r="K1189" s="1">
        <f t="shared" si="54"/>
        <v>0.53253699861728809</v>
      </c>
      <c r="L1189" s="1">
        <f t="shared" si="55"/>
        <v>0.835567599428094</v>
      </c>
      <c r="M1189" s="1">
        <f t="shared" si="56"/>
        <v>300.17946485609571</v>
      </c>
      <c r="N1189"/>
      <c r="P1189" s="1"/>
    </row>
    <row r="1190" spans="1:19" x14ac:dyDescent="0.3">
      <c r="A1190" s="1">
        <v>1306</v>
      </c>
      <c r="C1190" s="1" t="s">
        <v>15</v>
      </c>
      <c r="D1190" s="1">
        <v>20</v>
      </c>
      <c r="E1190" s="1">
        <v>4</v>
      </c>
      <c r="F1190" s="1">
        <v>45</v>
      </c>
      <c r="G1190" s="1">
        <v>0.47176106709680826</v>
      </c>
      <c r="H1190" s="1">
        <v>1.6575395388048908</v>
      </c>
      <c r="I1190" s="1">
        <v>649.36873653194368</v>
      </c>
      <c r="K1190" s="1">
        <f t="shared" si="54"/>
        <v>0.54951098366817253</v>
      </c>
      <c r="L1190" s="1">
        <f t="shared" si="55"/>
        <v>0.82744929823068569</v>
      </c>
      <c r="M1190" s="1">
        <f t="shared" si="56"/>
        <v>323.77220752381669</v>
      </c>
      <c r="N1190"/>
      <c r="P1190" s="1"/>
    </row>
    <row r="1191" spans="1:19" x14ac:dyDescent="0.3">
      <c r="A1191" s="1">
        <v>1307</v>
      </c>
      <c r="C1191" s="1" t="s">
        <v>15</v>
      </c>
      <c r="D1191" s="1">
        <v>20</v>
      </c>
      <c r="E1191" s="1">
        <v>5</v>
      </c>
      <c r="F1191" s="1">
        <v>0</v>
      </c>
      <c r="G1191" s="1">
        <v>0.40952981628218493</v>
      </c>
      <c r="H1191" s="1">
        <v>1.6738020521110293</v>
      </c>
      <c r="I1191" s="1">
        <v>406.05835745581356</v>
      </c>
      <c r="K1191" s="1">
        <f t="shared" si="54"/>
        <v>0.47702353560364824</v>
      </c>
      <c r="L1191" s="1">
        <f t="shared" si="55"/>
        <v>0.835567599428094</v>
      </c>
      <c r="M1191" s="1">
        <f t="shared" si="56"/>
        <v>202.45879325682094</v>
      </c>
      <c r="N1191" s="1">
        <f>SLOPE(K1191:K1194,F1191:F1194)</f>
        <v>1.0203400696328366E-2</v>
      </c>
      <c r="O1191" s="1">
        <f>SLOPE(L1191:L1194,F1191:F1194)</f>
        <v>-9.0203346637870432E-4</v>
      </c>
      <c r="P1191" s="1">
        <f>SLOPE(M1191:M1194,F1191:F1194)</f>
        <v>10.652457215308585</v>
      </c>
      <c r="Q1191" s="1">
        <f>(N1191*41.35/0.31*60)/1000</f>
        <v>8.1660119766421541E-2</v>
      </c>
      <c r="R1191" s="1">
        <f>O1191*41.35/0.31*60/1000</f>
        <v>-7.2191775164050492E-3</v>
      </c>
      <c r="S1191" s="1">
        <f>(O1191*41.35/0.31*60)/1000</f>
        <v>-7.2191775164050492E-3</v>
      </c>
    </row>
    <row r="1192" spans="1:19" x14ac:dyDescent="0.3">
      <c r="A1192" s="1">
        <v>1308</v>
      </c>
      <c r="C1192" s="1" t="s">
        <v>15</v>
      </c>
      <c r="D1192" s="1">
        <v>20</v>
      </c>
      <c r="E1192" s="1">
        <v>6</v>
      </c>
      <c r="F1192" s="1">
        <v>15</v>
      </c>
      <c r="G1192" s="1">
        <v>0.57208088895361686</v>
      </c>
      <c r="H1192" s="1">
        <v>1.6532028685899205</v>
      </c>
      <c r="I1192" s="1">
        <v>795.42202976267333</v>
      </c>
      <c r="K1192" s="1">
        <f t="shared" si="54"/>
        <v>0.66636429742125158</v>
      </c>
      <c r="L1192" s="1">
        <f t="shared" si="55"/>
        <v>0.82528441791137674</v>
      </c>
      <c r="M1192" s="1">
        <f t="shared" si="56"/>
        <v>396.59369477000854</v>
      </c>
      <c r="N1192"/>
      <c r="P1192" s="1"/>
    </row>
    <row r="1193" spans="1:19" x14ac:dyDescent="0.3">
      <c r="A1193" s="1">
        <v>1309</v>
      </c>
      <c r="C1193" s="1" t="s">
        <v>15</v>
      </c>
      <c r="D1193" s="1">
        <v>20</v>
      </c>
      <c r="E1193" s="1">
        <v>7</v>
      </c>
      <c r="F1193" s="1">
        <v>30</v>
      </c>
      <c r="G1193" s="1">
        <v>0.69868298136509144</v>
      </c>
      <c r="H1193" s="1">
        <v>1.6098361664402179</v>
      </c>
      <c r="I1193" s="1">
        <v>1112.2084352057493</v>
      </c>
      <c r="K1193" s="1">
        <f t="shared" si="54"/>
        <v>0.81383140564110446</v>
      </c>
      <c r="L1193" s="1">
        <f t="shared" si="55"/>
        <v>0.80363561471828771</v>
      </c>
      <c r="M1193" s="1">
        <f t="shared" si="56"/>
        <v>554.54191129735921</v>
      </c>
      <c r="N1193"/>
      <c r="P1193" s="1"/>
    </row>
    <row r="1194" spans="1:19" x14ac:dyDescent="0.3">
      <c r="A1194" s="1">
        <v>1310</v>
      </c>
      <c r="C1194" s="1" t="s">
        <v>15</v>
      </c>
      <c r="D1194" s="1">
        <v>20</v>
      </c>
      <c r="E1194" s="1">
        <v>8</v>
      </c>
      <c r="F1194" s="1">
        <v>45</v>
      </c>
      <c r="G1194" s="1">
        <v>0.80531555980910441</v>
      </c>
      <c r="H1194" s="1">
        <v>1.5979103233490499</v>
      </c>
      <c r="I1194" s="1">
        <v>1368.7097183998678</v>
      </c>
      <c r="K1194" s="1">
        <f t="shared" si="54"/>
        <v>0.93803786768011566</v>
      </c>
      <c r="L1194" s="1">
        <f t="shared" si="55"/>
        <v>0.79768219384018846</v>
      </c>
      <c r="M1194" s="1">
        <f t="shared" si="56"/>
        <v>682.43224851313335</v>
      </c>
      <c r="N1194"/>
      <c r="P1194" s="1"/>
    </row>
    <row r="1195" spans="1:19" x14ac:dyDescent="0.3">
      <c r="A1195" s="1">
        <v>1311</v>
      </c>
      <c r="C1195" s="1" t="s">
        <v>15</v>
      </c>
      <c r="D1195" s="1">
        <v>20</v>
      </c>
      <c r="E1195" s="1">
        <v>9</v>
      </c>
      <c r="F1195" s="1">
        <v>0</v>
      </c>
      <c r="G1195" s="1">
        <v>0.42072893560177499</v>
      </c>
      <c r="H1195" s="1">
        <v>1.7063270787233062</v>
      </c>
      <c r="I1195" s="1">
        <v>407.24760538841377</v>
      </c>
      <c r="K1195" s="1">
        <f t="shared" si="54"/>
        <v>0.49006835744830957</v>
      </c>
      <c r="L1195" s="1">
        <f t="shared" si="55"/>
        <v>0.85180420182291083</v>
      </c>
      <c r="M1195" s="1">
        <f t="shared" si="56"/>
        <v>203.05174670032594</v>
      </c>
      <c r="N1195" s="1">
        <f>SLOPE(K1195:K1198,F1195:F1198)</f>
        <v>1.6849748652363798E-3</v>
      </c>
      <c r="O1195" s="1">
        <f>SLOPE(L1195:L1198,F1195:F1198)</f>
        <v>-3.7885405587906171E-4</v>
      </c>
      <c r="P1195" s="1">
        <f>SLOPE(M1195:M1198,F1195:F1198)</f>
        <v>1.4403973206699434</v>
      </c>
      <c r="Q1195" s="1">
        <f>(N1195*41.35/0.31*60)/1000</f>
        <v>1.3485234324682125E-2</v>
      </c>
      <c r="R1195" s="1">
        <f>O1195*41.35/0.31*60/1000</f>
        <v>-3.0320545568901683E-3</v>
      </c>
      <c r="S1195" s="1">
        <f>(O1195*41.35/0.31*60)/1000</f>
        <v>-3.0320545568901683E-3</v>
      </c>
    </row>
    <row r="1196" spans="1:19" x14ac:dyDescent="0.3">
      <c r="A1196" s="1">
        <v>1312</v>
      </c>
      <c r="C1196" s="1" t="s">
        <v>15</v>
      </c>
      <c r="D1196" s="1">
        <v>20</v>
      </c>
      <c r="E1196" s="1">
        <v>10</v>
      </c>
      <c r="F1196" s="1">
        <v>15</v>
      </c>
      <c r="G1196" s="1">
        <v>0.42091205373178542</v>
      </c>
      <c r="H1196" s="1">
        <v>1.6781387223259994</v>
      </c>
      <c r="I1196" s="1">
        <v>458.6338388040042</v>
      </c>
      <c r="K1196" s="1">
        <f t="shared" si="54"/>
        <v>0.49028165487950442</v>
      </c>
      <c r="L1196" s="1">
        <f t="shared" si="55"/>
        <v>0.83773247974740273</v>
      </c>
      <c r="M1196" s="1">
        <f t="shared" si="56"/>
        <v>228.67268176128172</v>
      </c>
      <c r="N1196"/>
      <c r="P1196" s="1"/>
    </row>
    <row r="1197" spans="1:19" x14ac:dyDescent="0.3">
      <c r="A1197" s="1">
        <v>1313</v>
      </c>
      <c r="C1197" s="1" t="s">
        <v>15</v>
      </c>
      <c r="D1197" s="1">
        <v>20</v>
      </c>
      <c r="E1197" s="1">
        <v>11</v>
      </c>
      <c r="F1197" s="1">
        <v>30</v>
      </c>
      <c r="G1197" s="1">
        <v>0.45929939645977746</v>
      </c>
      <c r="H1197" s="1">
        <v>1.6683812143423165</v>
      </c>
      <c r="I1197" s="1">
        <v>492.15795818929433</v>
      </c>
      <c r="K1197" s="1">
        <f t="shared" si="54"/>
        <v>0.53499553216632489</v>
      </c>
      <c r="L1197" s="1">
        <f t="shared" si="55"/>
        <v>0.8328614990289579</v>
      </c>
      <c r="M1197" s="1">
        <f t="shared" si="56"/>
        <v>245.3876505117575</v>
      </c>
      <c r="N1197"/>
      <c r="P1197" s="1"/>
    </row>
    <row r="1198" spans="1:19" x14ac:dyDescent="0.3">
      <c r="A1198" s="1">
        <v>1314</v>
      </c>
      <c r="C1198" s="1" t="s">
        <v>15</v>
      </c>
      <c r="D1198" s="1">
        <v>20</v>
      </c>
      <c r="E1198" s="1">
        <v>12</v>
      </c>
      <c r="F1198" s="1">
        <v>45</v>
      </c>
      <c r="G1198" s="1">
        <v>0.48026160344782232</v>
      </c>
      <c r="H1198" s="1">
        <v>1.671633717003544</v>
      </c>
      <c r="I1198" s="1">
        <v>540.51843293046591</v>
      </c>
      <c r="K1198" s="1">
        <f t="shared" si="54"/>
        <v>0.55941247494785507</v>
      </c>
      <c r="L1198" s="1">
        <f t="shared" si="55"/>
        <v>0.83448515926843936</v>
      </c>
      <c r="M1198" s="1">
        <f t="shared" si="56"/>
        <v>269.4999564836645</v>
      </c>
      <c r="N1198"/>
      <c r="P1198" s="1"/>
    </row>
    <row r="1199" spans="1:19" x14ac:dyDescent="0.3">
      <c r="A1199" s="1">
        <v>1315</v>
      </c>
      <c r="C1199" s="1" t="s">
        <v>15</v>
      </c>
      <c r="D1199" s="1">
        <v>20</v>
      </c>
      <c r="E1199" s="1">
        <v>13</v>
      </c>
      <c r="F1199" s="1">
        <v>0</v>
      </c>
      <c r="G1199" s="1">
        <v>0.39838852374049311</v>
      </c>
      <c r="H1199" s="1">
        <v>1.6748862196647718</v>
      </c>
      <c r="I1199" s="1">
        <v>376.81650542127159</v>
      </c>
      <c r="K1199" s="1">
        <f t="shared" si="54"/>
        <v>0.46404607084252247</v>
      </c>
      <c r="L1199" s="1">
        <f t="shared" si="55"/>
        <v>0.83610881950792126</v>
      </c>
      <c r="M1199" s="1">
        <f t="shared" si="56"/>
        <v>187.8789429303759</v>
      </c>
      <c r="N1199" s="1">
        <f>SLOPE(K1199:K1202,F1199:F1202)</f>
        <v>2.4166973160410412E-3</v>
      </c>
      <c r="O1199" s="1">
        <f>SLOPE(L1199:L1202,F1199:F1202)</f>
        <v>-3.7163778814802852E-4</v>
      </c>
      <c r="P1199" s="1">
        <f>SLOPE(M1199:M1202,F1199:F1202)</f>
        <v>3.110235222148805</v>
      </c>
      <c r="Q1199" s="1">
        <f>(N1199*41.35/0.31*60)/1000</f>
        <v>1.9341374326122013E-2</v>
      </c>
      <c r="R1199" s="1">
        <f>O1199*41.35/0.31*60/1000</f>
        <v>-2.9743011367588989E-3</v>
      </c>
      <c r="S1199" s="1">
        <f>(O1199*41.35/0.31*60)/1000</f>
        <v>-2.9743011367588989E-3</v>
      </c>
    </row>
    <row r="1200" spans="1:19" x14ac:dyDescent="0.3">
      <c r="A1200" s="1">
        <v>1316</v>
      </c>
      <c r="C1200" s="1" t="s">
        <v>15</v>
      </c>
      <c r="D1200" s="1">
        <v>20</v>
      </c>
      <c r="E1200" s="1">
        <v>14</v>
      </c>
      <c r="F1200" s="1">
        <v>15</v>
      </c>
      <c r="G1200" s="1">
        <v>0.46912994870244679</v>
      </c>
      <c r="H1200" s="1">
        <v>1.6586237063586333</v>
      </c>
      <c r="I1200" s="1">
        <v>602.75704112772689</v>
      </c>
      <c r="K1200" s="1">
        <f t="shared" si="54"/>
        <v>0.54644623636731837</v>
      </c>
      <c r="L1200" s="1">
        <f t="shared" si="55"/>
        <v>0.82799051831051285</v>
      </c>
      <c r="M1200" s="1">
        <f t="shared" si="56"/>
        <v>300.5318347303097</v>
      </c>
      <c r="N1200"/>
      <c r="P1200" s="1"/>
    </row>
    <row r="1201" spans="1:19" x14ac:dyDescent="0.3">
      <c r="A1201" s="1">
        <v>1317</v>
      </c>
      <c r="C1201" s="1" t="s">
        <v>15</v>
      </c>
      <c r="D1201" s="1">
        <v>20</v>
      </c>
      <c r="E1201" s="1">
        <v>15</v>
      </c>
      <c r="F1201" s="1">
        <v>30</v>
      </c>
      <c r="G1201" s="1">
        <v>0.48230481626688687</v>
      </c>
      <c r="H1201" s="1">
        <v>1.6477820308212077</v>
      </c>
      <c r="I1201" s="1">
        <v>638.39061340330147</v>
      </c>
      <c r="K1201" s="1">
        <f t="shared" si="54"/>
        <v>0.5617924252327674</v>
      </c>
      <c r="L1201" s="1">
        <f t="shared" si="55"/>
        <v>0.82257831751224053</v>
      </c>
      <c r="M1201" s="1">
        <f t="shared" si="56"/>
        <v>318.29856680188783</v>
      </c>
      <c r="N1201"/>
      <c r="P1201" s="1"/>
    </row>
    <row r="1202" spans="1:19" x14ac:dyDescent="0.3">
      <c r="A1202" s="1">
        <v>1318</v>
      </c>
      <c r="C1202" s="1" t="s">
        <v>15</v>
      </c>
      <c r="D1202" s="1">
        <v>20</v>
      </c>
      <c r="E1202" s="1">
        <v>16</v>
      </c>
      <c r="F1202" s="1">
        <v>45</v>
      </c>
      <c r="G1202" s="1">
        <v>0.49773492816935122</v>
      </c>
      <c r="H1202" s="1">
        <v>1.6412770254987523</v>
      </c>
      <c r="I1202" s="1">
        <v>676.83841418823386</v>
      </c>
      <c r="K1202" s="1">
        <f t="shared" si="54"/>
        <v>0.57976554035609151</v>
      </c>
      <c r="L1202" s="1">
        <f t="shared" si="55"/>
        <v>0.81933099703327728</v>
      </c>
      <c r="M1202" s="1">
        <f t="shared" si="56"/>
        <v>337.46846001395676</v>
      </c>
      <c r="N1202"/>
      <c r="P1202" s="1"/>
    </row>
    <row r="1203" spans="1:19" x14ac:dyDescent="0.3">
      <c r="A1203" s="1">
        <v>1319</v>
      </c>
      <c r="C1203" s="1" t="s">
        <v>15</v>
      </c>
      <c r="D1203" s="1">
        <v>20</v>
      </c>
      <c r="E1203" s="1">
        <v>17</v>
      </c>
      <c r="F1203" s="1">
        <v>0</v>
      </c>
      <c r="G1203" s="1">
        <v>0.40359293375131805</v>
      </c>
      <c r="H1203" s="1">
        <v>1.6640445441273461</v>
      </c>
      <c r="I1203" s="1">
        <v>395.9244054006399</v>
      </c>
      <c r="K1203" s="1">
        <f t="shared" si="54"/>
        <v>0.47010820836069545</v>
      </c>
      <c r="L1203" s="1">
        <f t="shared" si="55"/>
        <v>0.83069661870964895</v>
      </c>
      <c r="M1203" s="1">
        <f t="shared" si="56"/>
        <v>197.40605227429799</v>
      </c>
      <c r="N1203" s="1">
        <f>SLOPE(K1203:K1206,F1203:F1206)</f>
        <v>3.2905432131050882E-3</v>
      </c>
      <c r="O1203" s="1">
        <f>SLOPE(L1203:L1206,F1203:F1206)</f>
        <v>-3.9689472520663865E-5</v>
      </c>
      <c r="P1203" s="1">
        <f>SLOPE(M1203:M1206,F1203:F1206)</f>
        <v>5.722515918880716</v>
      </c>
      <c r="Q1203" s="1">
        <f>(N1203*41.35/0.31*60)/1000</f>
        <v>2.6334960360366848E-2</v>
      </c>
      <c r="R1203" s="1">
        <f>O1203*41.35/0.31*60/1000</f>
        <v>-3.1764381072182924E-4</v>
      </c>
      <c r="S1203" s="1">
        <f>(O1203*41.35/0.31*60)/1000</f>
        <v>-3.1764381072182924E-4</v>
      </c>
    </row>
    <row r="1204" spans="1:19" x14ac:dyDescent="0.3">
      <c r="A1204" s="1">
        <v>1320</v>
      </c>
      <c r="C1204" s="1" t="s">
        <v>15</v>
      </c>
      <c r="D1204" s="1">
        <v>20</v>
      </c>
      <c r="E1204" s="1">
        <v>18</v>
      </c>
      <c r="F1204" s="1">
        <v>15</v>
      </c>
      <c r="G1204" s="1">
        <v>0.43190877932873223</v>
      </c>
      <c r="H1204" s="1">
        <v>1.5686377993980005</v>
      </c>
      <c r="I1204" s="1">
        <v>573.98503950590077</v>
      </c>
      <c r="K1204" s="1">
        <f t="shared" si="54"/>
        <v>0.50309072693179235</v>
      </c>
      <c r="L1204" s="1">
        <f t="shared" si="55"/>
        <v>0.78306925168485308</v>
      </c>
      <c r="M1204" s="1">
        <f t="shared" si="56"/>
        <v>286.18624961679046</v>
      </c>
      <c r="N1204"/>
      <c r="P1204" s="1"/>
    </row>
    <row r="1205" spans="1:19" x14ac:dyDescent="0.3">
      <c r="A1205" s="1">
        <v>1321</v>
      </c>
      <c r="C1205" s="1" t="s">
        <v>15</v>
      </c>
      <c r="D1205" s="1">
        <v>20</v>
      </c>
      <c r="E1205" s="1">
        <v>19</v>
      </c>
      <c r="F1205" s="1">
        <v>30</v>
      </c>
      <c r="G1205" s="1">
        <v>0.46107275098198441</v>
      </c>
      <c r="H1205" s="1">
        <v>1.6803070574334846</v>
      </c>
      <c r="I1205" s="1">
        <v>695.15965590398889</v>
      </c>
      <c r="K1205" s="1">
        <f t="shared" si="54"/>
        <v>0.53706114939473937</v>
      </c>
      <c r="L1205" s="1">
        <f t="shared" si="55"/>
        <v>0.83881491990705737</v>
      </c>
      <c r="M1205" s="1">
        <f t="shared" si="56"/>
        <v>346.60334523582276</v>
      </c>
      <c r="N1205"/>
      <c r="P1205" s="1"/>
    </row>
    <row r="1206" spans="1:19" x14ac:dyDescent="0.3">
      <c r="A1206" s="1">
        <v>1322</v>
      </c>
      <c r="C1206" s="1" t="s">
        <v>15</v>
      </c>
      <c r="D1206" s="1">
        <v>20</v>
      </c>
      <c r="E1206" s="1">
        <v>20</v>
      </c>
      <c r="F1206" s="1">
        <v>45</v>
      </c>
      <c r="G1206" s="1">
        <v>0.53511994008044361</v>
      </c>
      <c r="H1206" s="1">
        <v>1.6228461770851286</v>
      </c>
      <c r="I1206" s="1">
        <v>929.39665813041177</v>
      </c>
      <c r="K1206" s="1">
        <f t="shared" si="54"/>
        <v>0.62331189486163419</v>
      </c>
      <c r="L1206" s="1">
        <f t="shared" si="55"/>
        <v>0.81013025567621433</v>
      </c>
      <c r="M1206" s="1">
        <f t="shared" si="56"/>
        <v>463.39281634532301</v>
      </c>
      <c r="N1206"/>
      <c r="P1206" s="1"/>
    </row>
    <row r="1207" spans="1:19" x14ac:dyDescent="0.3">
      <c r="A1207" s="1">
        <v>1323</v>
      </c>
      <c r="C1207" s="1" t="s">
        <v>15</v>
      </c>
      <c r="D1207" s="1">
        <v>20</v>
      </c>
      <c r="E1207" s="1">
        <v>21</v>
      </c>
      <c r="F1207" s="1">
        <v>0</v>
      </c>
      <c r="G1207" s="1">
        <v>0.4093466981521745</v>
      </c>
      <c r="H1207" s="1">
        <v>2.1074690736080548</v>
      </c>
      <c r="I1207" s="1">
        <v>402.85128721134248</v>
      </c>
      <c r="K1207" s="1">
        <f t="shared" si="54"/>
        <v>0.47681023817245338</v>
      </c>
      <c r="L1207" s="1">
        <f t="shared" si="55"/>
        <v>1.0520556313589837</v>
      </c>
      <c r="M1207" s="1">
        <f t="shared" si="56"/>
        <v>200.8597630690083</v>
      </c>
      <c r="N1207" s="1">
        <f>SLOPE(K1207:K1210,F1207:F1210)</f>
        <v>7.393263171237504E-3</v>
      </c>
      <c r="O1207" s="1">
        <f>SLOPE(L1207:L1210,F1207:F1210)</f>
        <v>-6.3142342646509524E-3</v>
      </c>
      <c r="P1207" s="1">
        <f>SLOPE(M1207:M1210,F1207:F1210)</f>
        <v>13.115180796784429</v>
      </c>
      <c r="Q1207" s="1">
        <f>(N1207*41.35/0.31*60)/1000</f>
        <v>5.9169954605936284E-2</v>
      </c>
      <c r="R1207" s="1">
        <f>O1207*41.35/0.31*60/1000</f>
        <v>-5.0534242614835537E-2</v>
      </c>
      <c r="S1207" s="1">
        <f>(O1207*41.35/0.31*60)/1000</f>
        <v>-5.0534242614835537E-2</v>
      </c>
    </row>
    <row r="1208" spans="1:19" x14ac:dyDescent="0.3">
      <c r="A1208" s="1">
        <v>1324</v>
      </c>
      <c r="C1208" s="1" t="s">
        <v>15</v>
      </c>
      <c r="D1208" s="1">
        <v>20</v>
      </c>
      <c r="E1208" s="1">
        <v>22</v>
      </c>
      <c r="F1208" s="1">
        <v>15</v>
      </c>
      <c r="G1208" s="1">
        <v>0.41066707624751336</v>
      </c>
      <c r="H1208" s="1">
        <v>1.9871264751426299</v>
      </c>
      <c r="I1208" s="1">
        <v>405.16447191958866</v>
      </c>
      <c r="K1208" s="1">
        <f t="shared" si="54"/>
        <v>0.47834822491317502</v>
      </c>
      <c r="L1208" s="1">
        <f t="shared" si="55"/>
        <v>0.99198020249816155</v>
      </c>
      <c r="M1208" s="1">
        <f t="shared" si="56"/>
        <v>202.01310611936677</v>
      </c>
      <c r="N1208"/>
      <c r="P1208" s="1"/>
    </row>
    <row r="1209" spans="1:19" x14ac:dyDescent="0.3">
      <c r="A1209" s="1">
        <v>1325</v>
      </c>
      <c r="C1209" s="1" t="s">
        <v>15</v>
      </c>
      <c r="D1209" s="1">
        <v>20</v>
      </c>
      <c r="E1209" s="1">
        <v>23</v>
      </c>
      <c r="F1209" s="1">
        <v>30</v>
      </c>
      <c r="G1209" s="1">
        <v>0.61232832637066303</v>
      </c>
      <c r="H1209" s="1">
        <v>1.6087519988864754</v>
      </c>
      <c r="I1209" s="1">
        <v>1225.986319380419</v>
      </c>
      <c r="K1209" s="1">
        <f t="shared" si="54"/>
        <v>0.71324482756178964</v>
      </c>
      <c r="L1209" s="1">
        <f t="shared" si="55"/>
        <v>0.80309439463846044</v>
      </c>
      <c r="M1209" s="1">
        <f t="shared" si="56"/>
        <v>611.27103090875551</v>
      </c>
      <c r="N1209"/>
      <c r="P1209" s="1"/>
    </row>
    <row r="1210" spans="1:19" x14ac:dyDescent="0.3">
      <c r="A1210" s="1">
        <v>1326</v>
      </c>
      <c r="C1210" s="1" t="s">
        <v>15</v>
      </c>
      <c r="D1210" s="1">
        <v>20</v>
      </c>
      <c r="E1210" s="1">
        <v>24</v>
      </c>
      <c r="F1210" s="1">
        <v>45</v>
      </c>
      <c r="G1210" s="1">
        <v>0.65948606374652663</v>
      </c>
      <c r="H1210" s="1">
        <v>1.6011628260102773</v>
      </c>
      <c r="I1210" s="1">
        <v>1444.4570133594027</v>
      </c>
      <c r="K1210" s="1">
        <f t="shared" si="54"/>
        <v>0.76817452918479034</v>
      </c>
      <c r="L1210" s="1">
        <f t="shared" si="55"/>
        <v>0.79930585407966981</v>
      </c>
      <c r="M1210" s="1">
        <f t="shared" si="56"/>
        <v>720.19949464510023</v>
      </c>
      <c r="N1210"/>
      <c r="P1210" s="1"/>
    </row>
    <row r="1211" spans="1:19" x14ac:dyDescent="0.3">
      <c r="A1211" s="1">
        <v>1327</v>
      </c>
      <c r="C1211" s="1" t="s">
        <v>15</v>
      </c>
      <c r="D1211" s="1">
        <v>20</v>
      </c>
      <c r="E1211" s="1">
        <v>25</v>
      </c>
      <c r="F1211" s="1">
        <v>0</v>
      </c>
      <c r="G1211" s="1">
        <v>0.40315923291708267</v>
      </c>
      <c r="H1211" s="1">
        <v>1.6792228898797421</v>
      </c>
      <c r="I1211" s="1">
        <v>402.43894960848195</v>
      </c>
      <c r="K1211" s="1">
        <f t="shared" si="54"/>
        <v>0.4696030302341811</v>
      </c>
      <c r="L1211" s="1">
        <f t="shared" si="55"/>
        <v>0.83827369982722999</v>
      </c>
      <c r="M1211" s="1">
        <f t="shared" si="56"/>
        <v>200.65417347343239</v>
      </c>
      <c r="N1211" s="1">
        <f>SLOPE(K1211:K1214,F1211:F1214)</f>
        <v>-5.0069513839912571E-3</v>
      </c>
      <c r="O1211" s="1">
        <f>SLOPE(L1211:L1214,F1211:F1214)</f>
        <v>-4.582330009203821E-4</v>
      </c>
      <c r="P1211" s="1">
        <f>SLOPE(M1211:M1214,F1211:F1214)</f>
        <v>4.0888740989176684</v>
      </c>
      <c r="Q1211" s="1">
        <f>(N1211*41.35/0.31*60)/1000</f>
        <v>-4.0071762528007447E-2</v>
      </c>
      <c r="R1211" s="1">
        <f>O1211*41.35/0.31*60/1000</f>
        <v>-3.6673421783337675E-3</v>
      </c>
      <c r="S1211" s="1">
        <f>(O1211*41.35/0.31*60)/1000</f>
        <v>-3.6673421783337675E-3</v>
      </c>
    </row>
    <row r="1212" spans="1:19" x14ac:dyDescent="0.3">
      <c r="A1212" s="1">
        <v>1328</v>
      </c>
      <c r="C1212" s="1" t="s">
        <v>15</v>
      </c>
      <c r="D1212" s="1">
        <v>20</v>
      </c>
      <c r="E1212" s="1">
        <v>26</v>
      </c>
      <c r="F1212" s="1">
        <v>15</v>
      </c>
      <c r="G1212" s="1">
        <v>1.0504529091152748</v>
      </c>
      <c r="H1212" s="1">
        <v>1.6607920414661184</v>
      </c>
      <c r="I1212" s="1">
        <v>590.10617254634531</v>
      </c>
      <c r="K1212" s="1">
        <f t="shared" si="54"/>
        <v>1.223575770966653</v>
      </c>
      <c r="L1212" s="1">
        <f t="shared" si="55"/>
        <v>0.82907295847016726</v>
      </c>
      <c r="M1212" s="1">
        <f t="shared" si="56"/>
        <v>294.22417096817213</v>
      </c>
      <c r="N1212"/>
      <c r="P1212" s="1"/>
    </row>
    <row r="1213" spans="1:19" x14ac:dyDescent="0.3">
      <c r="A1213" s="1">
        <v>1329</v>
      </c>
      <c r="C1213" s="1" t="s">
        <v>15</v>
      </c>
      <c r="D1213" s="1">
        <v>20</v>
      </c>
      <c r="E1213" s="1">
        <v>27</v>
      </c>
      <c r="F1213" s="1">
        <v>30</v>
      </c>
      <c r="G1213" s="1">
        <v>0.40605057181198539</v>
      </c>
      <c r="H1213" s="1">
        <v>1.6597078739123758</v>
      </c>
      <c r="I1213" s="1">
        <v>591.22426056166694</v>
      </c>
      <c r="K1213" s="1">
        <f t="shared" si="54"/>
        <v>0.47297088441094387</v>
      </c>
      <c r="L1213" s="1">
        <f t="shared" si="55"/>
        <v>0.82853173839034</v>
      </c>
      <c r="M1213" s="1">
        <f t="shared" si="56"/>
        <v>294.78164441054929</v>
      </c>
      <c r="N1213"/>
      <c r="P1213" s="1"/>
    </row>
    <row r="1214" spans="1:19" x14ac:dyDescent="0.3">
      <c r="A1214" s="1">
        <v>1330</v>
      </c>
      <c r="C1214" s="1" t="s">
        <v>15</v>
      </c>
      <c r="D1214" s="1">
        <v>20</v>
      </c>
      <c r="E1214" s="1">
        <v>28</v>
      </c>
      <c r="F1214" s="1">
        <v>45</v>
      </c>
      <c r="G1214" s="1">
        <v>0.40303394156497019</v>
      </c>
      <c r="H1214" s="1">
        <v>1.6336878526225542</v>
      </c>
      <c r="I1214" s="1">
        <v>812.10561858763458</v>
      </c>
      <c r="K1214" s="1">
        <f t="shared" si="54"/>
        <v>0.46945708988652129</v>
      </c>
      <c r="L1214" s="1">
        <f t="shared" si="55"/>
        <v>0.81554245647448664</v>
      </c>
      <c r="M1214" s="1">
        <f t="shared" si="56"/>
        <v>404.9120539385234</v>
      </c>
      <c r="N1214"/>
      <c r="P1214" s="1"/>
    </row>
    <row r="1215" spans="1:19" x14ac:dyDescent="0.3">
      <c r="A1215" s="1">
        <v>1331</v>
      </c>
      <c r="C1215" s="1" t="s">
        <v>15</v>
      </c>
      <c r="D1215" s="1">
        <v>20</v>
      </c>
      <c r="E1215" s="1">
        <v>29</v>
      </c>
      <c r="F1215" s="1">
        <v>0</v>
      </c>
      <c r="G1215" s="1">
        <v>0.39593088567982582</v>
      </c>
      <c r="H1215" s="1">
        <v>1.6727178845572865</v>
      </c>
      <c r="I1215" s="1">
        <v>418.53083884730512</v>
      </c>
      <c r="K1215" s="1">
        <f t="shared" si="54"/>
        <v>0.4611833947922741</v>
      </c>
      <c r="L1215" s="1">
        <f t="shared" si="55"/>
        <v>0.83502637934826662</v>
      </c>
      <c r="M1215" s="1">
        <f t="shared" si="56"/>
        <v>208.67751400243279</v>
      </c>
      <c r="N1215" s="1">
        <f>SLOPE(K1215:K1218,F1215:F1218)</f>
        <v>4.2367605543675837E-4</v>
      </c>
      <c r="O1215" s="1">
        <f>SLOPE(L1215:L1218,F1215:F1218)</f>
        <v>-5.5565261528928156E-4</v>
      </c>
      <c r="P1215" s="1">
        <f>SLOPE(M1215:M1218,F1215:F1218)</f>
        <v>12.51773970016875</v>
      </c>
      <c r="Q1215" s="1">
        <f>(N1215*41.35/0.31*60)/1000</f>
        <v>3.3907751404470892E-3</v>
      </c>
      <c r="R1215" s="1">
        <f>O1215*41.35/0.31*60/1000</f>
        <v>-4.4470133501055085E-3</v>
      </c>
      <c r="S1215" s="1">
        <f>(O1215*41.35/0.31*60)/1000</f>
        <v>-4.4470133501055085E-3</v>
      </c>
    </row>
    <row r="1216" spans="1:19" x14ac:dyDescent="0.3">
      <c r="A1216" s="1">
        <v>1332</v>
      </c>
      <c r="C1216" s="1" t="s">
        <v>15</v>
      </c>
      <c r="D1216" s="1">
        <v>20</v>
      </c>
      <c r="E1216" s="1">
        <v>30</v>
      </c>
      <c r="F1216" s="1">
        <v>15</v>
      </c>
      <c r="G1216" s="1">
        <v>0.40493258743928962</v>
      </c>
      <c r="H1216" s="1">
        <v>1.6575395388048908</v>
      </c>
      <c r="I1216" s="1">
        <v>837.51555781639661</v>
      </c>
      <c r="K1216" s="1">
        <f t="shared" si="54"/>
        <v>0.47166864746259546</v>
      </c>
      <c r="L1216" s="1">
        <f t="shared" si="55"/>
        <v>0.82744929823068569</v>
      </c>
      <c r="M1216" s="1">
        <f t="shared" si="56"/>
        <v>417.58133050560923</v>
      </c>
      <c r="N1216"/>
      <c r="P1216" s="1"/>
    </row>
    <row r="1217" spans="1:19" x14ac:dyDescent="0.3">
      <c r="A1217" s="1">
        <v>1333</v>
      </c>
      <c r="C1217" s="1" t="s">
        <v>15</v>
      </c>
      <c r="D1217" s="1">
        <v>20</v>
      </c>
      <c r="E1217" s="1">
        <v>31</v>
      </c>
      <c r="F1217" s="1">
        <v>30</v>
      </c>
      <c r="G1217" s="1">
        <v>0.40877806816951029</v>
      </c>
      <c r="H1217" s="1">
        <v>1.6499503659286927</v>
      </c>
      <c r="I1217" s="1">
        <v>1244.6233941536841</v>
      </c>
      <c r="K1217" s="1">
        <f t="shared" si="54"/>
        <v>0.47614789351769005</v>
      </c>
      <c r="L1217" s="1">
        <f t="shared" si="55"/>
        <v>0.82366075767189506</v>
      </c>
      <c r="M1217" s="1">
        <f t="shared" si="56"/>
        <v>620.56338901233926</v>
      </c>
      <c r="N1217"/>
      <c r="P1217" s="1"/>
    </row>
    <row r="1218" spans="1:19" x14ac:dyDescent="0.3">
      <c r="A1218" s="1">
        <v>1334</v>
      </c>
      <c r="C1218" s="1" t="s">
        <v>15</v>
      </c>
      <c r="D1218" s="1">
        <v>20</v>
      </c>
      <c r="E1218" s="1">
        <v>32</v>
      </c>
      <c r="F1218" s="1">
        <v>45</v>
      </c>
      <c r="G1218" s="1">
        <v>0.41283558041869045</v>
      </c>
      <c r="H1218" s="1">
        <v>1.619593674423901</v>
      </c>
      <c r="I1218" s="1">
        <v>1538.1288091260294</v>
      </c>
      <c r="K1218" s="1">
        <f t="shared" si="54"/>
        <v>0.48087411554574716</v>
      </c>
      <c r="L1218" s="1">
        <f t="shared" si="55"/>
        <v>0.80850659543673276</v>
      </c>
      <c r="M1218" s="1">
        <f t="shared" si="56"/>
        <v>766.90381284196019</v>
      </c>
      <c r="N1218"/>
      <c r="P1218" s="1"/>
    </row>
    <row r="1219" spans="1:19" x14ac:dyDescent="0.3">
      <c r="A1219" s="1">
        <v>1335</v>
      </c>
      <c r="C1219" s="1" t="s">
        <v>15</v>
      </c>
      <c r="D1219" s="1">
        <v>20</v>
      </c>
      <c r="E1219" s="1">
        <v>33</v>
      </c>
      <c r="F1219" s="1">
        <v>0</v>
      </c>
      <c r="G1219" s="1">
        <v>0.40239784700809156</v>
      </c>
      <c r="H1219" s="1">
        <v>1.6803070574334846</v>
      </c>
      <c r="I1219" s="1">
        <v>384.85660128035892</v>
      </c>
      <c r="K1219" s="1">
        <f t="shared" ref="K1219:K1282" si="57">(G1219*28*1)/(0.082*(D1219+273.15))</f>
        <v>0.46871616196763344</v>
      </c>
      <c r="L1219" s="1">
        <f t="shared" ref="L1219:L1282" si="58">(H1219*12*1)/(0.082*(D1219+273.15))</f>
        <v>0.83881491990705737</v>
      </c>
      <c r="M1219" s="1">
        <f t="shared" ref="M1219:M1282" si="59">(I1219*12*1)/(0.0821*(D1219+273.15))</f>
        <v>191.88769703039983</v>
      </c>
      <c r="N1219" s="1">
        <f>SLOPE(K1219:K1222,F1219:F1222)</f>
        <v>2.0014034754442288E-3</v>
      </c>
      <c r="O1219" s="1">
        <f>SLOPE(L1219:L1222,F1219:F1222)</f>
        <v>-2.9947511083773174E-4</v>
      </c>
      <c r="P1219" s="1">
        <f>SLOPE(M1219:M1222,F1219:F1222)</f>
        <v>5.4584410246421502</v>
      </c>
      <c r="Q1219" s="1">
        <f>(N1219*41.35/0.31*60)/1000</f>
        <v>1.6017683943797198E-2</v>
      </c>
      <c r="R1219" s="1">
        <f>O1219*41.35/0.31*60/1000</f>
        <v>-2.3967669354464918E-3</v>
      </c>
      <c r="S1219" s="1">
        <f>(O1219*41.35/0.31*60)/1000</f>
        <v>-2.3967669354464918E-3</v>
      </c>
    </row>
    <row r="1220" spans="1:19" x14ac:dyDescent="0.3">
      <c r="A1220" s="1">
        <v>1336</v>
      </c>
      <c r="C1220" s="1" t="s">
        <v>15</v>
      </c>
      <c r="D1220" s="1">
        <v>20</v>
      </c>
      <c r="E1220" s="1">
        <v>34</v>
      </c>
      <c r="F1220" s="1">
        <v>15</v>
      </c>
      <c r="G1220" s="1">
        <v>0.4412670795519007</v>
      </c>
      <c r="H1220" s="1">
        <v>1.6597078739123758</v>
      </c>
      <c r="I1220" s="1">
        <v>680.76195757242726</v>
      </c>
      <c r="K1220" s="1">
        <f t="shared" si="57"/>
        <v>0.51399134828391435</v>
      </c>
      <c r="L1220" s="1">
        <f t="shared" si="58"/>
        <v>0.82853173839034</v>
      </c>
      <c r="M1220" s="1">
        <f t="shared" si="59"/>
        <v>339.42472035011059</v>
      </c>
      <c r="N1220"/>
      <c r="P1220" s="1"/>
    </row>
    <row r="1221" spans="1:19" x14ac:dyDescent="0.3">
      <c r="A1221" s="1">
        <v>1337</v>
      </c>
      <c r="C1221" s="1" t="s">
        <v>15</v>
      </c>
      <c r="D1221" s="1">
        <v>20</v>
      </c>
      <c r="E1221" s="1">
        <v>35</v>
      </c>
      <c r="F1221" s="1">
        <v>30</v>
      </c>
      <c r="G1221" s="1">
        <v>0.47920144585302465</v>
      </c>
      <c r="H1221" s="1">
        <v>1.6640445441273461</v>
      </c>
      <c r="I1221" s="1">
        <v>736.0483393309139</v>
      </c>
      <c r="K1221" s="1">
        <f t="shared" si="57"/>
        <v>0.5581775950830421</v>
      </c>
      <c r="L1221" s="1">
        <f t="shared" si="58"/>
        <v>0.83069661870964895</v>
      </c>
      <c r="M1221" s="1">
        <f t="shared" si="59"/>
        <v>366.99025108931505</v>
      </c>
      <c r="N1221"/>
      <c r="P1221" s="1"/>
    </row>
    <row r="1222" spans="1:19" x14ac:dyDescent="0.3">
      <c r="A1222" s="1">
        <v>1338</v>
      </c>
      <c r="C1222" s="1" t="s">
        <v>15</v>
      </c>
      <c r="D1222" s="1">
        <v>20</v>
      </c>
      <c r="E1222" s="1">
        <v>36</v>
      </c>
      <c r="F1222" s="1">
        <v>45</v>
      </c>
      <c r="G1222" s="1">
        <v>0.475664374604927</v>
      </c>
      <c r="H1222" s="1">
        <v>1.6488661983749502</v>
      </c>
      <c r="I1222" s="1">
        <v>913.80971186624993</v>
      </c>
      <c r="K1222" s="1">
        <f t="shared" si="57"/>
        <v>0.55405758680680228</v>
      </c>
      <c r="L1222" s="1">
        <f t="shared" si="58"/>
        <v>0.8231195375920678</v>
      </c>
      <c r="M1222" s="1">
        <f t="shared" si="59"/>
        <v>455.62123801610585</v>
      </c>
      <c r="N1222"/>
      <c r="P1222" s="1"/>
    </row>
    <row r="1223" spans="1:19" x14ac:dyDescent="0.3">
      <c r="A1223" s="1">
        <v>1339</v>
      </c>
      <c r="C1223" s="1" t="s">
        <v>15</v>
      </c>
      <c r="D1223" s="1">
        <v>20</v>
      </c>
      <c r="E1223" s="1">
        <v>37</v>
      </c>
      <c r="F1223" s="1">
        <v>0</v>
      </c>
      <c r="G1223" s="1">
        <v>0.39848490170365652</v>
      </c>
      <c r="H1223" s="1">
        <v>1.6662128792348312</v>
      </c>
      <c r="I1223" s="1">
        <v>419.09719380537132</v>
      </c>
      <c r="K1223" s="1">
        <f t="shared" si="57"/>
        <v>0.46415833264841455</v>
      </c>
      <c r="L1223" s="1">
        <f t="shared" si="58"/>
        <v>0.83177905886930326</v>
      </c>
      <c r="M1223" s="1">
        <f t="shared" si="59"/>
        <v>208.95989592921674</v>
      </c>
      <c r="N1223" s="1">
        <f>SLOPE(K1223:K1226,F1223:F1226)</f>
        <v>5.1692819553112042E-4</v>
      </c>
      <c r="O1223" s="1">
        <f>SLOPE(L1223:L1226,F1223:F1226)</f>
        <v>-7.2162677310292356E-5</v>
      </c>
      <c r="P1223" s="1">
        <f>SLOPE(M1223:M1226,F1223:F1226)</f>
        <v>5.532113059860583</v>
      </c>
      <c r="Q1223" s="1">
        <f>(N1223*41.35/0.31*60)/1000</f>
        <v>4.1370930745571275E-3</v>
      </c>
      <c r="R1223" s="1">
        <f>O1223*41.35/0.31*60/1000</f>
        <v>-5.7753420131237214E-4</v>
      </c>
      <c r="S1223" s="1">
        <f>(O1223*41.35/0.31*60)/1000</f>
        <v>-5.7753420131237214E-4</v>
      </c>
    </row>
    <row r="1224" spans="1:19" x14ac:dyDescent="0.3">
      <c r="A1224" s="1">
        <v>1340</v>
      </c>
      <c r="C1224" s="1" t="s">
        <v>15</v>
      </c>
      <c r="D1224" s="1">
        <v>20</v>
      </c>
      <c r="E1224" s="1">
        <v>38</v>
      </c>
      <c r="F1224" s="1">
        <v>15</v>
      </c>
      <c r="G1224" s="1">
        <v>0.40521208353246363</v>
      </c>
      <c r="H1224" s="1">
        <v>1.669465381896059</v>
      </c>
      <c r="I1224" s="1">
        <v>621.19038408303027</v>
      </c>
      <c r="K1224" s="1">
        <f t="shared" si="57"/>
        <v>0.47199420669968267</v>
      </c>
      <c r="L1224" s="1">
        <f t="shared" si="58"/>
        <v>0.83340271910878516</v>
      </c>
      <c r="M1224" s="1">
        <f t="shared" si="59"/>
        <v>309.72261310463722</v>
      </c>
      <c r="N1224"/>
      <c r="P1224" s="1"/>
    </row>
    <row r="1225" spans="1:19" x14ac:dyDescent="0.3">
      <c r="A1225" s="1">
        <v>1341</v>
      </c>
      <c r="C1225" s="1" t="s">
        <v>15</v>
      </c>
      <c r="D1225" s="1">
        <v>20</v>
      </c>
      <c r="E1225" s="1">
        <v>39</v>
      </c>
      <c r="F1225" s="1">
        <v>30</v>
      </c>
      <c r="G1225" s="1">
        <v>0.41696055724208503</v>
      </c>
      <c r="H1225" s="1">
        <v>1.6575395388048908</v>
      </c>
      <c r="I1225" s="1">
        <v>787.81376737419407</v>
      </c>
      <c r="K1225" s="1">
        <f t="shared" si="57"/>
        <v>0.48567892083792868</v>
      </c>
      <c r="L1225" s="1">
        <f t="shared" si="58"/>
        <v>0.82744929823068569</v>
      </c>
      <c r="M1225" s="1">
        <f t="shared" si="59"/>
        <v>392.80025081381473</v>
      </c>
      <c r="N1225"/>
      <c r="P1225" s="1"/>
    </row>
    <row r="1226" spans="1:19" x14ac:dyDescent="0.3">
      <c r="A1226" s="1">
        <v>1342</v>
      </c>
      <c r="C1226" s="1" t="s">
        <v>15</v>
      </c>
      <c r="D1226" s="1">
        <v>20</v>
      </c>
      <c r="E1226" s="1">
        <v>40</v>
      </c>
      <c r="F1226" s="1">
        <v>45</v>
      </c>
      <c r="G1226" s="1">
        <v>0.41675816351944178</v>
      </c>
      <c r="H1226" s="1">
        <v>1.6629603765736036</v>
      </c>
      <c r="I1226" s="1">
        <v>918.32592962996864</v>
      </c>
      <c r="K1226" s="1">
        <f t="shared" si="57"/>
        <v>0.48544317104555523</v>
      </c>
      <c r="L1226" s="1">
        <f t="shared" si="58"/>
        <v>0.83015539862982179</v>
      </c>
      <c r="M1226" s="1">
        <f t="shared" si="59"/>
        <v>457.87300301918674</v>
      </c>
      <c r="N1226"/>
      <c r="P1226" s="1"/>
    </row>
    <row r="1227" spans="1:19" x14ac:dyDescent="0.3">
      <c r="A1227" s="1">
        <v>1343</v>
      </c>
      <c r="C1227" s="1" t="s">
        <v>15</v>
      </c>
      <c r="D1227" s="1">
        <v>20</v>
      </c>
      <c r="E1227" s="1">
        <v>41</v>
      </c>
      <c r="F1227" s="1">
        <v>0</v>
      </c>
      <c r="G1227" s="1">
        <v>0.39779098036887989</v>
      </c>
      <c r="H1227" s="1">
        <v>1.6944012356321378</v>
      </c>
      <c r="I1227" s="1">
        <v>551.41662300134328</v>
      </c>
      <c r="K1227" s="1">
        <f t="shared" si="57"/>
        <v>0.46335004764599147</v>
      </c>
      <c r="L1227" s="1">
        <f t="shared" si="58"/>
        <v>0.84585078094481114</v>
      </c>
      <c r="M1227" s="1">
        <f t="shared" si="59"/>
        <v>274.93374295775129</v>
      </c>
      <c r="N1227" s="1">
        <f>SLOPE(K1227:K1230,F1227:F1230)</f>
        <v>5.0817177467153934E-4</v>
      </c>
      <c r="O1227" s="1">
        <f>SLOPE(L1227:L1230,F1227:F1230)</f>
        <v>-3.6442152041699463E-4</v>
      </c>
      <c r="P1227" s="1">
        <f>SLOPE(M1227:M1230,F1227:F1230)</f>
        <v>2.0571823083114409</v>
      </c>
      <c r="Q1227" s="1">
        <f>(N1227*41.35/0.31*60)/1000</f>
        <v>4.0670134611615772E-3</v>
      </c>
      <c r="R1227" s="1">
        <f>O1227*41.35/0.31*60/1000</f>
        <v>-2.9165477166276247E-3</v>
      </c>
      <c r="S1227" s="1">
        <f>(O1227*41.35/0.31*60)/1000</f>
        <v>-2.9165477166276247E-3</v>
      </c>
    </row>
    <row r="1228" spans="1:19" x14ac:dyDescent="0.3">
      <c r="A1228" s="1">
        <v>1344</v>
      </c>
      <c r="C1228" s="1" t="s">
        <v>15</v>
      </c>
      <c r="D1228" s="1">
        <v>20</v>
      </c>
      <c r="E1228" s="1">
        <v>42</v>
      </c>
      <c r="F1228" s="1">
        <v>15</v>
      </c>
      <c r="G1228" s="1">
        <v>0.405337374884576</v>
      </c>
      <c r="H1228" s="1">
        <v>1.6705495494498015</v>
      </c>
      <c r="I1228" s="1">
        <v>590.09934899263362</v>
      </c>
      <c r="K1228" s="1">
        <f t="shared" si="57"/>
        <v>0.47214014704734225</v>
      </c>
      <c r="L1228" s="1">
        <f t="shared" si="58"/>
        <v>0.83394393918861232</v>
      </c>
      <c r="M1228" s="1">
        <f t="shared" si="59"/>
        <v>294.22076877628314</v>
      </c>
      <c r="N1228"/>
      <c r="P1228" s="1"/>
    </row>
    <row r="1229" spans="1:19" x14ac:dyDescent="0.3">
      <c r="A1229" s="1">
        <v>1345</v>
      </c>
      <c r="C1229" s="1" t="s">
        <v>15</v>
      </c>
      <c r="D1229" s="1">
        <v>20</v>
      </c>
      <c r="E1229" s="1">
        <v>43</v>
      </c>
      <c r="F1229" s="1">
        <v>30</v>
      </c>
      <c r="G1229" s="1">
        <v>0.40309176834286825</v>
      </c>
      <c r="H1229" s="1">
        <v>1.6846437276484549</v>
      </c>
      <c r="I1229" s="1">
        <v>643.23046257162935</v>
      </c>
      <c r="K1229" s="1">
        <f t="shared" si="57"/>
        <v>0.46952444697005657</v>
      </c>
      <c r="L1229" s="1">
        <f t="shared" si="58"/>
        <v>0.84097980022636631</v>
      </c>
      <c r="M1229" s="1">
        <f t="shared" si="59"/>
        <v>320.71169290598812</v>
      </c>
      <c r="N1229"/>
      <c r="P1229" s="1"/>
    </row>
    <row r="1230" spans="1:19" x14ac:dyDescent="0.3">
      <c r="A1230" s="1">
        <v>1346</v>
      </c>
      <c r="C1230" s="1" t="s">
        <v>15</v>
      </c>
      <c r="D1230" s="1">
        <v>20</v>
      </c>
      <c r="E1230" s="1">
        <v>44</v>
      </c>
      <c r="F1230" s="1">
        <v>45</v>
      </c>
      <c r="G1230" s="1">
        <v>0.42035306154543756</v>
      </c>
      <c r="H1230" s="1">
        <v>1.6532028685899205</v>
      </c>
      <c r="I1230" s="1">
        <v>740.0040508968907</v>
      </c>
      <c r="K1230" s="1">
        <f t="shared" si="57"/>
        <v>0.48963053640533033</v>
      </c>
      <c r="L1230" s="1">
        <f t="shared" si="58"/>
        <v>0.82528441791137674</v>
      </c>
      <c r="M1230" s="1">
        <f t="shared" si="59"/>
        <v>368.96255033008833</v>
      </c>
      <c r="N1230"/>
      <c r="P1230" s="1"/>
    </row>
    <row r="1231" spans="1:19" x14ac:dyDescent="0.3">
      <c r="A1231" s="1">
        <v>1347</v>
      </c>
      <c r="C1231" s="1" t="s">
        <v>15</v>
      </c>
      <c r="D1231" s="1">
        <v>20</v>
      </c>
      <c r="E1231" s="1">
        <v>45</v>
      </c>
      <c r="F1231" s="1">
        <v>0</v>
      </c>
      <c r="G1231" s="1">
        <v>0.39929447659422929</v>
      </c>
      <c r="H1231" s="1">
        <v>1.6846437276484549</v>
      </c>
      <c r="I1231" s="1">
        <v>453.43819004928355</v>
      </c>
      <c r="K1231" s="1">
        <f t="shared" si="57"/>
        <v>0.46510133181790808</v>
      </c>
      <c r="L1231" s="1">
        <f t="shared" si="58"/>
        <v>0.84097980022636631</v>
      </c>
      <c r="M1231" s="1">
        <f t="shared" si="59"/>
        <v>226.08215565154265</v>
      </c>
      <c r="N1231" s="1">
        <f>SLOPE(K1231:K1234,F1231:F1234)</f>
        <v>1.0762165124855357E-4</v>
      </c>
      <c r="O1231" s="1">
        <f>SLOPE(L1231:L1234,F1231:F1234)</f>
        <v>-2.3813683512398024E-4</v>
      </c>
      <c r="P1231" s="1">
        <f>SLOPE(M1231:M1234,F1231:F1234)</f>
        <v>1.07645675385068</v>
      </c>
      <c r="Q1231" s="1">
        <f>(N1231*41.35/0.31*60)/1000</f>
        <v>8.6132037660535947E-4</v>
      </c>
      <c r="R1231" s="1">
        <f>O1231*41.35/0.31*60/1000</f>
        <v>-1.9058628643309513E-3</v>
      </c>
      <c r="S1231" s="1">
        <f>(O1231*41.35/0.31*60)/1000</f>
        <v>-1.9058628643309513E-3</v>
      </c>
    </row>
    <row r="1232" spans="1:19" x14ac:dyDescent="0.3">
      <c r="A1232" s="1">
        <v>1348</v>
      </c>
      <c r="C1232" s="1" t="s">
        <v>15</v>
      </c>
      <c r="D1232" s="1">
        <v>20</v>
      </c>
      <c r="E1232" s="1">
        <v>46</v>
      </c>
      <c r="F1232" s="1">
        <v>15</v>
      </c>
      <c r="G1232" s="1">
        <v>0.40528918590299429</v>
      </c>
      <c r="H1232" s="1">
        <v>1.6857278952021975</v>
      </c>
      <c r="I1232" s="1">
        <v>592.63381179981445</v>
      </c>
      <c r="K1232" s="1">
        <f t="shared" si="57"/>
        <v>0.47208401614439627</v>
      </c>
      <c r="L1232" s="1">
        <f t="shared" si="58"/>
        <v>0.84152102030619336</v>
      </c>
      <c r="M1232" s="1">
        <f t="shared" si="59"/>
        <v>295.48444004932662</v>
      </c>
      <c r="N1232"/>
      <c r="P1232" s="1"/>
    </row>
    <row r="1233" spans="1:19" x14ac:dyDescent="0.3">
      <c r="A1233" s="1">
        <v>1349</v>
      </c>
      <c r="C1233" s="1" t="s">
        <v>15</v>
      </c>
      <c r="D1233" s="1">
        <v>20</v>
      </c>
      <c r="E1233" s="1">
        <v>47</v>
      </c>
      <c r="F1233" s="1">
        <v>30</v>
      </c>
      <c r="G1233" s="1">
        <v>0.40654209942411879</v>
      </c>
      <c r="H1233" s="1">
        <v>1.6824753925409697</v>
      </c>
      <c r="I1233" s="1">
        <v>503.44704040851002</v>
      </c>
      <c r="K1233" s="1">
        <f t="shared" si="57"/>
        <v>0.47354341962099344</v>
      </c>
      <c r="L1233" s="1">
        <f t="shared" si="58"/>
        <v>0.83989736006671167</v>
      </c>
      <c r="M1233" s="1">
        <f t="shared" si="59"/>
        <v>251.01633397834061</v>
      </c>
      <c r="N1233"/>
      <c r="P1233" s="1"/>
    </row>
    <row r="1234" spans="1:19" x14ac:dyDescent="0.3">
      <c r="A1234" s="1">
        <v>1350</v>
      </c>
      <c r="C1234" s="1" t="s">
        <v>15</v>
      </c>
      <c r="D1234" s="1">
        <v>20</v>
      </c>
      <c r="E1234" s="1">
        <v>48</v>
      </c>
      <c r="F1234" s="1">
        <v>45</v>
      </c>
      <c r="G1234" s="1">
        <v>0.40349655578815463</v>
      </c>
      <c r="H1234" s="1">
        <v>1.6618762090198609</v>
      </c>
      <c r="I1234" s="1">
        <v>591.11605849566809</v>
      </c>
      <c r="K1234" s="1">
        <f t="shared" si="57"/>
        <v>0.46999594655480337</v>
      </c>
      <c r="L1234" s="1">
        <f t="shared" si="58"/>
        <v>0.82961417854999453</v>
      </c>
      <c r="M1234" s="1">
        <f t="shared" si="59"/>
        <v>294.72769536773865</v>
      </c>
      <c r="N1234"/>
      <c r="P1234" s="1"/>
    </row>
    <row r="1235" spans="1:19" x14ac:dyDescent="0.3">
      <c r="A1235" s="1">
        <v>1351</v>
      </c>
      <c r="C1235" s="1" t="s">
        <v>15</v>
      </c>
      <c r="D1235" s="1">
        <v>20</v>
      </c>
      <c r="E1235" s="1">
        <v>49</v>
      </c>
      <c r="F1235" s="1">
        <v>0</v>
      </c>
      <c r="G1235" s="1">
        <v>0.40958764306008305</v>
      </c>
      <c r="H1235" s="1">
        <v>1.7074112462770488</v>
      </c>
      <c r="I1235" s="1">
        <v>482.1097879522099</v>
      </c>
      <c r="K1235" s="1">
        <f t="shared" si="57"/>
        <v>0.47709089268718358</v>
      </c>
      <c r="L1235" s="1">
        <f t="shared" si="58"/>
        <v>0.85234542190273788</v>
      </c>
      <c r="M1235" s="1">
        <f t="shared" si="59"/>
        <v>240.37767994155294</v>
      </c>
      <c r="N1235" s="1">
        <f>SLOPE(K1235:K1238,F1235:F1238)</f>
        <v>5.1939047114035542E-3</v>
      </c>
      <c r="O1235" s="1">
        <f>SLOPE(L1235:L1238,F1235:F1238)</f>
        <v>-7.8296504881671786E-4</v>
      </c>
      <c r="P1235" s="1">
        <f>SLOPE(M1235:M1238,F1235:F1238)</f>
        <v>5.2235893386384014</v>
      </c>
      <c r="Q1235" s="1">
        <f>(N1235*41.35/0.31*60)/1000</f>
        <v>4.1567992222555548E-2</v>
      </c>
      <c r="R1235" s="1">
        <f>O1235*41.35/0.31*60/1000</f>
        <v>-6.2662460842396036E-3</v>
      </c>
      <c r="S1235" s="1">
        <f>(O1235*41.35/0.31*60)/1000</f>
        <v>-6.2662460842396036E-3</v>
      </c>
    </row>
    <row r="1236" spans="1:19" x14ac:dyDescent="0.3">
      <c r="A1236" s="1">
        <v>1352</v>
      </c>
      <c r="C1236" s="1" t="s">
        <v>15</v>
      </c>
      <c r="D1236" s="1">
        <v>20</v>
      </c>
      <c r="E1236" s="1">
        <v>50</v>
      </c>
      <c r="F1236" s="1">
        <v>15</v>
      </c>
      <c r="G1236" s="1">
        <v>0.47930746161250437</v>
      </c>
      <c r="H1236" s="1">
        <v>1.6640445441273461</v>
      </c>
      <c r="I1236" s="1">
        <v>721.87484347844895</v>
      </c>
      <c r="K1236" s="1">
        <f t="shared" si="57"/>
        <v>0.55830108306952342</v>
      </c>
      <c r="L1236" s="1">
        <f t="shared" si="58"/>
        <v>0.83069661870964895</v>
      </c>
      <c r="M1236" s="1">
        <f t="shared" si="59"/>
        <v>359.92341250852598</v>
      </c>
      <c r="N1236"/>
      <c r="P1236" s="1"/>
    </row>
    <row r="1237" spans="1:19" x14ac:dyDescent="0.3">
      <c r="A1237" s="1">
        <v>1353</v>
      </c>
      <c r="C1237" s="1" t="s">
        <v>15</v>
      </c>
      <c r="D1237" s="1">
        <v>20</v>
      </c>
      <c r="E1237" s="1">
        <v>51</v>
      </c>
      <c r="F1237" s="1">
        <v>30</v>
      </c>
      <c r="G1237" s="1">
        <v>0.5471093586979735</v>
      </c>
      <c r="H1237" s="1">
        <v>1.6336878526225542</v>
      </c>
      <c r="I1237" s="1">
        <v>828.24332311566445</v>
      </c>
      <c r="K1237" s="1">
        <f t="shared" si="57"/>
        <v>0.63727726351461034</v>
      </c>
      <c r="L1237" s="1">
        <f t="shared" si="58"/>
        <v>0.81554245647448664</v>
      </c>
      <c r="M1237" s="1">
        <f t="shared" si="59"/>
        <v>412.95823775592106</v>
      </c>
      <c r="N1237"/>
      <c r="P1237" s="1"/>
    </row>
    <row r="1238" spans="1:19" x14ac:dyDescent="0.3">
      <c r="A1238" s="1">
        <v>1354</v>
      </c>
      <c r="C1238" s="1" t="s">
        <v>15</v>
      </c>
      <c r="D1238" s="1">
        <v>20</v>
      </c>
      <c r="E1238" s="1">
        <v>52</v>
      </c>
      <c r="F1238" s="1">
        <v>45</v>
      </c>
      <c r="G1238" s="1">
        <v>0.60993815288421005</v>
      </c>
      <c r="H1238" s="1">
        <v>1.6391086903912671</v>
      </c>
      <c r="I1238" s="1">
        <v>970.48419940836175</v>
      </c>
      <c r="K1238" s="1">
        <f t="shared" si="57"/>
        <v>0.71046073477566563</v>
      </c>
      <c r="L1238" s="1">
        <f t="shared" si="58"/>
        <v>0.81824855687362275</v>
      </c>
      <c r="M1238" s="1">
        <f t="shared" si="59"/>
        <v>483.87887179100801</v>
      </c>
      <c r="N1238"/>
      <c r="P1238" s="1"/>
    </row>
    <row r="1239" spans="1:19" x14ac:dyDescent="0.3">
      <c r="A1239" s="1">
        <v>1355</v>
      </c>
      <c r="C1239" s="1" t="s">
        <v>15</v>
      </c>
      <c r="D1239" s="1">
        <v>20</v>
      </c>
      <c r="E1239" s="1">
        <v>53</v>
      </c>
      <c r="F1239" s="1">
        <v>0</v>
      </c>
      <c r="G1239" s="1">
        <v>0.39972817742846467</v>
      </c>
      <c r="H1239" s="1">
        <v>1.68681206275594</v>
      </c>
      <c r="I1239" s="1">
        <v>417.32696901389426</v>
      </c>
      <c r="K1239" s="1">
        <f t="shared" si="57"/>
        <v>0.46560650994442254</v>
      </c>
      <c r="L1239" s="1">
        <f t="shared" si="58"/>
        <v>0.84206224038602073</v>
      </c>
      <c r="M1239" s="1">
        <f t="shared" si="59"/>
        <v>208.07727014773715</v>
      </c>
      <c r="N1239" s="1">
        <f>SLOPE(K1239:K1242,F1239:F1242)</f>
        <v>2.6353833139188361E-3</v>
      </c>
      <c r="O1239" s="1">
        <f>SLOPE(L1239:L1242,F1239:F1242)</f>
        <v>-4.7266553638244545E-4</v>
      </c>
      <c r="P1239" s="1">
        <f>SLOPE(M1239:M1242,F1239:F1242)</f>
        <v>5.945670545151934</v>
      </c>
      <c r="Q1239" s="1">
        <f>(N1239*41.35/0.31*60)/1000</f>
        <v>2.1091567747847199E-2</v>
      </c>
      <c r="R1239" s="1">
        <f>O1239*41.35/0.31*60/1000</f>
        <v>-3.7828490185962812E-3</v>
      </c>
      <c r="S1239" s="1">
        <f>(O1239*41.35/0.31*60)/1000</f>
        <v>-3.7828490185962812E-3</v>
      </c>
    </row>
    <row r="1240" spans="1:19" x14ac:dyDescent="0.3">
      <c r="A1240" s="1">
        <v>1356</v>
      </c>
      <c r="C1240" s="1" t="s">
        <v>15</v>
      </c>
      <c r="D1240" s="1">
        <v>20</v>
      </c>
      <c r="E1240" s="1">
        <v>54</v>
      </c>
      <c r="F1240" s="1">
        <v>15</v>
      </c>
      <c r="G1240" s="1">
        <v>0.4492278993091996</v>
      </c>
      <c r="H1240" s="1">
        <v>1.6672970467885737</v>
      </c>
      <c r="I1240" s="1">
        <v>833.67779625029254</v>
      </c>
      <c r="K1240" s="1">
        <f t="shared" si="57"/>
        <v>0.52326417345060128</v>
      </c>
      <c r="L1240" s="1">
        <f t="shared" si="58"/>
        <v>0.83232027894913063</v>
      </c>
      <c r="M1240" s="1">
        <f t="shared" si="59"/>
        <v>415.66784058177393</v>
      </c>
      <c r="N1240"/>
      <c r="P1240" s="1"/>
    </row>
    <row r="1241" spans="1:19" x14ac:dyDescent="0.3">
      <c r="A1241" s="1">
        <v>1357</v>
      </c>
      <c r="C1241" s="1" t="s">
        <v>15</v>
      </c>
      <c r="D1241" s="1">
        <v>20</v>
      </c>
      <c r="E1241" s="1">
        <v>55</v>
      </c>
      <c r="F1241" s="1">
        <v>30</v>
      </c>
      <c r="G1241" s="1">
        <v>0.48174582408053901</v>
      </c>
      <c r="H1241" s="1">
        <v>1.652118701036178</v>
      </c>
      <c r="I1241" s="1">
        <v>895.18920858057015</v>
      </c>
      <c r="K1241" s="1">
        <f t="shared" si="57"/>
        <v>0.56114130675859331</v>
      </c>
      <c r="L1241" s="1">
        <f t="shared" si="58"/>
        <v>0.82474319783154948</v>
      </c>
      <c r="M1241" s="1">
        <f t="shared" si="59"/>
        <v>446.3371423785382</v>
      </c>
      <c r="N1241"/>
      <c r="P1241" s="1"/>
    </row>
    <row r="1242" spans="1:19" x14ac:dyDescent="0.3">
      <c r="A1242" s="1">
        <v>1358</v>
      </c>
      <c r="C1242" s="1" t="s">
        <v>15</v>
      </c>
      <c r="D1242" s="1">
        <v>20</v>
      </c>
      <c r="E1242" s="1">
        <v>56</v>
      </c>
      <c r="F1242" s="1">
        <v>45</v>
      </c>
      <c r="G1242" s="1">
        <v>0.50201410973380722</v>
      </c>
      <c r="H1242" s="1">
        <v>1.6445295281599799</v>
      </c>
      <c r="I1242" s="1">
        <v>993.0652882269552</v>
      </c>
      <c r="K1242" s="1">
        <f t="shared" si="57"/>
        <v>0.58474996453770034</v>
      </c>
      <c r="L1242" s="1">
        <f t="shared" si="58"/>
        <v>0.82095465727275885</v>
      </c>
      <c r="M1242" s="1">
        <f t="shared" si="59"/>
        <v>495.13769680641241</v>
      </c>
      <c r="N1242"/>
      <c r="P1242" s="1"/>
    </row>
    <row r="1243" spans="1:19" x14ac:dyDescent="0.3">
      <c r="A1243" s="1">
        <v>1359</v>
      </c>
      <c r="C1243" s="1" t="s">
        <v>15</v>
      </c>
      <c r="D1243" s="1">
        <v>20</v>
      </c>
      <c r="E1243" s="1">
        <v>57</v>
      </c>
      <c r="F1243" s="1">
        <v>0</v>
      </c>
      <c r="G1243" s="1">
        <v>0.3973669173309608</v>
      </c>
      <c r="H1243" s="1">
        <v>1.6835595600947122</v>
      </c>
      <c r="I1243" s="1">
        <v>445.01500038895699</v>
      </c>
      <c r="K1243" s="1">
        <f t="shared" si="57"/>
        <v>0.46285609570006625</v>
      </c>
      <c r="L1243" s="1">
        <f t="shared" si="58"/>
        <v>0.84043858014653883</v>
      </c>
      <c r="M1243" s="1">
        <f t="shared" si="59"/>
        <v>221.88239277832403</v>
      </c>
      <c r="N1243" s="1">
        <f>SLOPE(K1243:K1246,F1243:F1246)</f>
        <v>1.2332333583266017E-3</v>
      </c>
      <c r="O1243" s="1">
        <f>SLOPE(L1243:L1246,F1243:F1246)</f>
        <v>-8.8038466318561678E-4</v>
      </c>
      <c r="P1243" s="1">
        <f>SLOPE(M1243:M1246,F1243:F1246)</f>
        <v>10.741471515854865</v>
      </c>
      <c r="Q1243" s="1">
        <f>(N1243*41.35/0.31*60)/1000</f>
        <v>9.8698450387364484E-3</v>
      </c>
      <c r="R1243" s="1">
        <f>O1243*41.35/0.31*60/1000</f>
        <v>-7.0459172560113402E-3</v>
      </c>
      <c r="S1243" s="1">
        <f>(O1243*41.35/0.31*60)/1000</f>
        <v>-7.0459172560113402E-3</v>
      </c>
    </row>
    <row r="1244" spans="1:19" x14ac:dyDescent="0.3">
      <c r="A1244" s="1">
        <v>1360</v>
      </c>
      <c r="C1244" s="1" t="s">
        <v>15</v>
      </c>
      <c r="D1244" s="1">
        <v>20</v>
      </c>
      <c r="E1244" s="1">
        <v>58</v>
      </c>
      <c r="F1244" s="1">
        <v>15</v>
      </c>
      <c r="G1244" s="1">
        <v>0.38875072742415068</v>
      </c>
      <c r="H1244" s="1">
        <v>1.7800504723778003</v>
      </c>
      <c r="I1244" s="1">
        <v>800.67616612063659</v>
      </c>
      <c r="K1244" s="1">
        <f t="shared" si="57"/>
        <v>0.45281989025331321</v>
      </c>
      <c r="L1244" s="1">
        <f t="shared" si="58"/>
        <v>0.88860716725116196</v>
      </c>
      <c r="M1244" s="1">
        <f t="shared" si="59"/>
        <v>399.21338252451022</v>
      </c>
      <c r="N1244"/>
      <c r="P1244" s="1"/>
    </row>
    <row r="1245" spans="1:19" x14ac:dyDescent="0.3">
      <c r="A1245" s="1">
        <v>1361</v>
      </c>
      <c r="C1245" s="1" t="s">
        <v>15</v>
      </c>
      <c r="D1245" s="1">
        <v>20</v>
      </c>
      <c r="E1245" s="1">
        <v>59</v>
      </c>
      <c r="F1245" s="1">
        <v>30</v>
      </c>
      <c r="G1245" s="1">
        <v>0.41574619490622583</v>
      </c>
      <c r="H1245" s="1">
        <v>1.6618762090198609</v>
      </c>
      <c r="I1245" s="1">
        <v>817.85787436654743</v>
      </c>
      <c r="K1245" s="1">
        <f t="shared" si="57"/>
        <v>0.48426442208368825</v>
      </c>
      <c r="L1245" s="1">
        <f t="shared" si="58"/>
        <v>0.82961417854999453</v>
      </c>
      <c r="M1245" s="1">
        <f t="shared" si="59"/>
        <v>407.7801017009192</v>
      </c>
      <c r="N1245"/>
      <c r="P1245" s="1"/>
    </row>
    <row r="1246" spans="1:19" x14ac:dyDescent="0.3">
      <c r="A1246" s="1">
        <v>1362</v>
      </c>
      <c r="C1246" s="1" t="s">
        <v>15</v>
      </c>
      <c r="D1246" s="1">
        <v>20</v>
      </c>
      <c r="E1246" s="1">
        <v>60</v>
      </c>
      <c r="F1246" s="1">
        <v>45</v>
      </c>
      <c r="G1246" s="1">
        <v>0.44130563073716611</v>
      </c>
      <c r="H1246" s="1">
        <v>1.6347720201762967</v>
      </c>
      <c r="I1246" s="1">
        <v>1516.4611017114087</v>
      </c>
      <c r="K1246" s="1">
        <f t="shared" si="57"/>
        <v>0.51403625300627132</v>
      </c>
      <c r="L1246" s="1">
        <f t="shared" si="58"/>
        <v>0.8160836765543138</v>
      </c>
      <c r="M1246" s="1">
        <f t="shared" si="59"/>
        <v>756.1003955122643</v>
      </c>
      <c r="N1246"/>
      <c r="P1246" s="1"/>
    </row>
    <row r="1247" spans="1:19" x14ac:dyDescent="0.3">
      <c r="A1247" s="1">
        <v>1363</v>
      </c>
      <c r="C1247" s="1" t="s">
        <v>15</v>
      </c>
      <c r="D1247" s="1">
        <v>20</v>
      </c>
      <c r="E1247" s="1">
        <v>61</v>
      </c>
      <c r="F1247" s="1">
        <v>0</v>
      </c>
      <c r="G1247" s="1">
        <v>0.40240748480440791</v>
      </c>
      <c r="H1247" s="1">
        <v>1.6944012356321378</v>
      </c>
      <c r="I1247" s="1">
        <v>402.85421159150462</v>
      </c>
      <c r="K1247" s="1">
        <f t="shared" si="57"/>
        <v>0.46872738814822268</v>
      </c>
      <c r="L1247" s="1">
        <f t="shared" si="58"/>
        <v>0.84585078094481114</v>
      </c>
      <c r="M1247" s="1">
        <f t="shared" si="59"/>
        <v>200.86122115124638</v>
      </c>
      <c r="N1247" s="1">
        <f>SLOPE(K1247:K1250,F1247:F1250)</f>
        <v>9.0153714251743264E-4</v>
      </c>
      <c r="O1247" s="1">
        <f>SLOPE(L1247:L1250,F1247:F1250)</f>
        <v>-5.3039567823067878E-4</v>
      </c>
      <c r="P1247" s="1">
        <f>SLOPE(M1247:M1250,F1247:F1250)</f>
        <v>7.5400672716301038</v>
      </c>
      <c r="Q1247" s="1">
        <f>(N1247*41.35/0.31*60)/1000</f>
        <v>7.2152053244701631E-3</v>
      </c>
      <c r="R1247" s="1">
        <f>O1247*41.35/0.31*60/1000</f>
        <v>-4.2448763796461746E-3</v>
      </c>
      <c r="S1247" s="1">
        <f>(O1247*41.35/0.31*60)/1000</f>
        <v>-4.2448763796461746E-3</v>
      </c>
    </row>
    <row r="1248" spans="1:19" x14ac:dyDescent="0.3">
      <c r="A1248" s="1">
        <v>1364</v>
      </c>
      <c r="C1248" s="1" t="s">
        <v>15</v>
      </c>
      <c r="D1248" s="1">
        <v>20</v>
      </c>
      <c r="E1248" s="1">
        <v>62</v>
      </c>
      <c r="F1248" s="1">
        <v>15</v>
      </c>
      <c r="G1248" s="1">
        <v>0.4120934701023321</v>
      </c>
      <c r="H1248" s="1">
        <v>1.6618762090198609</v>
      </c>
      <c r="I1248" s="1">
        <v>768.81211987404981</v>
      </c>
      <c r="K1248" s="1">
        <f t="shared" si="57"/>
        <v>0.48000969964037798</v>
      </c>
      <c r="L1248" s="1">
        <f t="shared" si="58"/>
        <v>0.82961417854999453</v>
      </c>
      <c r="M1248" s="1">
        <f t="shared" si="59"/>
        <v>383.32611845787778</v>
      </c>
      <c r="N1248"/>
      <c r="P1248" s="1"/>
    </row>
    <row r="1249" spans="1:19" x14ac:dyDescent="0.3">
      <c r="A1249" s="1">
        <v>1365</v>
      </c>
      <c r="C1249" s="1" t="s">
        <v>15</v>
      </c>
      <c r="D1249" s="1">
        <v>20</v>
      </c>
      <c r="E1249" s="1">
        <v>63</v>
      </c>
      <c r="F1249" s="1">
        <v>30</v>
      </c>
      <c r="G1249" s="1">
        <v>0.42259866808714536</v>
      </c>
      <c r="H1249" s="1">
        <v>1.6488661983749502</v>
      </c>
      <c r="I1249" s="1">
        <v>881.24673876091367</v>
      </c>
      <c r="K1249" s="1">
        <f t="shared" si="57"/>
        <v>0.49224623648261606</v>
      </c>
      <c r="L1249" s="1">
        <f t="shared" si="58"/>
        <v>0.8231195375920678</v>
      </c>
      <c r="M1249" s="1">
        <f t="shared" si="59"/>
        <v>439.38549229456117</v>
      </c>
      <c r="N1249"/>
      <c r="P1249" s="1"/>
    </row>
    <row r="1250" spans="1:19" x14ac:dyDescent="0.3">
      <c r="A1250" s="1">
        <v>1366</v>
      </c>
      <c r="C1250" s="1" t="s">
        <v>15</v>
      </c>
      <c r="D1250" s="1">
        <v>20</v>
      </c>
      <c r="E1250" s="1">
        <v>64</v>
      </c>
      <c r="F1250" s="1">
        <v>45</v>
      </c>
      <c r="G1250" s="1">
        <v>0.43760471695169056</v>
      </c>
      <c r="H1250" s="1">
        <v>1.6456136957137224</v>
      </c>
      <c r="I1250" s="1">
        <v>1121.5069893279406</v>
      </c>
      <c r="K1250" s="1">
        <f t="shared" si="57"/>
        <v>0.50972539966001496</v>
      </c>
      <c r="L1250" s="1">
        <f t="shared" si="58"/>
        <v>0.82149587735258611</v>
      </c>
      <c r="M1250" s="1">
        <f t="shared" si="59"/>
        <v>559.17812678719042</v>
      </c>
      <c r="N1250"/>
      <c r="P1250" s="1"/>
    </row>
    <row r="1251" spans="1:19" x14ac:dyDescent="0.3">
      <c r="A1251" s="1">
        <v>1367</v>
      </c>
      <c r="C1251" s="1" t="s">
        <v>15</v>
      </c>
      <c r="D1251" s="1">
        <v>20</v>
      </c>
      <c r="E1251" s="1">
        <v>65</v>
      </c>
      <c r="F1251" s="1">
        <v>0</v>
      </c>
      <c r="G1251" s="1">
        <v>0.39849453949997282</v>
      </c>
      <c r="H1251" s="1">
        <v>1.6607920414661184</v>
      </c>
      <c r="I1251" s="1">
        <v>392.69101573470971</v>
      </c>
      <c r="K1251" s="1">
        <f t="shared" si="57"/>
        <v>0.46416955882900363</v>
      </c>
      <c r="L1251" s="1">
        <f t="shared" si="58"/>
        <v>0.82907295847016726</v>
      </c>
      <c r="M1251" s="1">
        <f t="shared" si="59"/>
        <v>195.79389934634224</v>
      </c>
      <c r="N1251" s="1">
        <f>SLOPE(K1251:K1254,F1251:F1254)</f>
        <v>8.2582029650341126E-3</v>
      </c>
      <c r="O1251" s="1">
        <f>SLOPE(L1251:L1254,F1251:F1254)</f>
        <v>-1.9844736260331638E-4</v>
      </c>
      <c r="P1251" s="1">
        <f>SLOPE(M1251:M1254,F1251:F1254)</f>
        <v>9.4890598778725188</v>
      </c>
      <c r="Q1251" s="1">
        <f>(N1251*41.35/0.31*60)/1000</f>
        <v>6.6092263084676237E-2</v>
      </c>
      <c r="R1251" s="1">
        <f>O1251*41.35/0.31*60/1000</f>
        <v>-1.5882190536091224E-3</v>
      </c>
      <c r="S1251" s="1">
        <f>(O1251*41.35/0.31*60)/1000</f>
        <v>-1.5882190536091224E-3</v>
      </c>
    </row>
    <row r="1252" spans="1:19" x14ac:dyDescent="0.3">
      <c r="A1252" s="1">
        <v>1368</v>
      </c>
      <c r="C1252" s="1" t="s">
        <v>15</v>
      </c>
      <c r="D1252" s="1">
        <v>20</v>
      </c>
      <c r="E1252" s="1">
        <v>66</v>
      </c>
      <c r="F1252" s="1">
        <v>15</v>
      </c>
      <c r="G1252" s="1">
        <v>0.47204056318998217</v>
      </c>
      <c r="H1252" s="1">
        <v>1.6738020521110293</v>
      </c>
      <c r="I1252" s="1">
        <v>652.93258115619471</v>
      </c>
      <c r="K1252" s="1">
        <f t="shared" si="57"/>
        <v>0.54983654290525963</v>
      </c>
      <c r="L1252" s="1">
        <f t="shared" si="58"/>
        <v>0.835567599428094</v>
      </c>
      <c r="M1252" s="1">
        <f t="shared" si="59"/>
        <v>325.5491237446808</v>
      </c>
      <c r="N1252"/>
      <c r="P1252" s="1"/>
    </row>
    <row r="1253" spans="1:19" x14ac:dyDescent="0.3">
      <c r="A1253" s="1">
        <v>1369</v>
      </c>
      <c r="C1253" s="1" t="s">
        <v>15</v>
      </c>
      <c r="D1253" s="1">
        <v>20</v>
      </c>
      <c r="E1253" s="1">
        <v>67</v>
      </c>
      <c r="F1253" s="1">
        <v>30</v>
      </c>
      <c r="G1253" s="1">
        <v>0.60110993145844038</v>
      </c>
      <c r="H1253" s="1">
        <v>1.6662128792348312</v>
      </c>
      <c r="I1253" s="1">
        <v>982.43029237066969</v>
      </c>
      <c r="K1253" s="1">
        <f t="shared" si="57"/>
        <v>0.70017755335594989</v>
      </c>
      <c r="L1253" s="1">
        <f t="shared" si="58"/>
        <v>0.83177905886930326</v>
      </c>
      <c r="M1253" s="1">
        <f t="shared" si="59"/>
        <v>489.83513773375705</v>
      </c>
      <c r="N1253"/>
      <c r="P1253" s="1"/>
    </row>
    <row r="1254" spans="1:19" x14ac:dyDescent="0.3">
      <c r="A1254" s="1">
        <v>1370</v>
      </c>
      <c r="C1254" s="1" t="s">
        <v>15</v>
      </c>
      <c r="D1254" s="1">
        <v>20</v>
      </c>
      <c r="E1254" s="1">
        <v>68</v>
      </c>
      <c r="F1254" s="1">
        <v>45</v>
      </c>
      <c r="G1254" s="1">
        <v>0.7099592030552121</v>
      </c>
      <c r="H1254" s="1">
        <v>1.6434453606062374</v>
      </c>
      <c r="I1254" s="1">
        <v>1234.4377780489795</v>
      </c>
      <c r="K1254" s="1">
        <f t="shared" si="57"/>
        <v>0.82696603693047921</v>
      </c>
      <c r="L1254" s="1">
        <f t="shared" si="58"/>
        <v>0.82041343719293169</v>
      </c>
      <c r="M1254" s="1">
        <f t="shared" si="59"/>
        <v>615.48488857694269</v>
      </c>
      <c r="N1254"/>
      <c r="P1254" s="1"/>
    </row>
    <row r="1255" spans="1:19" x14ac:dyDescent="0.3">
      <c r="A1255" s="1">
        <v>1371</v>
      </c>
      <c r="C1255" s="1" t="s">
        <v>15</v>
      </c>
      <c r="D1255" s="1">
        <v>20</v>
      </c>
      <c r="E1255" s="1">
        <v>69</v>
      </c>
      <c r="F1255" s="1">
        <v>0</v>
      </c>
      <c r="G1255" s="1">
        <v>0.40028716961481259</v>
      </c>
      <c r="H1255" s="1">
        <v>1.6911487329709103</v>
      </c>
      <c r="I1255" s="1">
        <v>459.62910285251633</v>
      </c>
      <c r="K1255" s="1">
        <f t="shared" si="57"/>
        <v>0.46625762841859669</v>
      </c>
      <c r="L1255" s="1">
        <f t="shared" si="58"/>
        <v>0.84422712070532946</v>
      </c>
      <c r="M1255" s="1">
        <f t="shared" si="59"/>
        <v>229.16891574965763</v>
      </c>
      <c r="N1255" s="1">
        <f>SLOPE(K1255:K1258,F1255:F1258)</f>
        <v>2.2608779294628167E-3</v>
      </c>
      <c r="O1255" s="1">
        <f>SLOPE(L1255:L1258,F1255:F1258)</f>
        <v>-3.1751578016530132E-4</v>
      </c>
      <c r="P1255" s="1">
        <f>SLOPE(M1255:M1258,F1255:F1258)</f>
        <v>8.6664844033245156</v>
      </c>
      <c r="Q1255" s="1">
        <f>(N1255*41.35/0.31*60)/1000</f>
        <v>1.8094316590313707E-2</v>
      </c>
      <c r="R1255" s="1">
        <f>O1255*41.35/0.31*60/1000</f>
        <v>-2.5411504857745571E-3</v>
      </c>
      <c r="S1255" s="1">
        <f>(O1255*41.35/0.31*60)/1000</f>
        <v>-2.5411504857745571E-3</v>
      </c>
    </row>
    <row r="1256" spans="1:19" x14ac:dyDescent="0.3">
      <c r="A1256" s="1">
        <v>1372</v>
      </c>
      <c r="C1256" s="1" t="s">
        <v>15</v>
      </c>
      <c r="D1256" s="1">
        <v>20</v>
      </c>
      <c r="E1256" s="1">
        <v>70</v>
      </c>
      <c r="F1256" s="1">
        <v>15</v>
      </c>
      <c r="G1256" s="1">
        <v>0.428525912821696</v>
      </c>
      <c r="H1256" s="1">
        <v>1.6998220734008505</v>
      </c>
      <c r="I1256" s="1">
        <v>839.54507764891605</v>
      </c>
      <c r="K1256" s="1">
        <f t="shared" si="57"/>
        <v>0.49915033754497978</v>
      </c>
      <c r="L1256" s="1">
        <f t="shared" si="58"/>
        <v>0.84855688134394713</v>
      </c>
      <c r="M1256" s="1">
        <f t="shared" si="59"/>
        <v>418.59323957886949</v>
      </c>
      <c r="N1256"/>
      <c r="P1256" s="1"/>
    </row>
    <row r="1257" spans="1:19" x14ac:dyDescent="0.3">
      <c r="A1257" s="1">
        <v>1373</v>
      </c>
      <c r="C1257" s="1" t="s">
        <v>15</v>
      </c>
      <c r="D1257" s="1">
        <v>20</v>
      </c>
      <c r="E1257" s="1">
        <v>71</v>
      </c>
      <c r="F1257" s="1">
        <v>30</v>
      </c>
      <c r="G1257" s="1">
        <v>0.46274972754102806</v>
      </c>
      <c r="H1257" s="1">
        <v>1.6564553712511481</v>
      </c>
      <c r="I1257" s="1">
        <v>1030.9935241364158</v>
      </c>
      <c r="K1257" s="1">
        <f t="shared" si="57"/>
        <v>0.53901450481726187</v>
      </c>
      <c r="L1257" s="1">
        <f t="shared" si="58"/>
        <v>0.82690807815085832</v>
      </c>
      <c r="M1257" s="1">
        <f t="shared" si="59"/>
        <v>514.04853740750752</v>
      </c>
      <c r="N1257"/>
      <c r="P1257" s="1"/>
    </row>
    <row r="1258" spans="1:19" x14ac:dyDescent="0.3">
      <c r="A1258" s="1">
        <v>1374</v>
      </c>
      <c r="C1258" s="1" t="s">
        <v>15</v>
      </c>
      <c r="D1258" s="1">
        <v>20</v>
      </c>
      <c r="E1258" s="1">
        <v>72</v>
      </c>
      <c r="F1258" s="1">
        <v>45</v>
      </c>
      <c r="G1258" s="1">
        <v>0.4859286276818317</v>
      </c>
      <c r="H1258" s="1">
        <v>1.6738020521110293</v>
      </c>
      <c r="I1258" s="1">
        <v>1264.9029957846797</v>
      </c>
      <c r="K1258" s="1">
        <f t="shared" si="57"/>
        <v>0.56601346913431017</v>
      </c>
      <c r="L1258" s="1">
        <f t="shared" si="58"/>
        <v>0.835567599428094</v>
      </c>
      <c r="M1258" s="1">
        <f t="shared" si="59"/>
        <v>630.67470330633739</v>
      </c>
      <c r="N1258"/>
      <c r="P1258" s="1"/>
    </row>
    <row r="1259" spans="1:19" x14ac:dyDescent="0.3">
      <c r="A1259" s="1">
        <v>1375</v>
      </c>
      <c r="C1259" s="1" t="s">
        <v>15</v>
      </c>
      <c r="D1259" s="1">
        <v>20</v>
      </c>
      <c r="E1259" s="1">
        <v>73</v>
      </c>
      <c r="F1259" s="1">
        <v>0</v>
      </c>
      <c r="G1259" s="1">
        <v>0.39892824033420826</v>
      </c>
      <c r="H1259" s="1">
        <v>1.7019904085083359</v>
      </c>
      <c r="I1259" s="1">
        <v>455.92293839370814</v>
      </c>
      <c r="K1259" s="1">
        <f t="shared" si="57"/>
        <v>0.46467473695551814</v>
      </c>
      <c r="L1259" s="1">
        <f t="shared" si="58"/>
        <v>0.84963932150360177</v>
      </c>
      <c r="M1259" s="1">
        <f t="shared" si="59"/>
        <v>227.32103952653796</v>
      </c>
      <c r="N1259" s="1">
        <f>SLOPE(K1259:K1262,F1259:F1262)</f>
        <v>4.0870781465114506E-4</v>
      </c>
      <c r="O1259" s="1">
        <f>SLOPE(L1259:L1262,F1259:F1262)</f>
        <v>-4.4380046545832162E-4</v>
      </c>
      <c r="P1259" s="1">
        <f>SLOPE(M1259:M1262,F1259:F1262)</f>
        <v>7.334860017618853</v>
      </c>
      <c r="Q1259" s="1">
        <f>(N1259*41.35/0.31*60)/1000</f>
        <v>3.2709809295144868E-3</v>
      </c>
      <c r="R1259" s="1">
        <f>O1259*41.35/0.31*60/1000</f>
        <v>-3.5518353380712777E-3</v>
      </c>
      <c r="S1259" s="1">
        <f>(O1259*41.35/0.31*60)/1000</f>
        <v>-3.5518353380712777E-3</v>
      </c>
    </row>
    <row r="1260" spans="1:19" x14ac:dyDescent="0.3">
      <c r="A1260" s="1">
        <v>1376</v>
      </c>
      <c r="C1260" s="1" t="s">
        <v>15</v>
      </c>
      <c r="D1260" s="1">
        <v>20</v>
      </c>
      <c r="E1260" s="1">
        <v>74</v>
      </c>
      <c r="F1260" s="1">
        <v>15</v>
      </c>
      <c r="G1260" s="1">
        <v>0.41138991097123906</v>
      </c>
      <c r="H1260" s="1">
        <v>1.6954854031858806</v>
      </c>
      <c r="I1260" s="1">
        <v>663.57440056619203</v>
      </c>
      <c r="K1260" s="1">
        <f t="shared" si="57"/>
        <v>0.47919018845736566</v>
      </c>
      <c r="L1260" s="1">
        <f t="shared" si="58"/>
        <v>0.84639200102463841</v>
      </c>
      <c r="M1260" s="1">
        <f t="shared" si="59"/>
        <v>330.85508500922521</v>
      </c>
      <c r="N1260"/>
      <c r="P1260" s="1"/>
    </row>
    <row r="1261" spans="1:19" x14ac:dyDescent="0.3">
      <c r="A1261" s="1">
        <v>1377</v>
      </c>
      <c r="C1261" s="1" t="s">
        <v>15</v>
      </c>
      <c r="D1261" s="1">
        <v>20</v>
      </c>
      <c r="E1261" s="1">
        <v>75</v>
      </c>
      <c r="F1261" s="1">
        <v>30</v>
      </c>
      <c r="G1261" s="1">
        <v>0.41142846215650447</v>
      </c>
      <c r="H1261" s="1">
        <v>1.6597078739123758</v>
      </c>
      <c r="I1261" s="1">
        <v>831.99140369012991</v>
      </c>
      <c r="K1261" s="1">
        <f t="shared" si="57"/>
        <v>0.47923509317972257</v>
      </c>
      <c r="L1261" s="1">
        <f t="shared" si="58"/>
        <v>0.82853173839034</v>
      </c>
      <c r="M1261" s="1">
        <f t="shared" si="59"/>
        <v>414.82701315778729</v>
      </c>
      <c r="N1261"/>
      <c r="P1261" s="1"/>
    </row>
    <row r="1262" spans="1:19" x14ac:dyDescent="0.3">
      <c r="A1262" s="1">
        <v>1378</v>
      </c>
      <c r="C1262" s="1" t="s">
        <v>15</v>
      </c>
      <c r="D1262" s="1">
        <v>20</v>
      </c>
      <c r="E1262" s="1">
        <v>76</v>
      </c>
      <c r="F1262" s="1">
        <v>45</v>
      </c>
      <c r="G1262" s="1">
        <v>0.41645939183363523</v>
      </c>
      <c r="H1262" s="1">
        <v>1.669465381896059</v>
      </c>
      <c r="I1262" s="1">
        <v>1135.3363831146612</v>
      </c>
      <c r="K1262" s="1">
        <f t="shared" si="57"/>
        <v>0.48509515944728976</v>
      </c>
      <c r="L1262" s="1">
        <f t="shared" si="58"/>
        <v>0.83340271910878516</v>
      </c>
      <c r="M1262" s="1">
        <f t="shared" si="59"/>
        <v>566.07339769129328</v>
      </c>
      <c r="N1262"/>
      <c r="P1262" s="1"/>
    </row>
    <row r="1263" spans="1:19" x14ac:dyDescent="0.3">
      <c r="A1263" s="1">
        <v>1379</v>
      </c>
      <c r="C1263" s="1" t="s">
        <v>15</v>
      </c>
      <c r="D1263" s="1">
        <v>20</v>
      </c>
      <c r="E1263" s="1">
        <v>77</v>
      </c>
      <c r="F1263" s="1">
        <v>0</v>
      </c>
      <c r="G1263" s="1">
        <v>0.40195450837753982</v>
      </c>
      <c r="H1263" s="1">
        <v>1.6835595600947122</v>
      </c>
      <c r="I1263" s="1">
        <v>450.17165740818251</v>
      </c>
      <c r="K1263" s="1">
        <f t="shared" si="57"/>
        <v>0.46819975766052985</v>
      </c>
      <c r="L1263" s="1">
        <f t="shared" si="58"/>
        <v>0.84043858014653883</v>
      </c>
      <c r="M1263" s="1">
        <f t="shared" si="59"/>
        <v>224.45347779155477</v>
      </c>
      <c r="N1263" s="1">
        <f>SLOPE(K1263:K1266,F1263:F1266)</f>
        <v>5.1183899366401514E-4</v>
      </c>
      <c r="O1263" s="1">
        <f>SLOPE(L1263:L1266,F1263:F1266)</f>
        <v>-3.6081338655148028E-5</v>
      </c>
      <c r="P1263" s="1">
        <f>SLOPE(M1263:M1266,F1263:F1266)</f>
        <v>4.1373666739750226</v>
      </c>
      <c r="Q1263" s="1">
        <f>(N1263*41.35/0.31*60)/1000</f>
        <v>4.0963630428400696E-3</v>
      </c>
      <c r="R1263" s="1">
        <f>O1263*41.35/0.31*60/1000</f>
        <v>-2.8876710065620082E-4</v>
      </c>
      <c r="S1263" s="1">
        <f>(O1263*41.35/0.31*60)/1000</f>
        <v>-2.8876710065620082E-4</v>
      </c>
    </row>
    <row r="1264" spans="1:19" x14ac:dyDescent="0.3">
      <c r="A1264" s="1">
        <v>1380</v>
      </c>
      <c r="C1264" s="1" t="s">
        <v>15</v>
      </c>
      <c r="D1264" s="1">
        <v>20</v>
      </c>
      <c r="E1264" s="1">
        <v>78</v>
      </c>
      <c r="F1264" s="1">
        <v>15</v>
      </c>
      <c r="G1264" s="1">
        <v>0.41622808472204298</v>
      </c>
      <c r="H1264" s="1">
        <v>1.6748862196647718</v>
      </c>
      <c r="I1264" s="1">
        <v>601.35918741022795</v>
      </c>
      <c r="K1264" s="1">
        <f t="shared" si="57"/>
        <v>0.48482573111314875</v>
      </c>
      <c r="L1264" s="1">
        <f t="shared" si="58"/>
        <v>0.83610881950792126</v>
      </c>
      <c r="M1264" s="1">
        <f t="shared" si="59"/>
        <v>299.83487142048494</v>
      </c>
      <c r="N1264"/>
      <c r="P1264" s="1"/>
    </row>
    <row r="1265" spans="1:19" x14ac:dyDescent="0.3">
      <c r="A1265" s="1">
        <v>1381</v>
      </c>
      <c r="C1265" s="1" t="s">
        <v>15</v>
      </c>
      <c r="D1265" s="1">
        <v>20</v>
      </c>
      <c r="E1265" s="1">
        <v>79</v>
      </c>
      <c r="F1265" s="1">
        <v>30</v>
      </c>
      <c r="G1265" s="1">
        <v>0.42940295228648317</v>
      </c>
      <c r="H1265" s="1">
        <v>1.6803070574334846</v>
      </c>
      <c r="I1265" s="1">
        <v>662.04007577446021</v>
      </c>
      <c r="K1265" s="1">
        <f t="shared" si="57"/>
        <v>0.50017191997859789</v>
      </c>
      <c r="L1265" s="1">
        <f t="shared" si="58"/>
        <v>0.83881491990705737</v>
      </c>
      <c r="M1265" s="1">
        <f t="shared" si="59"/>
        <v>330.09007786162124</v>
      </c>
      <c r="N1265"/>
      <c r="P1265" s="1"/>
    </row>
    <row r="1266" spans="1:19" x14ac:dyDescent="0.3">
      <c r="A1266" s="1">
        <v>1382</v>
      </c>
      <c r="C1266" s="1" t="s">
        <v>15</v>
      </c>
      <c r="D1266" s="1">
        <v>20</v>
      </c>
      <c r="E1266" s="1">
        <v>80</v>
      </c>
      <c r="F1266" s="1">
        <v>45</v>
      </c>
      <c r="G1266" s="1">
        <v>0.41953384885854844</v>
      </c>
      <c r="H1266" s="1">
        <v>1.6781387223259994</v>
      </c>
      <c r="I1266" s="1">
        <v>844.84697888286075</v>
      </c>
      <c r="K1266" s="1">
        <f t="shared" si="57"/>
        <v>0.48867631105524756</v>
      </c>
      <c r="L1266" s="1">
        <f t="shared" si="58"/>
        <v>0.83773247974740273</v>
      </c>
      <c r="M1266" s="1">
        <f t="shared" si="59"/>
        <v>421.23674267659379</v>
      </c>
      <c r="N1266"/>
      <c r="P1266" s="1"/>
    </row>
    <row r="1267" spans="1:19" x14ac:dyDescent="0.3">
      <c r="A1267" s="1">
        <v>1383</v>
      </c>
      <c r="C1267" s="1" t="s">
        <v>15</v>
      </c>
      <c r="D1267" s="1">
        <v>20</v>
      </c>
      <c r="E1267" s="1">
        <v>81</v>
      </c>
      <c r="F1267" s="1">
        <v>0</v>
      </c>
      <c r="G1267" s="1">
        <v>0.40382424086291024</v>
      </c>
      <c r="H1267" s="1">
        <v>1.6835595600947122</v>
      </c>
      <c r="I1267" s="1">
        <v>388.83960706118222</v>
      </c>
      <c r="K1267" s="1">
        <f t="shared" si="57"/>
        <v>0.47037763669483645</v>
      </c>
      <c r="L1267" s="1">
        <f t="shared" si="58"/>
        <v>0.84043858014653883</v>
      </c>
      <c r="M1267" s="1">
        <f t="shared" si="59"/>
        <v>193.87360503872887</v>
      </c>
      <c r="N1267" s="1">
        <f>SLOPE(K1267:K1270,F1267:F1270)</f>
        <v>1.9277597307790129E-3</v>
      </c>
      <c r="O1267" s="1">
        <f>SLOPE(L1267:L1270,F1267:F1270)</f>
        <v>-4.6905740251691107E-5</v>
      </c>
      <c r="P1267" s="1">
        <f>SLOPE(M1267:M1270,F1267:F1270)</f>
        <v>9.4558966074120026</v>
      </c>
      <c r="Q1267" s="1">
        <f>(N1267*41.35/0.31*60)/1000</f>
        <v>1.5428296426008813E-2</v>
      </c>
      <c r="R1267" s="1">
        <f>O1267*41.35/0.31*60/1000</f>
        <v>-3.7539723085305051E-4</v>
      </c>
      <c r="S1267" s="1">
        <f>(O1267*41.35/0.31*60)/1000</f>
        <v>-3.7539723085305051E-4</v>
      </c>
    </row>
    <row r="1268" spans="1:19" x14ac:dyDescent="0.3">
      <c r="A1268" s="1">
        <v>1384</v>
      </c>
      <c r="C1268" s="1" t="s">
        <v>15</v>
      </c>
      <c r="D1268" s="1">
        <v>20</v>
      </c>
      <c r="E1268" s="1">
        <v>82</v>
      </c>
      <c r="F1268" s="1">
        <v>15</v>
      </c>
      <c r="G1268" s="1">
        <v>0.42646342440999874</v>
      </c>
      <c r="H1268" s="1">
        <v>1.6488661983749502</v>
      </c>
      <c r="I1268" s="1">
        <v>668.61505717231955</v>
      </c>
      <c r="K1268" s="1">
        <f t="shared" si="57"/>
        <v>0.49674793489888908</v>
      </c>
      <c r="L1268" s="1">
        <f t="shared" si="58"/>
        <v>0.8231195375920678</v>
      </c>
      <c r="M1268" s="1">
        <f t="shared" si="59"/>
        <v>333.36833276034349</v>
      </c>
      <c r="N1268"/>
      <c r="P1268" s="1"/>
    </row>
    <row r="1269" spans="1:19" x14ac:dyDescent="0.3">
      <c r="A1269" s="1">
        <v>1385</v>
      </c>
      <c r="C1269" s="1" t="s">
        <v>15</v>
      </c>
      <c r="D1269" s="1">
        <v>20</v>
      </c>
      <c r="E1269" s="1">
        <v>83</v>
      </c>
      <c r="F1269" s="1">
        <v>30</v>
      </c>
      <c r="G1269" s="1">
        <v>0.50343086579230956</v>
      </c>
      <c r="H1269" s="1">
        <v>1.6380245228375245</v>
      </c>
      <c r="I1269" s="1">
        <v>641.19606877217302</v>
      </c>
      <c r="K1269" s="1">
        <f t="shared" si="57"/>
        <v>0.58640021308431411</v>
      </c>
      <c r="L1269" s="1">
        <f t="shared" si="58"/>
        <v>0.81770733679379559</v>
      </c>
      <c r="M1269" s="1">
        <f t="shared" si="59"/>
        <v>319.69735369566433</v>
      </c>
      <c r="N1269"/>
      <c r="P1269" s="1"/>
    </row>
    <row r="1270" spans="1:19" x14ac:dyDescent="0.3">
      <c r="A1270" s="1">
        <v>1386</v>
      </c>
      <c r="C1270" s="1" t="s">
        <v>15</v>
      </c>
      <c r="D1270" s="1">
        <v>20</v>
      </c>
      <c r="E1270" s="1">
        <v>84</v>
      </c>
      <c r="F1270" s="1">
        <v>45</v>
      </c>
      <c r="G1270" s="1">
        <v>0.46091854624092299</v>
      </c>
      <c r="H1270" s="1">
        <v>1.6824753925409697</v>
      </c>
      <c r="I1270" s="1">
        <v>1346.2329324737238</v>
      </c>
      <c r="K1270" s="1">
        <f t="shared" si="57"/>
        <v>0.53688153050531207</v>
      </c>
      <c r="L1270" s="1">
        <f t="shared" si="58"/>
        <v>0.83989736006671167</v>
      </c>
      <c r="M1270" s="1">
        <f t="shared" si="59"/>
        <v>671.22542843088877</v>
      </c>
      <c r="N1270"/>
      <c r="P1270" s="1"/>
    </row>
    <row r="1271" spans="1:19" x14ac:dyDescent="0.3">
      <c r="A1271" s="1">
        <v>1387</v>
      </c>
      <c r="C1271" s="1" t="s">
        <v>15</v>
      </c>
      <c r="D1271" s="1">
        <v>20</v>
      </c>
      <c r="E1271" s="1">
        <v>85</v>
      </c>
      <c r="F1271" s="1">
        <v>0</v>
      </c>
      <c r="G1271" s="1">
        <v>0.40601202062671998</v>
      </c>
      <c r="H1271" s="1">
        <v>1.6857278952021975</v>
      </c>
      <c r="I1271" s="1">
        <v>394.18927317110848</v>
      </c>
      <c r="K1271" s="1">
        <f t="shared" si="57"/>
        <v>0.47292597968858696</v>
      </c>
      <c r="L1271" s="1">
        <f t="shared" si="58"/>
        <v>0.84152102030619336</v>
      </c>
      <c r="M1271" s="1">
        <f t="shared" si="59"/>
        <v>196.540923479676</v>
      </c>
      <c r="N1271" s="1">
        <f>SLOPE(K1271:K1274,F1271:F1274)</f>
        <v>9.4546892922320249E-4</v>
      </c>
      <c r="O1271" s="1">
        <f>SLOPE(L1271:L1274,F1271:F1274)</f>
        <v>-3.6802965428251198E-4</v>
      </c>
      <c r="P1271" s="1">
        <f>SLOPE(M1271:M1274,F1271:F1274)</f>
        <v>6.1490665370051509</v>
      </c>
      <c r="Q1271" s="1">
        <f>(N1271*41.35/0.31*60)/1000</f>
        <v>7.56680133355731E-3</v>
      </c>
      <c r="R1271" s="1">
        <f>O1271*41.35/0.31*60/1000</f>
        <v>-2.9454244266932652E-3</v>
      </c>
      <c r="S1271" s="1">
        <f>(O1271*41.35/0.31*60)/1000</f>
        <v>-2.9454244266932652E-3</v>
      </c>
    </row>
    <row r="1272" spans="1:19" x14ac:dyDescent="0.3">
      <c r="A1272" s="1">
        <v>1388</v>
      </c>
      <c r="C1272" s="1" t="s">
        <v>15</v>
      </c>
      <c r="D1272" s="1">
        <v>20</v>
      </c>
      <c r="E1272" s="1">
        <v>86</v>
      </c>
      <c r="F1272" s="1">
        <v>15</v>
      </c>
      <c r="G1272" s="1">
        <v>0.43050166106654619</v>
      </c>
      <c r="H1272" s="1">
        <v>1.654287036143663</v>
      </c>
      <c r="I1272" s="1">
        <v>753.5965698904788</v>
      </c>
      <c r="K1272" s="1">
        <f t="shared" si="57"/>
        <v>0.50145170456576771</v>
      </c>
      <c r="L1272" s="1">
        <f t="shared" si="58"/>
        <v>0.8258256379912039</v>
      </c>
      <c r="M1272" s="1">
        <f t="shared" si="59"/>
        <v>375.73971657290286</v>
      </c>
      <c r="N1272"/>
      <c r="P1272" s="1"/>
    </row>
    <row r="1273" spans="1:19" x14ac:dyDescent="0.3">
      <c r="A1273" s="1">
        <v>1389</v>
      </c>
      <c r="C1273" s="1" t="s">
        <v>15</v>
      </c>
      <c r="D1273" s="1">
        <v>20</v>
      </c>
      <c r="E1273" s="1">
        <v>87</v>
      </c>
      <c r="F1273" s="1">
        <v>30</v>
      </c>
      <c r="G1273" s="1">
        <v>0.43992742586392913</v>
      </c>
      <c r="H1273" s="1">
        <v>1.6477820308212077</v>
      </c>
      <c r="I1273" s="1">
        <v>907.00175484880742</v>
      </c>
      <c r="K1273" s="1">
        <f t="shared" si="57"/>
        <v>0.51243090918201439</v>
      </c>
      <c r="L1273" s="1">
        <f t="shared" si="58"/>
        <v>0.82257831751224053</v>
      </c>
      <c r="M1273" s="1">
        <f t="shared" si="59"/>
        <v>452.22682256574603</v>
      </c>
      <c r="N1273"/>
      <c r="P1273" s="1"/>
    </row>
    <row r="1274" spans="1:19" x14ac:dyDescent="0.3">
      <c r="A1274" s="1">
        <v>1390</v>
      </c>
      <c r="C1274" s="1" t="s">
        <v>15</v>
      </c>
      <c r="D1274" s="1">
        <v>20</v>
      </c>
      <c r="E1274" s="1">
        <v>88</v>
      </c>
      <c r="F1274" s="1">
        <v>45</v>
      </c>
      <c r="G1274" s="1">
        <v>0.44345485931571044</v>
      </c>
      <c r="H1274" s="1">
        <v>1.6510345334824352</v>
      </c>
      <c r="I1274" s="1">
        <v>959.69323661009582</v>
      </c>
      <c r="K1274" s="1">
        <f t="shared" si="57"/>
        <v>0.51653969127766486</v>
      </c>
      <c r="L1274" s="1">
        <f t="shared" si="58"/>
        <v>0.82420197775172221</v>
      </c>
      <c r="M1274" s="1">
        <f t="shared" si="59"/>
        <v>478.49854833231916</v>
      </c>
      <c r="N1274"/>
      <c r="P1274" s="1"/>
    </row>
    <row r="1275" spans="1:19" x14ac:dyDescent="0.3">
      <c r="A1275" s="1">
        <v>1391</v>
      </c>
      <c r="C1275" s="1" t="s">
        <v>15</v>
      </c>
      <c r="D1275" s="1">
        <v>20</v>
      </c>
      <c r="E1275" s="1">
        <v>89</v>
      </c>
      <c r="F1275" s="1">
        <v>0</v>
      </c>
      <c r="G1275" s="1">
        <v>0.41093693454437097</v>
      </c>
      <c r="H1275" s="1">
        <v>1.7009062409545934</v>
      </c>
      <c r="I1275" s="1">
        <v>399.2523500251458</v>
      </c>
      <c r="K1275" s="1">
        <f t="shared" si="57"/>
        <v>0.47866255796967283</v>
      </c>
      <c r="L1275" s="1">
        <f t="shared" si="58"/>
        <v>0.84909810142377473</v>
      </c>
      <c r="M1275" s="1">
        <f t="shared" si="59"/>
        <v>199.06534986128659</v>
      </c>
      <c r="N1275" s="1">
        <f>SLOPE(K1275:K1278,F1275:F1278)</f>
        <v>1.089089199561155E-3</v>
      </c>
      <c r="O1275" s="1">
        <f>SLOPE(L1275:L1278,F1275:F1278)</f>
        <v>-3.7163778814802928E-4</v>
      </c>
      <c r="P1275" s="1">
        <f>SLOPE(M1275:M1278,F1275:F1278)</f>
        <v>4.5198605272287642</v>
      </c>
      <c r="Q1275" s="1">
        <f>(N1275*41.35/0.31*60)/1000</f>
        <v>8.7162267874555683E-3</v>
      </c>
      <c r="R1275" s="1">
        <f>O1275*41.35/0.31*60/1000</f>
        <v>-2.9743011367589054E-3</v>
      </c>
      <c r="S1275" s="1">
        <f>(O1275*41.35/0.31*60)/1000</f>
        <v>-2.9743011367589054E-3</v>
      </c>
    </row>
    <row r="1276" spans="1:19" x14ac:dyDescent="0.3">
      <c r="A1276" s="1">
        <v>1392</v>
      </c>
      <c r="C1276" s="1" t="s">
        <v>15</v>
      </c>
      <c r="D1276" s="1">
        <v>20</v>
      </c>
      <c r="E1276" s="1">
        <v>90</v>
      </c>
      <c r="F1276" s="1">
        <v>15</v>
      </c>
      <c r="G1276" s="1">
        <v>0.43135942493870061</v>
      </c>
      <c r="H1276" s="1">
        <v>1.671633717003544</v>
      </c>
      <c r="I1276" s="1">
        <v>655.90960016124484</v>
      </c>
      <c r="K1276" s="1">
        <f t="shared" si="57"/>
        <v>0.50245083463820728</v>
      </c>
      <c r="L1276" s="1">
        <f t="shared" si="58"/>
        <v>0.83448515926843936</v>
      </c>
      <c r="M1276" s="1">
        <f t="shared" si="59"/>
        <v>327.03345146309425</v>
      </c>
      <c r="N1276"/>
      <c r="P1276" s="1"/>
    </row>
    <row r="1277" spans="1:19" x14ac:dyDescent="0.3">
      <c r="A1277" s="1">
        <v>1393</v>
      </c>
      <c r="C1277" s="1" t="s">
        <v>15</v>
      </c>
      <c r="D1277" s="1">
        <v>20</v>
      </c>
      <c r="E1277" s="1">
        <v>91</v>
      </c>
      <c r="F1277" s="1">
        <v>30</v>
      </c>
      <c r="G1277" s="1">
        <v>0.4410357724403085</v>
      </c>
      <c r="H1277" s="1">
        <v>1.6510345334824352</v>
      </c>
      <c r="I1277" s="1">
        <v>805.25769504130949</v>
      </c>
      <c r="K1277" s="1">
        <f t="shared" si="57"/>
        <v>0.51372191994977345</v>
      </c>
      <c r="L1277" s="1">
        <f t="shared" si="58"/>
        <v>0.82420197775172221</v>
      </c>
      <c r="M1277" s="1">
        <f t="shared" si="59"/>
        <v>401.49771136424255</v>
      </c>
      <c r="N1277"/>
      <c r="P1277" s="1"/>
    </row>
    <row r="1278" spans="1:19" x14ac:dyDescent="0.3">
      <c r="A1278" s="1">
        <v>1394</v>
      </c>
      <c r="C1278" s="1" t="s">
        <v>15</v>
      </c>
      <c r="D1278" s="1">
        <v>20</v>
      </c>
      <c r="E1278" s="1">
        <v>92</v>
      </c>
      <c r="F1278" s="1">
        <v>45</v>
      </c>
      <c r="G1278" s="1">
        <v>0.45446122270897354</v>
      </c>
      <c r="H1278" s="1">
        <v>1.6705495494498015</v>
      </c>
      <c r="I1278" s="1">
        <v>802.72908099445294</v>
      </c>
      <c r="K1278" s="1">
        <f t="shared" si="57"/>
        <v>0.52935998951054186</v>
      </c>
      <c r="L1278" s="1">
        <f t="shared" si="58"/>
        <v>0.83394393918861232</v>
      </c>
      <c r="M1278" s="1">
        <f t="shared" si="59"/>
        <v>400.23695625567535</v>
      </c>
      <c r="N1278"/>
      <c r="P1278" s="1"/>
    </row>
    <row r="1279" spans="1:19" x14ac:dyDescent="0.3">
      <c r="A1279" s="1">
        <v>1395</v>
      </c>
      <c r="C1279" s="1" t="s">
        <v>15</v>
      </c>
      <c r="D1279" s="1">
        <v>20</v>
      </c>
      <c r="E1279" s="1">
        <v>93</v>
      </c>
      <c r="F1279" s="1">
        <v>0</v>
      </c>
      <c r="G1279" s="1">
        <v>0.41541850983147022</v>
      </c>
      <c r="H1279" s="1">
        <v>1.7323471000131274</v>
      </c>
      <c r="I1279" s="1">
        <v>399.53991407442209</v>
      </c>
      <c r="K1279" s="1">
        <f t="shared" si="57"/>
        <v>0.48388273194365516</v>
      </c>
      <c r="L1279" s="1">
        <f t="shared" si="58"/>
        <v>0.86479348373876397</v>
      </c>
      <c r="M1279" s="1">
        <f t="shared" si="59"/>
        <v>199.20872794803577</v>
      </c>
      <c r="N1279" s="1">
        <f>SLOPE(K1279:K1282,F1279:F1282)</f>
        <v>9.3393589969788908E-3</v>
      </c>
      <c r="O1279" s="1">
        <f>SLOPE(L1279:L1282,F1279:F1282)</f>
        <v>-8.5873585999252696E-4</v>
      </c>
      <c r="P1279" s="1">
        <f>SLOPE(M1279:M1282,F1279:F1282)</f>
        <v>5.7588092058790714</v>
      </c>
      <c r="Q1279" s="1">
        <f>(N1279*41.35/0.31*60)/1000</f>
        <v>7.4744998940337523E-2</v>
      </c>
      <c r="R1279" s="1">
        <f>O1279*41.35/0.31*60/1000</f>
        <v>-6.8726569956176113E-3</v>
      </c>
      <c r="S1279" s="1">
        <f>(O1279*41.35/0.31*60)/1000</f>
        <v>-6.8726569956176113E-3</v>
      </c>
    </row>
    <row r="1280" spans="1:19" x14ac:dyDescent="0.3">
      <c r="A1280" s="1">
        <v>1396</v>
      </c>
      <c r="C1280" s="1" t="s">
        <v>15</v>
      </c>
      <c r="D1280" s="1">
        <v>20</v>
      </c>
      <c r="E1280" s="1">
        <v>94</v>
      </c>
      <c r="F1280" s="1">
        <v>15</v>
      </c>
      <c r="G1280" s="1">
        <v>0.57911648026454687</v>
      </c>
      <c r="H1280" s="1">
        <v>1.6705495494498015</v>
      </c>
      <c r="I1280" s="1">
        <v>617.5378332605278</v>
      </c>
      <c r="K1280" s="1">
        <f t="shared" si="57"/>
        <v>0.67455940925137436</v>
      </c>
      <c r="L1280" s="1">
        <f t="shared" si="58"/>
        <v>0.83394393918861232</v>
      </c>
      <c r="M1280" s="1">
        <f t="shared" si="59"/>
        <v>307.90146838921652</v>
      </c>
      <c r="N1280"/>
      <c r="P1280" s="1"/>
    </row>
    <row r="1281" spans="1:19" x14ac:dyDescent="0.3">
      <c r="A1281" s="1">
        <v>1397</v>
      </c>
      <c r="C1281" s="1" t="s">
        <v>15</v>
      </c>
      <c r="D1281" s="1">
        <v>20</v>
      </c>
      <c r="E1281" s="1">
        <v>95</v>
      </c>
      <c r="F1281" s="1">
        <v>30</v>
      </c>
      <c r="G1281" s="1">
        <v>0.67170678947564888</v>
      </c>
      <c r="H1281" s="1">
        <v>1.6597078739123758</v>
      </c>
      <c r="I1281" s="1">
        <v>851.87328961907576</v>
      </c>
      <c r="K1281" s="1">
        <f t="shared" si="57"/>
        <v>0.78240932617190773</v>
      </c>
      <c r="L1281" s="1">
        <f t="shared" si="58"/>
        <v>0.82853173839034</v>
      </c>
      <c r="M1281" s="1">
        <f t="shared" si="59"/>
        <v>424.74002826740036</v>
      </c>
      <c r="N1281"/>
      <c r="P1281" s="1"/>
    </row>
    <row r="1282" spans="1:19" x14ac:dyDescent="0.3">
      <c r="A1282" s="1">
        <v>1398</v>
      </c>
      <c r="C1282" s="1" t="s">
        <v>15</v>
      </c>
      <c r="D1282" s="1">
        <v>20</v>
      </c>
      <c r="E1282" s="1">
        <v>96</v>
      </c>
      <c r="F1282" s="1">
        <v>45</v>
      </c>
      <c r="G1282" s="1">
        <v>0.78545206160112258</v>
      </c>
      <c r="H1282" s="1">
        <v>1.6499503659286927</v>
      </c>
      <c r="I1282" s="1">
        <v>898.93144039471122</v>
      </c>
      <c r="K1282" s="1">
        <f t="shared" si="57"/>
        <v>0.9149007094857553</v>
      </c>
      <c r="L1282" s="1">
        <f t="shared" si="58"/>
        <v>0.82366075767189506</v>
      </c>
      <c r="M1282" s="1">
        <f t="shared" si="59"/>
        <v>448.20300161592809</v>
      </c>
      <c r="N1282"/>
      <c r="P1282" s="1"/>
    </row>
    <row r="1283" spans="1:19" x14ac:dyDescent="0.3">
      <c r="A1283" s="1">
        <v>1399</v>
      </c>
      <c r="C1283" s="1" t="s">
        <v>15</v>
      </c>
      <c r="D1283" s="1">
        <v>20</v>
      </c>
      <c r="E1283" s="1">
        <v>97</v>
      </c>
      <c r="F1283" s="1">
        <v>0</v>
      </c>
      <c r="G1283" s="1">
        <v>0.40274480767547988</v>
      </c>
      <c r="H1283" s="1">
        <v>1.6835595600947122</v>
      </c>
      <c r="I1283" s="1">
        <v>393.45232937025128</v>
      </c>
      <c r="K1283" s="1">
        <f t="shared" ref="K1283:K1346" si="60">(G1283*28*1)/(0.082*(D1283+273.15))</f>
        <v>0.46912030446884495</v>
      </c>
      <c r="L1283" s="1">
        <f t="shared" ref="L1283:L1346" si="61">(H1283*12*1)/(0.082*(D1283+273.15))</f>
        <v>0.84043858014653883</v>
      </c>
      <c r="M1283" s="1">
        <f t="shared" ref="M1283:M1346" si="62">(I1283*12*1)/(0.0821*(D1283+273.15))</f>
        <v>196.17348675566794</v>
      </c>
      <c r="N1283" s="1">
        <f>SLOPE(K1283:K1286,F1283:F1286)</f>
        <v>1.7603399575919407E-3</v>
      </c>
      <c r="O1283" s="1">
        <f>SLOPE(L1283:L1286,F1283:F1286)</f>
        <v>-3.5720525268596371E-4</v>
      </c>
      <c r="P1283" s="1">
        <f>SLOPE(M1283:M1286,F1283:F1286)</f>
        <v>4.8674252104224838</v>
      </c>
      <c r="Q1283" s="1">
        <f>(N1283*41.35/0.31*60)/1000</f>
        <v>1.4088398176727758E-2</v>
      </c>
      <c r="R1283" s="1">
        <f>O1283*41.35/0.31*60/1000</f>
        <v>-2.8587942964963743E-3</v>
      </c>
      <c r="S1283" s="1">
        <f>(O1283*41.35/0.31*60)/1000</f>
        <v>-2.8587942964963743E-3</v>
      </c>
    </row>
    <row r="1284" spans="1:19" x14ac:dyDescent="0.3">
      <c r="A1284" s="1">
        <v>1400</v>
      </c>
      <c r="C1284" s="1" t="s">
        <v>15</v>
      </c>
      <c r="D1284" s="1">
        <v>20</v>
      </c>
      <c r="E1284" s="1">
        <v>98</v>
      </c>
      <c r="F1284" s="1">
        <v>15</v>
      </c>
      <c r="G1284" s="1">
        <v>0.43503142533522715</v>
      </c>
      <c r="H1284" s="1">
        <v>1.6857278952021975</v>
      </c>
      <c r="I1284" s="1">
        <v>826.9419739435159</v>
      </c>
      <c r="K1284" s="1">
        <f t="shared" si="60"/>
        <v>0.50672800944269603</v>
      </c>
      <c r="L1284" s="1">
        <f t="shared" si="61"/>
        <v>0.84152102030619336</v>
      </c>
      <c r="M1284" s="1">
        <f t="shared" si="62"/>
        <v>412.30939115995454</v>
      </c>
      <c r="N1284"/>
      <c r="P1284" s="1"/>
    </row>
    <row r="1285" spans="1:19" x14ac:dyDescent="0.3">
      <c r="A1285" s="1">
        <v>1401</v>
      </c>
      <c r="C1285" s="1" t="s">
        <v>15</v>
      </c>
      <c r="D1285" s="1">
        <v>20</v>
      </c>
      <c r="E1285" s="1">
        <v>99</v>
      </c>
      <c r="F1285" s="1">
        <v>30</v>
      </c>
      <c r="G1285" s="1">
        <v>0.45973309729401285</v>
      </c>
      <c r="H1285" s="1">
        <v>1.6532028685899205</v>
      </c>
      <c r="I1285" s="1">
        <v>792.60877604670259</v>
      </c>
      <c r="K1285" s="1">
        <f t="shared" si="60"/>
        <v>0.5355007102928393</v>
      </c>
      <c r="L1285" s="1">
        <f t="shared" si="61"/>
        <v>0.82528441791137674</v>
      </c>
      <c r="M1285" s="1">
        <f t="shared" si="62"/>
        <v>395.19101965693034</v>
      </c>
      <c r="N1285"/>
      <c r="P1285" s="1"/>
    </row>
    <row r="1286" spans="1:19" x14ac:dyDescent="0.3">
      <c r="A1286" s="1">
        <v>1402</v>
      </c>
      <c r="C1286" s="1" t="s">
        <v>15</v>
      </c>
      <c r="D1286" s="1">
        <v>20</v>
      </c>
      <c r="E1286" s="1">
        <v>100</v>
      </c>
      <c r="F1286" s="1">
        <v>45</v>
      </c>
      <c r="G1286" s="1">
        <v>0.47007445274144832</v>
      </c>
      <c r="H1286" s="1">
        <v>1.6586237063586333</v>
      </c>
      <c r="I1286" s="1">
        <v>893.0105453597821</v>
      </c>
      <c r="K1286" s="1">
        <f t="shared" si="60"/>
        <v>0.54754640206506089</v>
      </c>
      <c r="L1286" s="1">
        <f t="shared" si="61"/>
        <v>0.82799051831051285</v>
      </c>
      <c r="M1286" s="1">
        <f t="shared" si="62"/>
        <v>445.25087111113356</v>
      </c>
      <c r="N1286"/>
      <c r="P1286" s="1"/>
    </row>
    <row r="1287" spans="1:19" x14ac:dyDescent="0.3">
      <c r="A1287" s="1">
        <v>1403</v>
      </c>
      <c r="C1287" s="1" t="s">
        <v>15</v>
      </c>
      <c r="D1287" s="1">
        <v>20</v>
      </c>
      <c r="E1287" s="1">
        <v>101</v>
      </c>
      <c r="F1287" s="1">
        <v>0</v>
      </c>
      <c r="G1287" s="1">
        <v>0.40221472887808107</v>
      </c>
      <c r="H1287" s="1">
        <v>1.6944012356321378</v>
      </c>
      <c r="I1287" s="1">
        <v>598.02441923201047</v>
      </c>
      <c r="K1287" s="1">
        <f t="shared" si="60"/>
        <v>0.46850286453643847</v>
      </c>
      <c r="L1287" s="1">
        <f t="shared" si="61"/>
        <v>0.84585078094481114</v>
      </c>
      <c r="M1287" s="1">
        <f t="shared" si="62"/>
        <v>298.17217164160741</v>
      </c>
      <c r="N1287" s="1">
        <f>SLOPE(K1287:K1290,F1287:F1290)</f>
        <v>9.7637834644549336E-4</v>
      </c>
      <c r="O1287" s="1">
        <f>SLOPE(L1287:L1290,F1287:F1290)</f>
        <v>-5.3400381209619174E-4</v>
      </c>
      <c r="P1287" s="1">
        <f>SLOPE(M1287:M1290,F1287:F1290)</f>
        <v>1.9566297169874485</v>
      </c>
      <c r="Q1287" s="1">
        <f>(N1287*41.35/0.31*60)/1000</f>
        <v>7.814176379133125E-3</v>
      </c>
      <c r="R1287" s="1">
        <f>O1287*41.35/0.31*60/1000</f>
        <v>-4.2737530897117796E-3</v>
      </c>
      <c r="S1287" s="1">
        <f>(O1287*41.35/0.31*60)/1000</f>
        <v>-4.2737530897117796E-3</v>
      </c>
    </row>
    <row r="1288" spans="1:19" x14ac:dyDescent="0.3">
      <c r="A1288" s="1">
        <v>1404</v>
      </c>
      <c r="C1288" s="1" t="s">
        <v>15</v>
      </c>
      <c r="D1288" s="1">
        <v>20</v>
      </c>
      <c r="E1288" s="1">
        <v>102</v>
      </c>
      <c r="F1288" s="1">
        <v>15</v>
      </c>
      <c r="G1288" s="1">
        <v>0.42502739275886364</v>
      </c>
      <c r="H1288" s="1">
        <v>1.6824753925409697</v>
      </c>
      <c r="I1288" s="1">
        <v>598.52643782650978</v>
      </c>
      <c r="K1288" s="1">
        <f t="shared" si="60"/>
        <v>0.49507523399109676</v>
      </c>
      <c r="L1288" s="1">
        <f t="shared" si="61"/>
        <v>0.83989736006671167</v>
      </c>
      <c r="M1288" s="1">
        <f t="shared" si="62"/>
        <v>298.42247575915263</v>
      </c>
      <c r="N1288"/>
      <c r="P1288" s="1"/>
    </row>
    <row r="1289" spans="1:19" x14ac:dyDescent="0.3">
      <c r="A1289" s="1">
        <v>1405</v>
      </c>
      <c r="C1289" s="1" t="s">
        <v>15</v>
      </c>
      <c r="D1289" s="1">
        <v>20</v>
      </c>
      <c r="E1289" s="1">
        <v>103</v>
      </c>
      <c r="F1289" s="1">
        <v>30</v>
      </c>
      <c r="G1289" s="1">
        <v>0.4385203076017431</v>
      </c>
      <c r="H1289" s="1">
        <v>1.6456136957137224</v>
      </c>
      <c r="I1289" s="1">
        <v>726.35986785377168</v>
      </c>
      <c r="K1289" s="1">
        <f t="shared" si="60"/>
        <v>0.51079188681598975</v>
      </c>
      <c r="L1289" s="1">
        <f t="shared" si="61"/>
        <v>0.82149587735258611</v>
      </c>
      <c r="M1289" s="1">
        <f t="shared" si="62"/>
        <v>362.15962463440019</v>
      </c>
      <c r="N1289"/>
      <c r="P1289" s="1"/>
    </row>
    <row r="1290" spans="1:19" x14ac:dyDescent="0.3">
      <c r="A1290" s="1">
        <v>1406</v>
      </c>
      <c r="C1290" s="1" t="s">
        <v>15</v>
      </c>
      <c r="D1290" s="1">
        <v>20</v>
      </c>
      <c r="E1290" s="1">
        <v>104</v>
      </c>
      <c r="F1290" s="1">
        <v>45</v>
      </c>
      <c r="G1290" s="1">
        <v>0.43962865417812247</v>
      </c>
      <c r="H1290" s="1">
        <v>1.6532028685899205</v>
      </c>
      <c r="I1290" s="1">
        <v>751.62748724797677</v>
      </c>
      <c r="K1290" s="1">
        <f t="shared" si="60"/>
        <v>0.51208289758374881</v>
      </c>
      <c r="L1290" s="1">
        <f t="shared" si="61"/>
        <v>0.82528441791137674</v>
      </c>
      <c r="M1290" s="1">
        <f t="shared" si="62"/>
        <v>374.75794119923063</v>
      </c>
      <c r="N1290"/>
      <c r="P1290" s="1"/>
    </row>
    <row r="1291" spans="1:19" x14ac:dyDescent="0.3">
      <c r="A1291" s="1">
        <v>1407</v>
      </c>
      <c r="C1291" s="1" t="s">
        <v>15</v>
      </c>
      <c r="D1291" s="1">
        <v>20</v>
      </c>
      <c r="E1291" s="1">
        <v>105</v>
      </c>
      <c r="F1291" s="1">
        <v>0</v>
      </c>
      <c r="G1291" s="1">
        <v>0.40192559498859082</v>
      </c>
      <c r="H1291" s="1">
        <v>1.6813912249872272</v>
      </c>
      <c r="I1291" s="1">
        <v>391.93555085949237</v>
      </c>
      <c r="K1291" s="1">
        <f t="shared" si="60"/>
        <v>0.46816607911876229</v>
      </c>
      <c r="L1291" s="1">
        <f t="shared" si="61"/>
        <v>0.83935613998688463</v>
      </c>
      <c r="M1291" s="1">
        <f t="shared" si="62"/>
        <v>195.41722810149273</v>
      </c>
      <c r="N1291" s="1">
        <f>SLOPE(K1291:K1294,F1291:F1294)</f>
        <v>5.1954763766860301E-4</v>
      </c>
      <c r="O1291" s="1">
        <f>SLOPE(L1291:L1294,F1291:F1294)</f>
        <v>-1.58757890082654E-4</v>
      </c>
      <c r="P1291" s="1">
        <f>SLOPE(M1291:M1294,F1291:F1294)</f>
        <v>6.5457264692479864</v>
      </c>
      <c r="Q1291" s="1">
        <f>(N1291*41.35/0.31*60)/1000</f>
        <v>4.1580570614703364E-3</v>
      </c>
      <c r="R1291" s="1">
        <f>O1291*41.35/0.31*60/1000</f>
        <v>-1.2705752428873052E-3</v>
      </c>
      <c r="S1291" s="1">
        <f>(O1291*41.35/0.31*60)/1000</f>
        <v>-1.2705752428873052E-3</v>
      </c>
    </row>
    <row r="1292" spans="1:19" x14ac:dyDescent="0.3">
      <c r="A1292" s="1">
        <v>1408</v>
      </c>
      <c r="C1292" s="1" t="s">
        <v>15</v>
      </c>
      <c r="D1292" s="1">
        <v>20</v>
      </c>
      <c r="E1292" s="1">
        <v>106</v>
      </c>
      <c r="F1292" s="1">
        <v>15</v>
      </c>
      <c r="G1292" s="1">
        <v>0.41187180078705621</v>
      </c>
      <c r="H1292" s="1">
        <v>1.669465381896059</v>
      </c>
      <c r="I1292" s="1">
        <v>649.28977826756613</v>
      </c>
      <c r="K1292" s="1">
        <f t="shared" si="60"/>
        <v>0.47975149748682616</v>
      </c>
      <c r="L1292" s="1">
        <f t="shared" si="61"/>
        <v>0.83340271910878516</v>
      </c>
      <c r="M1292" s="1">
        <f t="shared" si="62"/>
        <v>323.73283930338732</v>
      </c>
      <c r="N1292"/>
      <c r="P1292" s="1"/>
    </row>
    <row r="1293" spans="1:19" x14ac:dyDescent="0.3">
      <c r="A1293" s="1">
        <v>1409</v>
      </c>
      <c r="C1293" s="1" t="s">
        <v>15</v>
      </c>
      <c r="D1293" s="1">
        <v>20</v>
      </c>
      <c r="E1293" s="1">
        <v>107</v>
      </c>
      <c r="F1293" s="1">
        <v>30</v>
      </c>
      <c r="G1293" s="1">
        <v>0.41953384885854844</v>
      </c>
      <c r="H1293" s="1">
        <v>1.6607920414661184</v>
      </c>
      <c r="I1293" s="1">
        <v>910.55000277886052</v>
      </c>
      <c r="K1293" s="1">
        <f t="shared" si="60"/>
        <v>0.48867631105524756</v>
      </c>
      <c r="L1293" s="1">
        <f t="shared" si="61"/>
        <v>0.82907295847016726</v>
      </c>
      <c r="M1293" s="1">
        <f t="shared" si="62"/>
        <v>453.99596234800697</v>
      </c>
      <c r="N1293"/>
      <c r="P1293" s="1"/>
    </row>
    <row r="1294" spans="1:19" x14ac:dyDescent="0.3">
      <c r="A1294" s="1">
        <v>1410</v>
      </c>
      <c r="C1294" s="1" t="s">
        <v>15</v>
      </c>
      <c r="D1294" s="1">
        <v>20</v>
      </c>
      <c r="E1294" s="1">
        <v>108</v>
      </c>
      <c r="F1294" s="1">
        <v>45</v>
      </c>
      <c r="G1294" s="1">
        <v>0.42167343964077647</v>
      </c>
      <c r="H1294" s="1">
        <v>1.6683812143423165</v>
      </c>
      <c r="I1294" s="1">
        <v>961.26557834393532</v>
      </c>
      <c r="K1294" s="1">
        <f t="shared" si="60"/>
        <v>0.49116852314605197</v>
      </c>
      <c r="L1294" s="1">
        <f t="shared" si="61"/>
        <v>0.8328614990289579</v>
      </c>
      <c r="M1294" s="1">
        <f t="shared" si="62"/>
        <v>479.28251054901881</v>
      </c>
      <c r="N1294"/>
      <c r="P1294" s="1"/>
    </row>
    <row r="1295" spans="1:19" x14ac:dyDescent="0.3">
      <c r="A1295" s="1">
        <v>1411</v>
      </c>
      <c r="C1295" s="1" t="s">
        <v>15</v>
      </c>
      <c r="D1295" s="1">
        <v>20</v>
      </c>
      <c r="E1295" s="1">
        <v>109</v>
      </c>
      <c r="F1295" s="1">
        <v>0</v>
      </c>
      <c r="G1295" s="1">
        <v>0.40155935872856974</v>
      </c>
      <c r="H1295" s="1">
        <v>1.6954854031858806</v>
      </c>
      <c r="I1295" s="1">
        <v>390.74922730705424</v>
      </c>
      <c r="K1295" s="1">
        <f t="shared" si="60"/>
        <v>0.46773948425637224</v>
      </c>
      <c r="L1295" s="1">
        <f t="shared" si="61"/>
        <v>0.84639200102463841</v>
      </c>
      <c r="M1295" s="1">
        <f t="shared" si="62"/>
        <v>194.82573274022585</v>
      </c>
      <c r="N1295" s="1">
        <f>SLOPE(K1295:K1298,F1295:F1298)</f>
        <v>8.3822148399429212E-4</v>
      </c>
      <c r="O1295" s="1">
        <f>SLOPE(L1295:L1298,F1295:F1298)</f>
        <v>-2.5978563831706935E-4</v>
      </c>
      <c r="P1295" s="1">
        <f>SLOPE(M1295:M1298,F1295:F1298)</f>
        <v>5.087709034775969</v>
      </c>
      <c r="Q1295" s="1">
        <f>(N1295*41.35/0.31*60)/1000</f>
        <v>6.7084758122252881E-3</v>
      </c>
      <c r="R1295" s="1">
        <f>O1295*41.35/0.31*60/1000</f>
        <v>-2.0791231247246746E-3</v>
      </c>
      <c r="S1295" s="1">
        <f>(O1295*41.35/0.31*60)/1000</f>
        <v>-2.0791231247246746E-3</v>
      </c>
    </row>
    <row r="1296" spans="1:19" x14ac:dyDescent="0.3">
      <c r="A1296" s="1">
        <v>1412</v>
      </c>
      <c r="C1296" s="1" t="s">
        <v>15</v>
      </c>
      <c r="D1296" s="1">
        <v>20</v>
      </c>
      <c r="E1296" s="1">
        <v>110</v>
      </c>
      <c r="F1296" s="1">
        <v>15</v>
      </c>
      <c r="G1296" s="1">
        <v>0.41645939183363523</v>
      </c>
      <c r="H1296" s="1">
        <v>1.6770545547722568</v>
      </c>
      <c r="I1296" s="1">
        <v>651.35926462896794</v>
      </c>
      <c r="K1296" s="1">
        <f t="shared" si="60"/>
        <v>0.48509515944728976</v>
      </c>
      <c r="L1296" s="1">
        <f t="shared" si="61"/>
        <v>0.83719125966757568</v>
      </c>
      <c r="M1296" s="1">
        <f t="shared" si="62"/>
        <v>324.7646755005685</v>
      </c>
      <c r="N1296"/>
      <c r="P1296" s="1"/>
    </row>
    <row r="1297" spans="1:19" x14ac:dyDescent="0.3">
      <c r="A1297" s="1">
        <v>1413</v>
      </c>
      <c r="C1297" s="1" t="s">
        <v>15</v>
      </c>
      <c r="D1297" s="1">
        <v>20</v>
      </c>
      <c r="E1297" s="1">
        <v>111</v>
      </c>
      <c r="F1297" s="1">
        <v>30</v>
      </c>
      <c r="G1297" s="1">
        <v>0.42549000698204809</v>
      </c>
      <c r="H1297" s="1">
        <v>1.6672970467885737</v>
      </c>
      <c r="I1297" s="1">
        <v>777.21678846001623</v>
      </c>
      <c r="K1297" s="1">
        <f t="shared" si="60"/>
        <v>0.49561409065937884</v>
      </c>
      <c r="L1297" s="1">
        <f t="shared" si="61"/>
        <v>0.83232027894913063</v>
      </c>
      <c r="M1297" s="1">
        <f t="shared" si="62"/>
        <v>387.516646810255</v>
      </c>
      <c r="N1297"/>
      <c r="P1297" s="1"/>
    </row>
    <row r="1298" spans="1:19" x14ac:dyDescent="0.3">
      <c r="A1298" s="1">
        <v>1414</v>
      </c>
      <c r="C1298" s="1" t="s">
        <v>15</v>
      </c>
      <c r="D1298" s="1">
        <v>20</v>
      </c>
      <c r="E1298" s="1">
        <v>112</v>
      </c>
      <c r="F1298" s="1">
        <v>45</v>
      </c>
      <c r="G1298" s="1">
        <v>0.43453025992677735</v>
      </c>
      <c r="H1298" s="1">
        <v>1.6727178845572865</v>
      </c>
      <c r="I1298" s="1">
        <v>859.00097886757817</v>
      </c>
      <c r="K1298" s="1">
        <f t="shared" si="60"/>
        <v>0.50614424805205716</v>
      </c>
      <c r="L1298" s="1">
        <f t="shared" si="61"/>
        <v>0.83502637934826662</v>
      </c>
      <c r="M1298" s="1">
        <f t="shared" si="62"/>
        <v>428.29386070912881</v>
      </c>
      <c r="N1298"/>
      <c r="P1298" s="1"/>
    </row>
    <row r="1299" spans="1:19" x14ac:dyDescent="0.3">
      <c r="A1299" s="1">
        <v>1415</v>
      </c>
      <c r="C1299" s="1" t="s">
        <v>15</v>
      </c>
      <c r="D1299" s="1">
        <v>20</v>
      </c>
      <c r="E1299" s="1">
        <v>113</v>
      </c>
      <c r="F1299" s="1">
        <v>0</v>
      </c>
      <c r="G1299" s="1">
        <v>0.40364112273289976</v>
      </c>
      <c r="H1299" s="1">
        <v>1.6922329005246528</v>
      </c>
      <c r="I1299" s="1">
        <v>386.90951615417532</v>
      </c>
      <c r="K1299" s="1">
        <f t="shared" si="60"/>
        <v>0.47016433926364148</v>
      </c>
      <c r="L1299" s="1">
        <f t="shared" si="61"/>
        <v>0.84476834078515672</v>
      </c>
      <c r="M1299" s="1">
        <f t="shared" si="62"/>
        <v>192.91127076156502</v>
      </c>
      <c r="N1299" s="1">
        <f>SLOPE(K1299:K1302,F1299:F1302)</f>
        <v>1.4822300437952617E-3</v>
      </c>
      <c r="O1299" s="1">
        <f>SLOPE(L1299:L1302,F1299:F1302)</f>
        <v>-3.3194831562736099E-4</v>
      </c>
      <c r="P1299" s="1">
        <f>SLOPE(M1299:M1302,F1299:F1302)</f>
        <v>4.8649918331761874</v>
      </c>
      <c r="Q1299" s="1">
        <f>(N1299*41.35/0.31*60)/1000</f>
        <v>1.1862621737600143E-2</v>
      </c>
      <c r="R1299" s="1">
        <f>O1299*41.35/0.31*60/1000</f>
        <v>-2.6566573260370405E-3</v>
      </c>
      <c r="S1299" s="1">
        <f>(O1299*41.35/0.31*60)/1000</f>
        <v>-2.6566573260370405E-3</v>
      </c>
    </row>
    <row r="1300" spans="1:19" x14ac:dyDescent="0.3">
      <c r="A1300" s="1">
        <v>1416</v>
      </c>
      <c r="C1300" s="1" t="s">
        <v>15</v>
      </c>
      <c r="D1300" s="1">
        <v>20</v>
      </c>
      <c r="E1300" s="1">
        <v>114</v>
      </c>
      <c r="F1300" s="1">
        <v>15</v>
      </c>
      <c r="G1300" s="1">
        <v>0.42966317278702443</v>
      </c>
      <c r="H1300" s="1">
        <v>1.6922329005246528</v>
      </c>
      <c r="I1300" s="1">
        <v>615.52001094865693</v>
      </c>
      <c r="K1300" s="1">
        <f t="shared" si="60"/>
        <v>0.50047502685450651</v>
      </c>
      <c r="L1300" s="1">
        <f t="shared" si="61"/>
        <v>0.84476834078515672</v>
      </c>
      <c r="M1300" s="1">
        <f t="shared" si="62"/>
        <v>306.8953916449089</v>
      </c>
      <c r="N1300"/>
      <c r="P1300" s="1"/>
    </row>
    <row r="1301" spans="1:19" x14ac:dyDescent="0.3">
      <c r="A1301" s="1">
        <v>1417</v>
      </c>
      <c r="C1301" s="1" t="s">
        <v>15</v>
      </c>
      <c r="D1301" s="1">
        <v>20</v>
      </c>
      <c r="E1301" s="1">
        <v>115</v>
      </c>
      <c r="F1301" s="1">
        <v>30</v>
      </c>
      <c r="G1301" s="1">
        <v>0.44830267086283071</v>
      </c>
      <c r="H1301" s="1">
        <v>1.6803070574334846</v>
      </c>
      <c r="I1301" s="1">
        <v>734.94682280317761</v>
      </c>
      <c r="K1301" s="1">
        <f t="shared" si="60"/>
        <v>0.52218646011403724</v>
      </c>
      <c r="L1301" s="1">
        <f t="shared" si="61"/>
        <v>0.83881491990705737</v>
      </c>
      <c r="M1301" s="1">
        <f t="shared" si="62"/>
        <v>366.44104011295394</v>
      </c>
      <c r="N1301"/>
      <c r="P1301" s="1"/>
    </row>
    <row r="1302" spans="1:19" x14ac:dyDescent="0.3">
      <c r="A1302" s="1">
        <v>1418</v>
      </c>
      <c r="C1302" s="1" t="s">
        <v>15</v>
      </c>
      <c r="D1302" s="1">
        <v>20</v>
      </c>
      <c r="E1302" s="1">
        <v>116</v>
      </c>
      <c r="F1302" s="1">
        <v>45</v>
      </c>
      <c r="G1302" s="1">
        <v>0.46105347538935176</v>
      </c>
      <c r="H1302" s="1">
        <v>1.6629603765736036</v>
      </c>
      <c r="I1302" s="1">
        <v>834.97037228195461</v>
      </c>
      <c r="K1302" s="1">
        <f t="shared" si="60"/>
        <v>0.537038697033561</v>
      </c>
      <c r="L1302" s="1">
        <f t="shared" si="61"/>
        <v>0.83015539862982179</v>
      </c>
      <c r="M1302" s="1">
        <f t="shared" si="62"/>
        <v>416.31231293102604</v>
      </c>
      <c r="N1302"/>
      <c r="P1302" s="1"/>
    </row>
    <row r="1303" spans="1:19" x14ac:dyDescent="0.3">
      <c r="A1303" s="1">
        <v>1419</v>
      </c>
      <c r="C1303" s="1" t="s">
        <v>15</v>
      </c>
      <c r="D1303" s="1">
        <v>20</v>
      </c>
      <c r="E1303" s="1">
        <v>117</v>
      </c>
      <c r="F1303" s="1">
        <v>0</v>
      </c>
      <c r="G1303" s="1">
        <v>0.40281227224969429</v>
      </c>
      <c r="H1303" s="1">
        <v>1.6998220734008505</v>
      </c>
      <c r="I1303" s="1">
        <v>387.85214135976912</v>
      </c>
      <c r="K1303" s="1">
        <f t="shared" si="60"/>
        <v>0.46919888773296947</v>
      </c>
      <c r="L1303" s="1">
        <f t="shared" si="61"/>
        <v>0.84855688134394713</v>
      </c>
      <c r="M1303" s="1">
        <f t="shared" si="62"/>
        <v>193.38125926965466</v>
      </c>
      <c r="N1303" s="1">
        <f>SLOPE(K1303:K1306,F1303:F1306)</f>
        <v>1.0433612239611075E-3</v>
      </c>
      <c r="O1303" s="1">
        <f>SLOPE(L1303:L1306,F1303:F1306)</f>
        <v>-3.1751578016530208E-4</v>
      </c>
      <c r="P1303" s="1">
        <f>SLOPE(M1303:M1306,F1303:F1306)</f>
        <v>5.3451026721811603</v>
      </c>
      <c r="Q1303" s="1">
        <f>(N1303*41.35/0.31*60)/1000</f>
        <v>8.3502554730564768E-3</v>
      </c>
      <c r="R1303" s="1">
        <f>O1303*41.35/0.31*60/1000</f>
        <v>-2.5411504857745628E-3</v>
      </c>
      <c r="S1303" s="1">
        <f>(O1303*41.35/0.31*60)/1000</f>
        <v>-2.5411504857745628E-3</v>
      </c>
    </row>
    <row r="1304" spans="1:19" x14ac:dyDescent="0.3">
      <c r="A1304" s="1">
        <v>1420</v>
      </c>
      <c r="C1304" s="1" t="s">
        <v>15</v>
      </c>
      <c r="D1304" s="1">
        <v>20</v>
      </c>
      <c r="E1304" s="1">
        <v>118</v>
      </c>
      <c r="F1304" s="1">
        <v>15</v>
      </c>
      <c r="G1304" s="1">
        <v>0.42270468384662518</v>
      </c>
      <c r="H1304" s="1">
        <v>1.6922329005246528</v>
      </c>
      <c r="I1304" s="1">
        <v>572.77239653200343</v>
      </c>
      <c r="K1304" s="1">
        <f t="shared" si="60"/>
        <v>0.49236972446909749</v>
      </c>
      <c r="L1304" s="1">
        <f t="shared" si="61"/>
        <v>0.84476834078515672</v>
      </c>
      <c r="M1304" s="1">
        <f t="shared" si="62"/>
        <v>285.58163151538037</v>
      </c>
      <c r="N1304"/>
      <c r="P1304" s="1"/>
    </row>
    <row r="1305" spans="1:19" x14ac:dyDescent="0.3">
      <c r="A1305" s="1">
        <v>1421</v>
      </c>
      <c r="C1305" s="1" t="s">
        <v>15</v>
      </c>
      <c r="D1305" s="1">
        <v>20</v>
      </c>
      <c r="E1305" s="1">
        <v>119</v>
      </c>
      <c r="F1305" s="1">
        <v>30</v>
      </c>
      <c r="G1305" s="1">
        <v>0.43458808670467536</v>
      </c>
      <c r="H1305" s="1">
        <v>1.6683812143423165</v>
      </c>
      <c r="I1305" s="1">
        <v>721.99669265187117</v>
      </c>
      <c r="K1305" s="1">
        <f t="shared" si="60"/>
        <v>0.50621160513559238</v>
      </c>
      <c r="L1305" s="1">
        <f t="shared" si="61"/>
        <v>0.8328614990289579</v>
      </c>
      <c r="M1305" s="1">
        <f t="shared" si="62"/>
        <v>359.98416593511467</v>
      </c>
      <c r="N1305"/>
      <c r="P1305" s="1"/>
    </row>
    <row r="1306" spans="1:19" x14ac:dyDescent="0.3">
      <c r="A1306" s="1">
        <v>1422</v>
      </c>
      <c r="C1306" s="1" t="s">
        <v>15</v>
      </c>
      <c r="D1306" s="1">
        <v>20</v>
      </c>
      <c r="E1306" s="1">
        <v>120</v>
      </c>
      <c r="F1306" s="1">
        <v>45</v>
      </c>
      <c r="G1306" s="1">
        <v>0.44363797744572098</v>
      </c>
      <c r="H1306" s="1">
        <v>1.6759703872185143</v>
      </c>
      <c r="I1306" s="1">
        <v>874.12684785951046</v>
      </c>
      <c r="K1306" s="1">
        <f t="shared" si="60"/>
        <v>0.51675298870885988</v>
      </c>
      <c r="L1306" s="1">
        <f t="shared" si="61"/>
        <v>0.83665003958774831</v>
      </c>
      <c r="M1306" s="1">
        <f t="shared" si="62"/>
        <v>435.83554807213454</v>
      </c>
      <c r="N1306"/>
      <c r="P1306" s="1"/>
    </row>
    <row r="1307" spans="1:19" x14ac:dyDescent="0.3">
      <c r="A1307" s="1">
        <v>1423</v>
      </c>
      <c r="C1307" s="1" t="s">
        <v>15</v>
      </c>
      <c r="D1307" s="1">
        <v>20</v>
      </c>
      <c r="E1307" s="1">
        <v>121</v>
      </c>
      <c r="F1307" s="1">
        <v>0</v>
      </c>
      <c r="G1307" s="1">
        <v>0.39997876013268963</v>
      </c>
      <c r="H1307" s="1">
        <v>1.7009062409545934</v>
      </c>
      <c r="I1307" s="1">
        <v>406.86353679378709</v>
      </c>
      <c r="K1307" s="1">
        <f t="shared" si="60"/>
        <v>0.46589839063974198</v>
      </c>
      <c r="L1307" s="1">
        <f t="shared" si="61"/>
        <v>0.84909810142377473</v>
      </c>
      <c r="M1307" s="1">
        <f t="shared" si="62"/>
        <v>202.86025189971858</v>
      </c>
      <c r="N1307" s="1">
        <f>SLOPE(K1307:K1310,F1307:F1310)</f>
        <v>1.7774785932914688E-3</v>
      </c>
      <c r="O1307" s="1">
        <f>SLOPE(L1307:L1310,F1307:F1310)</f>
        <v>-1.2159411126785023E-3</v>
      </c>
      <c r="P1307" s="1">
        <f>SLOPE(M1307:M1310,F1307:F1310)</f>
        <v>10.115957475881112</v>
      </c>
      <c r="Q1307" s="1">
        <f>(N1307*41.35/0.31*60)/1000</f>
        <v>1.4225562548245594E-2</v>
      </c>
      <c r="R1307" s="1">
        <f>O1307*41.35/0.31*60/1000</f>
        <v>-9.7314512921140781E-3</v>
      </c>
      <c r="S1307" s="1">
        <f>(O1307*41.35/0.31*60)/1000</f>
        <v>-9.7314512921140781E-3</v>
      </c>
    </row>
    <row r="1308" spans="1:19" x14ac:dyDescent="0.3">
      <c r="A1308" s="1">
        <v>1424</v>
      </c>
      <c r="C1308" s="1" t="s">
        <v>15</v>
      </c>
      <c r="D1308" s="1">
        <v>20</v>
      </c>
      <c r="E1308" s="1">
        <v>122</v>
      </c>
      <c r="F1308" s="1">
        <v>15</v>
      </c>
      <c r="G1308" s="1">
        <v>0.43387488977726602</v>
      </c>
      <c r="H1308" s="1">
        <v>1.6781387223259994</v>
      </c>
      <c r="I1308" s="1">
        <v>794.48037935046693</v>
      </c>
      <c r="K1308" s="1">
        <f t="shared" si="60"/>
        <v>0.50538086777199087</v>
      </c>
      <c r="L1308" s="1">
        <f t="shared" si="61"/>
        <v>0.83773247974740273</v>
      </c>
      <c r="M1308" s="1">
        <f t="shared" si="62"/>
        <v>396.12419228933163</v>
      </c>
      <c r="N1308"/>
      <c r="P1308" s="1"/>
    </row>
    <row r="1309" spans="1:19" x14ac:dyDescent="0.3">
      <c r="A1309" s="1">
        <v>1425</v>
      </c>
      <c r="C1309" s="1" t="s">
        <v>15</v>
      </c>
      <c r="D1309" s="1">
        <v>20</v>
      </c>
      <c r="E1309" s="1">
        <v>123</v>
      </c>
      <c r="F1309" s="1">
        <v>30</v>
      </c>
      <c r="G1309" s="1">
        <v>0.45205177362988797</v>
      </c>
      <c r="H1309" s="1">
        <v>1.6282670148538414</v>
      </c>
      <c r="I1309" s="1">
        <v>1088.4088546529342</v>
      </c>
      <c r="K1309" s="1">
        <f t="shared" si="60"/>
        <v>0.52655344436323959</v>
      </c>
      <c r="L1309" s="1">
        <f t="shared" si="61"/>
        <v>0.81283635607535043</v>
      </c>
      <c r="M1309" s="1">
        <f t="shared" si="62"/>
        <v>542.67555201606854</v>
      </c>
      <c r="N1309"/>
      <c r="P1309" s="1"/>
    </row>
    <row r="1310" spans="1:19" x14ac:dyDescent="0.3">
      <c r="A1310" s="1">
        <v>1426</v>
      </c>
      <c r="C1310" s="1" t="s">
        <v>15</v>
      </c>
      <c r="D1310" s="1">
        <v>20</v>
      </c>
      <c r="E1310" s="1">
        <v>124</v>
      </c>
      <c r="F1310" s="1">
        <v>45</v>
      </c>
      <c r="G1310" s="1">
        <v>0.47021901968619351</v>
      </c>
      <c r="H1310" s="1">
        <v>1.5957419882415644</v>
      </c>
      <c r="I1310" s="1">
        <v>1323.333086217458</v>
      </c>
      <c r="K1310" s="1">
        <f t="shared" si="60"/>
        <v>0.54771479477389917</v>
      </c>
      <c r="L1310" s="1">
        <f t="shared" si="61"/>
        <v>0.79659975368053371</v>
      </c>
      <c r="M1310" s="1">
        <f t="shared" si="62"/>
        <v>659.80767245152856</v>
      </c>
      <c r="N1310"/>
      <c r="P1310" s="1"/>
    </row>
    <row r="1311" spans="1:19" x14ac:dyDescent="0.3">
      <c r="A1311" s="1">
        <v>1427</v>
      </c>
      <c r="C1311" s="1" t="s">
        <v>15</v>
      </c>
      <c r="D1311" s="1">
        <v>20</v>
      </c>
      <c r="E1311" s="1">
        <v>125</v>
      </c>
      <c r="F1311" s="1">
        <v>0</v>
      </c>
      <c r="G1311" s="1">
        <v>0.40055702791167019</v>
      </c>
      <c r="H1311" s="1">
        <v>1.6998220734008505</v>
      </c>
      <c r="I1311" s="1">
        <v>417.16515331158968</v>
      </c>
      <c r="K1311" s="1">
        <f t="shared" si="60"/>
        <v>0.46657196147509455</v>
      </c>
      <c r="L1311" s="1">
        <f t="shared" si="61"/>
        <v>0.84855688134394713</v>
      </c>
      <c r="M1311" s="1">
        <f t="shared" si="62"/>
        <v>207.99658959722748</v>
      </c>
      <c r="N1311" s="1">
        <f>SLOPE(K1311:K1314,F1311:F1314)</f>
        <v>6.1414691943367534E-4</v>
      </c>
      <c r="O1311" s="1">
        <f>SLOPE(L1311:L1314,F1311:F1314)</f>
        <v>-3.6802965428250824E-4</v>
      </c>
      <c r="P1311" s="1">
        <f>SLOPE(M1311:M1314,F1311:F1314)</f>
        <v>6.9549939525764897</v>
      </c>
      <c r="Q1311" s="1">
        <f>(N1311*41.35/0.31*60)/1000</f>
        <v>4.91515647456435E-3</v>
      </c>
      <c r="R1311" s="1">
        <f>O1311*41.35/0.31*60/1000</f>
        <v>-2.9454244266932357E-3</v>
      </c>
      <c r="S1311" s="1">
        <f>(O1311*41.35/0.31*60)/1000</f>
        <v>-2.9454244266932357E-3</v>
      </c>
    </row>
    <row r="1312" spans="1:19" x14ac:dyDescent="0.3">
      <c r="A1312" s="1">
        <v>1428</v>
      </c>
      <c r="C1312" s="1" t="s">
        <v>15</v>
      </c>
      <c r="D1312" s="1">
        <v>20</v>
      </c>
      <c r="E1312" s="1">
        <v>126</v>
      </c>
      <c r="F1312" s="1">
        <v>15</v>
      </c>
      <c r="G1312" s="1">
        <v>0.41162121808283136</v>
      </c>
      <c r="H1312" s="1">
        <v>1.6803070574334846</v>
      </c>
      <c r="I1312" s="1">
        <v>674.04855551356036</v>
      </c>
      <c r="K1312" s="1">
        <f t="shared" si="60"/>
        <v>0.47945961679150684</v>
      </c>
      <c r="L1312" s="1">
        <f t="shared" si="61"/>
        <v>0.83881491990705737</v>
      </c>
      <c r="M1312" s="1">
        <f t="shared" si="62"/>
        <v>336.07744955878366</v>
      </c>
      <c r="N1312"/>
      <c r="P1312" s="1"/>
    </row>
    <row r="1313" spans="1:19" x14ac:dyDescent="0.3">
      <c r="A1313" s="1">
        <v>1429</v>
      </c>
      <c r="C1313" s="1" t="s">
        <v>15</v>
      </c>
      <c r="D1313" s="1">
        <v>20</v>
      </c>
      <c r="E1313" s="1">
        <v>127</v>
      </c>
      <c r="F1313" s="1">
        <v>30</v>
      </c>
      <c r="G1313" s="1">
        <v>0.41891702989430257</v>
      </c>
      <c r="H1313" s="1">
        <v>1.6477820308212077</v>
      </c>
      <c r="I1313" s="1">
        <v>828.66638344578621</v>
      </c>
      <c r="K1313" s="1">
        <f t="shared" si="60"/>
        <v>0.48795783549753818</v>
      </c>
      <c r="L1313" s="1">
        <f t="shared" si="61"/>
        <v>0.82257831751224053</v>
      </c>
      <c r="M1313" s="1">
        <f t="shared" si="62"/>
        <v>413.16917365303681</v>
      </c>
      <c r="N1313"/>
      <c r="P1313" s="1"/>
    </row>
    <row r="1314" spans="1:19" x14ac:dyDescent="0.3">
      <c r="A1314" s="1">
        <v>1430</v>
      </c>
      <c r="C1314" s="1" t="s">
        <v>15</v>
      </c>
      <c r="D1314" s="1">
        <v>20</v>
      </c>
      <c r="E1314" s="1">
        <v>128</v>
      </c>
      <c r="F1314" s="1">
        <v>45</v>
      </c>
      <c r="G1314" s="1">
        <v>0.42448767616514854</v>
      </c>
      <c r="H1314" s="1">
        <v>1.6738020521110293</v>
      </c>
      <c r="I1314" s="1">
        <v>1063.0846972422612</v>
      </c>
      <c r="K1314" s="1">
        <f t="shared" si="60"/>
        <v>0.49444656787810121</v>
      </c>
      <c r="L1314" s="1">
        <f t="shared" si="61"/>
        <v>0.835567599428094</v>
      </c>
      <c r="M1314" s="1">
        <f t="shared" si="62"/>
        <v>530.0490458613009</v>
      </c>
      <c r="N1314"/>
      <c r="P1314" s="1"/>
    </row>
    <row r="1315" spans="1:19" x14ac:dyDescent="0.3">
      <c r="A1315" s="1">
        <v>1431</v>
      </c>
      <c r="C1315" s="1" t="s">
        <v>15</v>
      </c>
      <c r="D1315" s="1">
        <v>20</v>
      </c>
      <c r="E1315" s="1">
        <v>129</v>
      </c>
      <c r="F1315" s="1">
        <v>0</v>
      </c>
      <c r="G1315" s="1">
        <v>0.39927520100159664</v>
      </c>
      <c r="H1315" s="1">
        <v>1.6976537382933656</v>
      </c>
      <c r="I1315" s="1">
        <v>397.36417523379606</v>
      </c>
      <c r="K1315" s="1">
        <f t="shared" si="60"/>
        <v>0.46507887945672971</v>
      </c>
      <c r="L1315" s="1">
        <f t="shared" si="61"/>
        <v>0.84747444118429283</v>
      </c>
      <c r="M1315" s="1">
        <f t="shared" si="62"/>
        <v>198.12391476286922</v>
      </c>
      <c r="N1315" s="1">
        <f>SLOPE(K1315:K1318,F1315:F1318)</f>
        <v>1.7539036140541259E-3</v>
      </c>
      <c r="O1315" s="1">
        <f>SLOPE(L1315:L1318,F1315:F1318)</f>
        <v>-1.201508577216437E-3</v>
      </c>
      <c r="P1315" s="1">
        <f>SLOPE(M1315:M1318,F1315:F1318)</f>
        <v>9.6578507179408533</v>
      </c>
      <c r="Q1315" s="1">
        <f>(N1315*41.35/0.31*60)/1000</f>
        <v>1.403688666602673E-2</v>
      </c>
      <c r="R1315" s="1">
        <f>O1315*41.35/0.31*60/1000</f>
        <v>-9.6159444518515488E-3</v>
      </c>
      <c r="S1315" s="1">
        <f>(O1315*41.35/0.31*60)/1000</f>
        <v>-9.6159444518515488E-3</v>
      </c>
    </row>
    <row r="1316" spans="1:19" x14ac:dyDescent="0.3">
      <c r="A1316" s="1">
        <v>1432</v>
      </c>
      <c r="C1316" s="1" t="s">
        <v>15</v>
      </c>
      <c r="D1316" s="1">
        <v>20</v>
      </c>
      <c r="E1316" s="1">
        <v>130</v>
      </c>
      <c r="F1316" s="1">
        <v>15</v>
      </c>
      <c r="G1316" s="1">
        <v>0.42906562941541121</v>
      </c>
      <c r="H1316" s="1">
        <v>1.6607920414661184</v>
      </c>
      <c r="I1316" s="1">
        <v>863.54546563953068</v>
      </c>
      <c r="K1316" s="1">
        <f t="shared" si="60"/>
        <v>0.49977900365797556</v>
      </c>
      <c r="L1316" s="1">
        <f t="shared" si="61"/>
        <v>0.82907295847016726</v>
      </c>
      <c r="M1316" s="1">
        <f t="shared" si="62"/>
        <v>430.55972050717816</v>
      </c>
      <c r="N1316"/>
      <c r="P1316" s="1"/>
    </row>
    <row r="1317" spans="1:19" x14ac:dyDescent="0.3">
      <c r="A1317" s="1">
        <v>1433</v>
      </c>
      <c r="C1317" s="1" t="s">
        <v>15</v>
      </c>
      <c r="D1317" s="1">
        <v>20</v>
      </c>
      <c r="E1317" s="1">
        <v>131</v>
      </c>
      <c r="F1317" s="1">
        <v>30</v>
      </c>
      <c r="G1317" s="1">
        <v>0.44602815093217391</v>
      </c>
      <c r="H1317" s="1">
        <v>1.6152570042089307</v>
      </c>
      <c r="I1317" s="1">
        <v>1074.1359298749569</v>
      </c>
      <c r="K1317" s="1">
        <f t="shared" si="60"/>
        <v>0.51953708149498379</v>
      </c>
      <c r="L1317" s="1">
        <f t="shared" si="61"/>
        <v>0.80634171511742381</v>
      </c>
      <c r="M1317" s="1">
        <f t="shared" si="62"/>
        <v>535.55913863918317</v>
      </c>
      <c r="N1317"/>
      <c r="P1317" s="1"/>
    </row>
    <row r="1318" spans="1:19" x14ac:dyDescent="0.3">
      <c r="A1318" s="1">
        <v>1434</v>
      </c>
      <c r="C1318" s="1" t="s">
        <v>15</v>
      </c>
      <c r="D1318" s="1">
        <v>20</v>
      </c>
      <c r="E1318" s="1">
        <v>132</v>
      </c>
      <c r="F1318" s="1">
        <v>45</v>
      </c>
      <c r="G1318" s="1">
        <v>0.46890827938717089</v>
      </c>
      <c r="H1318" s="1">
        <v>1.5924894855803371</v>
      </c>
      <c r="I1318" s="1">
        <v>1295.6733238506292</v>
      </c>
      <c r="K1318" s="1">
        <f t="shared" si="60"/>
        <v>0.5461880342137666</v>
      </c>
      <c r="L1318" s="1">
        <f t="shared" si="61"/>
        <v>0.79497609344105213</v>
      </c>
      <c r="M1318" s="1">
        <f t="shared" si="62"/>
        <v>646.0166446159102</v>
      </c>
      <c r="N1318"/>
      <c r="P1318" s="1"/>
    </row>
    <row r="1319" spans="1:19" x14ac:dyDescent="0.3">
      <c r="A1319" s="1">
        <v>1435</v>
      </c>
      <c r="C1319" s="1" t="s">
        <v>15</v>
      </c>
      <c r="D1319" s="1">
        <v>20</v>
      </c>
      <c r="E1319" s="1">
        <v>133</v>
      </c>
      <c r="F1319" s="1">
        <v>0</v>
      </c>
      <c r="G1319" s="1">
        <v>0.40809378463104995</v>
      </c>
      <c r="H1319" s="1">
        <v>1.7009062409545934</v>
      </c>
      <c r="I1319" s="1">
        <v>419.75322975507618</v>
      </c>
      <c r="K1319" s="1">
        <f t="shared" si="60"/>
        <v>0.47535083469585615</v>
      </c>
      <c r="L1319" s="1">
        <f t="shared" si="61"/>
        <v>0.84909810142377473</v>
      </c>
      <c r="M1319" s="1">
        <f t="shared" si="62"/>
        <v>209.28699237796991</v>
      </c>
      <c r="N1319" s="1">
        <f>SLOPE(K1319:K1322,F1319:F1322)</f>
        <v>2.7230223637185976E-3</v>
      </c>
      <c r="O1319" s="1">
        <f>SLOPE(L1319:L1322,F1319:F1322)</f>
        <v>-6.9636983604436748E-4</v>
      </c>
      <c r="P1319" s="1">
        <f>SLOPE(M1319:M1322,F1319:F1322)</f>
        <v>5.2483184133970369</v>
      </c>
      <c r="Q1319" s="1">
        <f>(N1319*41.35/0.31*60)/1000</f>
        <v>2.1792962852857554E-2</v>
      </c>
      <c r="R1319" s="1">
        <f>O1319*41.35/0.31*60/1000</f>
        <v>-5.5732050426647601E-3</v>
      </c>
      <c r="S1319" s="1">
        <f>(O1319*41.35/0.31*60)/1000</f>
        <v>-5.5732050426647601E-3</v>
      </c>
    </row>
    <row r="1320" spans="1:19" x14ac:dyDescent="0.3">
      <c r="A1320" s="1">
        <v>1436</v>
      </c>
      <c r="C1320" s="1" t="s">
        <v>15</v>
      </c>
      <c r="D1320" s="1">
        <v>20</v>
      </c>
      <c r="E1320" s="1">
        <v>134</v>
      </c>
      <c r="F1320" s="1">
        <v>15</v>
      </c>
      <c r="G1320" s="1">
        <v>0.45164698618460147</v>
      </c>
      <c r="H1320" s="1">
        <v>1.6846437276484549</v>
      </c>
      <c r="I1320" s="1">
        <v>631.03677208892759</v>
      </c>
      <c r="K1320" s="1">
        <f t="shared" si="60"/>
        <v>0.52608194477849279</v>
      </c>
      <c r="L1320" s="1">
        <f t="shared" si="61"/>
        <v>0.84097980022636631</v>
      </c>
      <c r="M1320" s="1">
        <f t="shared" si="62"/>
        <v>314.63197600041099</v>
      </c>
      <c r="N1320"/>
      <c r="P1320" s="1"/>
    </row>
    <row r="1321" spans="1:19" x14ac:dyDescent="0.3">
      <c r="A1321" s="1">
        <v>1437</v>
      </c>
      <c r="C1321" s="1" t="s">
        <v>15</v>
      </c>
      <c r="D1321" s="1">
        <v>20</v>
      </c>
      <c r="E1321" s="1">
        <v>135</v>
      </c>
      <c r="F1321" s="1">
        <v>30</v>
      </c>
      <c r="G1321" s="1">
        <v>0.47460421701012928</v>
      </c>
      <c r="H1321" s="1">
        <v>1.6738020521110293</v>
      </c>
      <c r="I1321" s="1">
        <v>735.46053891832548</v>
      </c>
      <c r="K1321" s="1">
        <f t="shared" si="60"/>
        <v>0.55282270694198921</v>
      </c>
      <c r="L1321" s="1">
        <f t="shared" si="61"/>
        <v>0.835567599428094</v>
      </c>
      <c r="M1321" s="1">
        <f t="shared" si="62"/>
        <v>366.69717655945163</v>
      </c>
      <c r="N1321"/>
      <c r="P1321" s="1"/>
    </row>
    <row r="1322" spans="1:19" x14ac:dyDescent="0.3">
      <c r="A1322" s="1">
        <v>1438</v>
      </c>
      <c r="C1322" s="1" t="s">
        <v>15</v>
      </c>
      <c r="D1322" s="1">
        <v>20</v>
      </c>
      <c r="E1322" s="1">
        <v>136</v>
      </c>
      <c r="F1322" s="1">
        <v>45</v>
      </c>
      <c r="G1322" s="1">
        <v>0.51732856808047534</v>
      </c>
      <c r="H1322" s="1">
        <v>1.6347720201762967</v>
      </c>
      <c r="I1322" s="1">
        <v>911.25575319132156</v>
      </c>
      <c r="K1322" s="1">
        <f t="shared" si="60"/>
        <v>0.60258836549395389</v>
      </c>
      <c r="L1322" s="1">
        <f t="shared" si="61"/>
        <v>0.8160836765543138</v>
      </c>
      <c r="M1322" s="1">
        <f t="shared" si="62"/>
        <v>454.3478461948082</v>
      </c>
      <c r="N1322"/>
      <c r="P1322" s="1"/>
    </row>
    <row r="1323" spans="1:19" x14ac:dyDescent="0.3">
      <c r="A1323" s="1">
        <v>1439</v>
      </c>
      <c r="C1323" s="1" t="s">
        <v>15</v>
      </c>
      <c r="D1323" s="1">
        <v>20</v>
      </c>
      <c r="E1323" s="1">
        <v>137</v>
      </c>
      <c r="F1323" s="1">
        <v>0</v>
      </c>
      <c r="G1323" s="1">
        <v>0.40145334296909002</v>
      </c>
      <c r="H1323" s="1">
        <v>1.6965695707396231</v>
      </c>
      <c r="I1323" s="1">
        <v>398.05140457189702</v>
      </c>
      <c r="K1323" s="1">
        <f t="shared" si="60"/>
        <v>0.46761599626989098</v>
      </c>
      <c r="L1323" s="1">
        <f t="shared" si="61"/>
        <v>0.84693322110446578</v>
      </c>
      <c r="M1323" s="1">
        <f t="shared" si="62"/>
        <v>198.4665640888291</v>
      </c>
      <c r="N1323" s="1">
        <f>SLOPE(K1323:K1326,F1323:F1326)</f>
        <v>9.6021264639703301E-4</v>
      </c>
      <c r="O1323" s="1">
        <f>SLOPE(L1323:L1326,F1323:F1326)</f>
        <v>-8.2265452133738562E-4</v>
      </c>
      <c r="P1323" s="1">
        <f>SLOPE(M1323:M1326,F1323:F1326)</f>
        <v>7.836197293828203</v>
      </c>
      <c r="Q1323" s="1">
        <f>(N1323*41.35/0.31*60)/1000</f>
        <v>7.684798631325933E-3</v>
      </c>
      <c r="R1323" s="1">
        <f>O1323*41.35/0.31*60/1000</f>
        <v>-6.5838898949614633E-3</v>
      </c>
      <c r="S1323" s="1">
        <f>(O1323*41.35/0.31*60)/1000</f>
        <v>-6.5838898949614633E-3</v>
      </c>
    </row>
    <row r="1324" spans="1:19" x14ac:dyDescent="0.3">
      <c r="A1324" s="1">
        <v>1440</v>
      </c>
      <c r="C1324" s="1" t="s">
        <v>15</v>
      </c>
      <c r="D1324" s="1">
        <v>20</v>
      </c>
      <c r="E1324" s="1">
        <v>138</v>
      </c>
      <c r="F1324" s="1">
        <v>15</v>
      </c>
      <c r="G1324" s="1">
        <v>0.41538959644252121</v>
      </c>
      <c r="H1324" s="1">
        <v>1.6683812143423165</v>
      </c>
      <c r="I1324" s="1">
        <v>684.38623938669582</v>
      </c>
      <c r="K1324" s="1">
        <f t="shared" si="60"/>
        <v>0.48384905340188755</v>
      </c>
      <c r="L1324" s="1">
        <f t="shared" si="61"/>
        <v>0.8328614990289579</v>
      </c>
      <c r="M1324" s="1">
        <f t="shared" si="62"/>
        <v>341.23177027056278</v>
      </c>
      <c r="N1324"/>
      <c r="P1324" s="1"/>
    </row>
    <row r="1325" spans="1:19" x14ac:dyDescent="0.3">
      <c r="A1325" s="1">
        <v>1441</v>
      </c>
      <c r="C1325" s="1" t="s">
        <v>15</v>
      </c>
      <c r="D1325" s="1">
        <v>20</v>
      </c>
      <c r="E1325" s="1">
        <v>139</v>
      </c>
      <c r="F1325" s="1">
        <v>30</v>
      </c>
      <c r="G1325" s="1">
        <v>0.42616465272419207</v>
      </c>
      <c r="H1325" s="1">
        <v>1.6423611930524948</v>
      </c>
      <c r="I1325" s="1">
        <v>995.97504648827623</v>
      </c>
      <c r="K1325" s="1">
        <f t="shared" si="60"/>
        <v>0.49639992330062355</v>
      </c>
      <c r="L1325" s="1">
        <f t="shared" si="61"/>
        <v>0.81987221711310443</v>
      </c>
      <c r="M1325" s="1">
        <f t="shared" si="62"/>
        <v>496.58848863334879</v>
      </c>
      <c r="N1325"/>
      <c r="P1325" s="1"/>
    </row>
    <row r="1326" spans="1:19" x14ac:dyDescent="0.3">
      <c r="A1326" s="1">
        <v>1442</v>
      </c>
      <c r="C1326" s="1" t="s">
        <v>15</v>
      </c>
      <c r="D1326" s="1">
        <v>20</v>
      </c>
      <c r="E1326" s="1">
        <v>140</v>
      </c>
      <c r="F1326" s="1">
        <v>45</v>
      </c>
      <c r="G1326" s="1">
        <v>0.43907929978809096</v>
      </c>
      <c r="H1326" s="1">
        <v>1.6228461770851286</v>
      </c>
      <c r="I1326" s="1">
        <v>1080.0158835876164</v>
      </c>
      <c r="K1326" s="1">
        <f t="shared" si="60"/>
        <v>0.51144300529016395</v>
      </c>
      <c r="L1326" s="1">
        <f t="shared" si="61"/>
        <v>0.81013025567621433</v>
      </c>
      <c r="M1326" s="1">
        <f t="shared" si="62"/>
        <v>538.4908559926439</v>
      </c>
      <c r="N1326"/>
      <c r="P1326" s="1"/>
    </row>
    <row r="1327" spans="1:19" x14ac:dyDescent="0.3">
      <c r="A1327" s="1">
        <v>1443</v>
      </c>
      <c r="C1327" s="1" t="s">
        <v>15</v>
      </c>
      <c r="D1327" s="1">
        <v>20</v>
      </c>
      <c r="E1327" s="1">
        <v>141</v>
      </c>
      <c r="F1327" s="1">
        <v>0</v>
      </c>
      <c r="G1327" s="1">
        <v>0.39959324828003595</v>
      </c>
      <c r="H1327" s="1">
        <v>1.7182529218144744</v>
      </c>
      <c r="I1327" s="1">
        <v>475.54065531467478</v>
      </c>
      <c r="K1327" s="1">
        <f t="shared" si="60"/>
        <v>0.46544934341617367</v>
      </c>
      <c r="L1327" s="1">
        <f t="shared" si="61"/>
        <v>0.85775762270101019</v>
      </c>
      <c r="M1327" s="1">
        <f t="shared" si="62"/>
        <v>237.10234120730689</v>
      </c>
      <c r="N1327" s="1">
        <f>SLOPE(K1327:K1330,F1327:F1330)</f>
        <v>5.6841894383362736E-4</v>
      </c>
      <c r="O1327" s="1">
        <f>SLOPE(L1327:L1330,F1327:F1330)</f>
        <v>-7.2162677310296647E-4</v>
      </c>
      <c r="P1327" s="1">
        <f>SLOPE(M1327:M1330,F1327:F1330)</f>
        <v>7.6172451845855429</v>
      </c>
      <c r="Q1327" s="1">
        <f>(N1327*41.35/0.31*60)/1000</f>
        <v>4.5491851601652568E-3</v>
      </c>
      <c r="R1327" s="1">
        <f>O1327*41.35/0.31*60/1000</f>
        <v>-5.7753420131240645E-3</v>
      </c>
      <c r="S1327" s="1">
        <f>(O1327*41.35/0.31*60)/1000</f>
        <v>-5.7753420131240645E-3</v>
      </c>
    </row>
    <row r="1328" spans="1:19" x14ac:dyDescent="0.3">
      <c r="A1328" s="1">
        <v>1444</v>
      </c>
      <c r="C1328" s="1" t="s">
        <v>15</v>
      </c>
      <c r="D1328" s="1">
        <v>20</v>
      </c>
      <c r="E1328" s="1">
        <v>142</v>
      </c>
      <c r="F1328" s="1">
        <v>15</v>
      </c>
      <c r="G1328" s="1">
        <v>0.42019885680437613</v>
      </c>
      <c r="H1328" s="1">
        <v>1.6813912249872272</v>
      </c>
      <c r="I1328" s="1">
        <v>747.14051328587936</v>
      </c>
      <c r="K1328" s="1">
        <f t="shared" si="60"/>
        <v>0.48945091751590308</v>
      </c>
      <c r="L1328" s="1">
        <f t="shared" si="61"/>
        <v>0.83935613998688463</v>
      </c>
      <c r="M1328" s="1">
        <f t="shared" si="62"/>
        <v>372.52075701853101</v>
      </c>
      <c r="N1328"/>
      <c r="P1328" s="1"/>
    </row>
    <row r="1329" spans="1:19" x14ac:dyDescent="0.3">
      <c r="A1329" s="1">
        <v>1445</v>
      </c>
      <c r="C1329" s="1" t="s">
        <v>15</v>
      </c>
      <c r="D1329" s="1">
        <v>20</v>
      </c>
      <c r="E1329" s="1">
        <v>143</v>
      </c>
      <c r="F1329" s="1">
        <v>30</v>
      </c>
      <c r="G1329" s="1">
        <v>0.42137466795496992</v>
      </c>
      <c r="H1329" s="1">
        <v>1.6629603765736036</v>
      </c>
      <c r="I1329" s="1">
        <v>938.97107878123074</v>
      </c>
      <c r="K1329" s="1">
        <f t="shared" si="60"/>
        <v>0.49082051154778661</v>
      </c>
      <c r="L1329" s="1">
        <f t="shared" si="61"/>
        <v>0.83015539862982179</v>
      </c>
      <c r="M1329" s="1">
        <f t="shared" si="62"/>
        <v>468.16657759295089</v>
      </c>
      <c r="N1329"/>
      <c r="P1329" s="1"/>
    </row>
    <row r="1330" spans="1:19" x14ac:dyDescent="0.3">
      <c r="A1330" s="1">
        <v>1446</v>
      </c>
      <c r="C1330" s="1" t="s">
        <v>15</v>
      </c>
      <c r="D1330" s="1">
        <v>20</v>
      </c>
      <c r="E1330" s="1">
        <v>144</v>
      </c>
      <c r="F1330" s="1">
        <v>45</v>
      </c>
      <c r="G1330" s="1">
        <v>0.42360099890404496</v>
      </c>
      <c r="H1330" s="1">
        <v>1.652118701036178</v>
      </c>
      <c r="I1330" s="1">
        <v>1175.4676520795942</v>
      </c>
      <c r="K1330" s="1">
        <f t="shared" si="60"/>
        <v>0.49341375926389386</v>
      </c>
      <c r="L1330" s="1">
        <f t="shared" si="61"/>
        <v>0.82474319783154948</v>
      </c>
      <c r="M1330" s="1">
        <f t="shared" si="62"/>
        <v>586.08266024511079</v>
      </c>
      <c r="N1330"/>
      <c r="P1330" s="1"/>
    </row>
    <row r="1331" spans="1:19" x14ac:dyDescent="0.3">
      <c r="A1331" s="1">
        <v>1447</v>
      </c>
      <c r="C1331" s="1" t="s">
        <v>15</v>
      </c>
      <c r="D1331" s="1">
        <v>20</v>
      </c>
      <c r="E1331" s="1">
        <v>145</v>
      </c>
      <c r="F1331" s="1">
        <v>0</v>
      </c>
      <c r="G1331" s="1">
        <v>0.41292232058553757</v>
      </c>
      <c r="H1331" s="1">
        <v>1.7019904085083359</v>
      </c>
      <c r="I1331" s="1">
        <v>490.27173298471939</v>
      </c>
      <c r="K1331" s="1">
        <f t="shared" si="60"/>
        <v>0.48097515117105</v>
      </c>
      <c r="L1331" s="1">
        <f t="shared" si="61"/>
        <v>0.84963932150360177</v>
      </c>
      <c r="M1331" s="1">
        <f t="shared" si="62"/>
        <v>244.44718746816554</v>
      </c>
      <c r="N1331" s="1">
        <f>SLOPE(K1331:K1334,F1331:F1334)</f>
        <v>5.6606144590989485E-3</v>
      </c>
      <c r="O1331" s="1">
        <f>SLOPE(L1331:L1334,F1331:F1334)</f>
        <v>-2.8143444151015992E-4</v>
      </c>
      <c r="P1331" s="1">
        <f>SLOPE(M1331:M1334,F1331:F1334)</f>
        <v>6.0201137438651982</v>
      </c>
      <c r="Q1331" s="1">
        <f>(N1331*41.35/0.31*60)/1000</f>
        <v>4.5303175719433847E-2</v>
      </c>
      <c r="R1331" s="1">
        <f>O1331*41.35/0.31*60/1000</f>
        <v>-2.2523833851184087E-3</v>
      </c>
      <c r="S1331" s="1">
        <f>(O1331*41.35/0.31*60)/1000</f>
        <v>-2.2523833851184087E-3</v>
      </c>
    </row>
    <row r="1332" spans="1:19" x14ac:dyDescent="0.3">
      <c r="A1332" s="1">
        <v>1448</v>
      </c>
      <c r="C1332" s="1" t="s">
        <v>15</v>
      </c>
      <c r="D1332" s="1">
        <v>20</v>
      </c>
      <c r="E1332" s="1">
        <v>146</v>
      </c>
      <c r="F1332" s="1">
        <v>15</v>
      </c>
      <c r="G1332" s="1">
        <v>0.50140692856587765</v>
      </c>
      <c r="H1332" s="1">
        <v>1.6900645654171678</v>
      </c>
      <c r="I1332" s="1">
        <v>716.69284183115178</v>
      </c>
      <c r="K1332" s="1">
        <f t="shared" si="60"/>
        <v>0.58404271516058015</v>
      </c>
      <c r="L1332" s="1">
        <f t="shared" si="61"/>
        <v>0.84368590062550242</v>
      </c>
      <c r="M1332" s="1">
        <f t="shared" si="62"/>
        <v>357.3396907825649</v>
      </c>
      <c r="N1332"/>
      <c r="P1332" s="1"/>
    </row>
    <row r="1333" spans="1:19" x14ac:dyDescent="0.3">
      <c r="A1333" s="1">
        <v>1449</v>
      </c>
      <c r="C1333" s="1" t="s">
        <v>15</v>
      </c>
      <c r="D1333" s="1">
        <v>20</v>
      </c>
      <c r="E1333" s="1">
        <v>147</v>
      </c>
      <c r="F1333" s="1">
        <v>30</v>
      </c>
      <c r="G1333" s="1">
        <v>0.57229292047257641</v>
      </c>
      <c r="H1333" s="1">
        <v>1.6835595600947122</v>
      </c>
      <c r="I1333" s="1">
        <v>868.51008836144297</v>
      </c>
      <c r="K1333" s="1">
        <f t="shared" si="60"/>
        <v>0.66661127339421422</v>
      </c>
      <c r="L1333" s="1">
        <f t="shared" si="61"/>
        <v>0.84043858014653883</v>
      </c>
      <c r="M1333" s="1">
        <f t="shared" si="62"/>
        <v>433.03505812010513</v>
      </c>
      <c r="N1333"/>
      <c r="P1333" s="1"/>
    </row>
    <row r="1334" spans="1:19" x14ac:dyDescent="0.3">
      <c r="A1334" s="1">
        <v>1450</v>
      </c>
      <c r="C1334" s="1" t="s">
        <v>15</v>
      </c>
      <c r="D1334" s="1">
        <v>20</v>
      </c>
      <c r="E1334" s="1">
        <v>148</v>
      </c>
      <c r="F1334" s="1">
        <v>45</v>
      </c>
      <c r="G1334" s="1">
        <v>0.63227856474549193</v>
      </c>
      <c r="H1334" s="1">
        <v>1.6759703872185143</v>
      </c>
      <c r="I1334" s="1">
        <v>1043.3734001561065</v>
      </c>
      <c r="K1334" s="1">
        <f t="shared" si="60"/>
        <v>0.73648302138145272</v>
      </c>
      <c r="L1334" s="1">
        <f t="shared" si="61"/>
        <v>0.83665003958774831</v>
      </c>
      <c r="M1334" s="1">
        <f t="shared" si="62"/>
        <v>520.22108554891201</v>
      </c>
      <c r="N1334"/>
      <c r="P1334" s="1"/>
    </row>
    <row r="1335" spans="1:19" x14ac:dyDescent="0.3">
      <c r="A1335" s="1">
        <v>1451</v>
      </c>
      <c r="C1335" s="1" t="s">
        <v>15</v>
      </c>
      <c r="D1335" s="1">
        <v>20</v>
      </c>
      <c r="E1335" s="1">
        <v>149</v>
      </c>
      <c r="F1335" s="1">
        <v>0</v>
      </c>
      <c r="G1335" s="1">
        <v>0.39987274437320985</v>
      </c>
      <c r="H1335" s="1">
        <v>1.7106637489382761</v>
      </c>
      <c r="I1335" s="1">
        <v>431.37959048632433</v>
      </c>
      <c r="K1335" s="1">
        <f t="shared" si="60"/>
        <v>0.46577490265326066</v>
      </c>
      <c r="L1335" s="1">
        <f t="shared" si="61"/>
        <v>0.85396908214221945</v>
      </c>
      <c r="M1335" s="1">
        <f t="shared" si="62"/>
        <v>215.08384132935032</v>
      </c>
      <c r="N1335" s="1">
        <f>SLOPE(K1335:K1338,F1335:F1338)</f>
        <v>8.9203230961856816E-4</v>
      </c>
      <c r="O1335" s="1">
        <f>SLOPE(L1335:L1338,F1335:F1338)</f>
        <v>-7.9378945041325521E-5</v>
      </c>
      <c r="P1335" s="1">
        <f>SLOPE(M1335:M1338,F1335:F1338)</f>
        <v>5.6555381012266626</v>
      </c>
      <c r="Q1335" s="1">
        <f>(N1335*41.35/0.31*60)/1000</f>
        <v>7.1391360005279595E-3</v>
      </c>
      <c r="R1335" s="1">
        <f>O1335*41.35/0.31*60/1000</f>
        <v>-6.3528762144364069E-4</v>
      </c>
      <c r="S1335" s="1">
        <f>(O1335*41.35/0.31*60)/1000</f>
        <v>-6.3528762144364069E-4</v>
      </c>
    </row>
    <row r="1336" spans="1:19" x14ac:dyDescent="0.3">
      <c r="A1336" s="1">
        <v>1452</v>
      </c>
      <c r="C1336" s="1" t="s">
        <v>15</v>
      </c>
      <c r="D1336" s="1">
        <v>20</v>
      </c>
      <c r="E1336" s="1">
        <v>150</v>
      </c>
      <c r="F1336" s="1">
        <v>15</v>
      </c>
      <c r="G1336" s="1">
        <v>0.41654613200048229</v>
      </c>
      <c r="H1336" s="1">
        <v>1.7063270787233062</v>
      </c>
      <c r="I1336" s="1">
        <v>717.49607158235051</v>
      </c>
      <c r="K1336" s="1">
        <f t="shared" si="60"/>
        <v>0.48519619507259265</v>
      </c>
      <c r="L1336" s="1">
        <f t="shared" si="61"/>
        <v>0.85180420182291083</v>
      </c>
      <c r="M1336" s="1">
        <f t="shared" si="62"/>
        <v>357.74017737063713</v>
      </c>
      <c r="N1336"/>
      <c r="P1336" s="1"/>
    </row>
    <row r="1337" spans="1:19" x14ac:dyDescent="0.3">
      <c r="A1337" s="1">
        <v>1453</v>
      </c>
      <c r="C1337" s="1" t="s">
        <v>15</v>
      </c>
      <c r="D1337" s="1">
        <v>20</v>
      </c>
      <c r="E1337" s="1">
        <v>151</v>
      </c>
      <c r="F1337" s="1">
        <v>30</v>
      </c>
      <c r="G1337" s="1">
        <v>0.42209750267869556</v>
      </c>
      <c r="H1337" s="1">
        <v>1.7019904085083359</v>
      </c>
      <c r="I1337" s="1">
        <v>725.33536000363813</v>
      </c>
      <c r="K1337" s="1">
        <f t="shared" si="60"/>
        <v>0.49166247509197725</v>
      </c>
      <c r="L1337" s="1">
        <f t="shared" si="61"/>
        <v>0.84963932150360177</v>
      </c>
      <c r="M1337" s="1">
        <f t="shared" si="62"/>
        <v>361.64880982364303</v>
      </c>
      <c r="N1337"/>
      <c r="P1337" s="1"/>
    </row>
    <row r="1338" spans="1:19" x14ac:dyDescent="0.3">
      <c r="A1338" s="1">
        <v>1454</v>
      </c>
      <c r="C1338" s="1" t="s">
        <v>15</v>
      </c>
      <c r="D1338" s="1">
        <v>20</v>
      </c>
      <c r="E1338" s="1">
        <v>152</v>
      </c>
      <c r="F1338" s="1">
        <v>45</v>
      </c>
      <c r="G1338" s="1">
        <v>0.43631325224530071</v>
      </c>
      <c r="H1338" s="1">
        <v>1.704158743615821</v>
      </c>
      <c r="I1338" s="1">
        <v>995.91363450487142</v>
      </c>
      <c r="K1338" s="1">
        <f t="shared" si="60"/>
        <v>0.50822109146106087</v>
      </c>
      <c r="L1338" s="1">
        <f t="shared" si="61"/>
        <v>0.85072176166325619</v>
      </c>
      <c r="M1338" s="1">
        <f t="shared" si="62"/>
        <v>496.55786890634812</v>
      </c>
      <c r="N1338"/>
      <c r="P1338" s="1"/>
    </row>
    <row r="1339" spans="1:19" x14ac:dyDescent="0.3">
      <c r="A1339" s="1">
        <v>1455</v>
      </c>
      <c r="C1339" s="1" t="s">
        <v>15</v>
      </c>
      <c r="D1339" s="1">
        <v>20</v>
      </c>
      <c r="E1339" s="1">
        <v>153</v>
      </c>
      <c r="F1339" s="1">
        <v>0</v>
      </c>
      <c r="G1339" s="1">
        <v>0.40181957922911099</v>
      </c>
      <c r="H1339" s="1">
        <v>1.7160845867069889</v>
      </c>
      <c r="I1339" s="1">
        <v>410.68765125246802</v>
      </c>
      <c r="K1339" s="1">
        <f t="shared" si="60"/>
        <v>0.46804259113228092</v>
      </c>
      <c r="L1339" s="1">
        <f t="shared" si="61"/>
        <v>0.85667518254135555</v>
      </c>
      <c r="M1339" s="1">
        <f t="shared" si="62"/>
        <v>204.76693743977609</v>
      </c>
      <c r="N1339" s="1">
        <f>SLOPE(K1339:K1342,F1339:F1342)</f>
        <v>8.2078348347905286E-4</v>
      </c>
      <c r="O1339" s="1">
        <f>SLOPE(L1339:L1342,F1339:F1342)</f>
        <v>-3.9328659134111319E-4</v>
      </c>
      <c r="P1339" s="1">
        <f>SLOPE(M1339:M1342,F1339:F1342)</f>
        <v>7.7415418351117466</v>
      </c>
      <c r="Q1339" s="1">
        <f>(N1339*41.35/0.31*60)/1000</f>
        <v>6.5689155564888071E-3</v>
      </c>
      <c r="R1339" s="1">
        <f>O1339*41.35/0.31*60/1000</f>
        <v>-3.1475613971525865E-3</v>
      </c>
      <c r="S1339" s="1">
        <f>(O1339*41.35/0.31*60)/1000</f>
        <v>-3.1475613971525865E-3</v>
      </c>
    </row>
    <row r="1340" spans="1:19" x14ac:dyDescent="0.3">
      <c r="A1340" s="1">
        <v>1456</v>
      </c>
      <c r="C1340" s="1" t="s">
        <v>15</v>
      </c>
      <c r="D1340" s="1">
        <v>20</v>
      </c>
      <c r="E1340" s="1">
        <v>154</v>
      </c>
      <c r="F1340" s="1">
        <v>15</v>
      </c>
      <c r="G1340" s="1">
        <v>0.41630518709257375</v>
      </c>
      <c r="H1340" s="1">
        <v>1.7128320840457616</v>
      </c>
      <c r="I1340" s="1">
        <v>692.77043731152719</v>
      </c>
      <c r="K1340" s="1">
        <f t="shared" si="60"/>
        <v>0.48491554055786246</v>
      </c>
      <c r="L1340" s="1">
        <f t="shared" si="61"/>
        <v>0.8550515223018742</v>
      </c>
      <c r="M1340" s="1">
        <f t="shared" si="62"/>
        <v>345.41209204727295</v>
      </c>
      <c r="N1340"/>
      <c r="P1340" s="1"/>
    </row>
    <row r="1341" spans="1:19" x14ac:dyDescent="0.3">
      <c r="A1341" s="1">
        <v>1457</v>
      </c>
      <c r="C1341" s="1" t="s">
        <v>15</v>
      </c>
      <c r="D1341" s="1">
        <v>20</v>
      </c>
      <c r="E1341" s="1">
        <v>155</v>
      </c>
      <c r="F1341" s="1">
        <v>30</v>
      </c>
      <c r="G1341" s="1">
        <v>0.428525912821696</v>
      </c>
      <c r="H1341" s="1">
        <v>1.6824753925409697</v>
      </c>
      <c r="I1341" s="1">
        <v>908.10132178976892</v>
      </c>
      <c r="K1341" s="1">
        <f t="shared" si="60"/>
        <v>0.49915033754497978</v>
      </c>
      <c r="L1341" s="1">
        <f t="shared" si="61"/>
        <v>0.83989736006671167</v>
      </c>
      <c r="M1341" s="1">
        <f t="shared" si="62"/>
        <v>452.77506148728185</v>
      </c>
      <c r="N1341"/>
      <c r="P1341" s="1"/>
    </row>
    <row r="1342" spans="1:19" x14ac:dyDescent="0.3">
      <c r="A1342" s="1">
        <v>1458</v>
      </c>
      <c r="C1342" s="1" t="s">
        <v>15</v>
      </c>
      <c r="D1342" s="1">
        <v>20</v>
      </c>
      <c r="E1342" s="1">
        <v>156</v>
      </c>
      <c r="F1342" s="1">
        <v>45</v>
      </c>
      <c r="G1342" s="1">
        <v>0.43297857471984619</v>
      </c>
      <c r="H1342" s="1">
        <v>1.68681206275594</v>
      </c>
      <c r="I1342" s="1">
        <v>1115.2458914008166</v>
      </c>
      <c r="K1342" s="1">
        <f t="shared" si="60"/>
        <v>0.50433683297719445</v>
      </c>
      <c r="L1342" s="1">
        <f t="shared" si="61"/>
        <v>0.84206224038602073</v>
      </c>
      <c r="M1342" s="1">
        <f t="shared" si="62"/>
        <v>556.05637271536045</v>
      </c>
      <c r="N1342"/>
      <c r="P1342" s="1"/>
    </row>
    <row r="1343" spans="1:19" x14ac:dyDescent="0.3">
      <c r="A1343" s="1">
        <v>1459</v>
      </c>
      <c r="C1343" s="1" t="s">
        <v>15</v>
      </c>
      <c r="D1343" s="1">
        <v>20</v>
      </c>
      <c r="E1343" s="1">
        <v>157</v>
      </c>
      <c r="F1343" s="1">
        <v>0</v>
      </c>
      <c r="G1343" s="1">
        <v>0.40044137435587407</v>
      </c>
      <c r="H1343" s="1">
        <v>1.7106637489382761</v>
      </c>
      <c r="I1343" s="1">
        <v>440.22096650983576</v>
      </c>
      <c r="K1343" s="1">
        <f t="shared" si="60"/>
        <v>0.46643724730802405</v>
      </c>
      <c r="L1343" s="1">
        <f t="shared" si="61"/>
        <v>0.85396908214221945</v>
      </c>
      <c r="M1343" s="1">
        <f t="shared" si="62"/>
        <v>219.4921099626211</v>
      </c>
      <c r="N1343" s="1">
        <f>SLOPE(K1343:K1346,F1343:F1346)</f>
        <v>8.1105412696840461E-4</v>
      </c>
      <c r="O1343" s="1">
        <f>SLOPE(L1343:L1346,F1343:F1346)</f>
        <v>-4.2936792999626126E-4</v>
      </c>
      <c r="P1343" s="1">
        <f>SLOPE(M1343:M1346,F1343:F1346)</f>
        <v>7.2277622571370452</v>
      </c>
      <c r="Q1343" s="1">
        <f>(N1343*41.35/0.31*60)/1000</f>
        <v>6.491049319382618E-3</v>
      </c>
      <c r="R1343" s="1">
        <f>O1343*41.35/0.31*60/1000</f>
        <v>-3.4363284978087879E-3</v>
      </c>
      <c r="S1343" s="1">
        <f>(O1343*41.35/0.31*60)/1000</f>
        <v>-3.4363284978087879E-3</v>
      </c>
    </row>
    <row r="1344" spans="1:19" x14ac:dyDescent="0.3">
      <c r="A1344" s="1">
        <v>1460</v>
      </c>
      <c r="C1344" s="1" t="s">
        <v>15</v>
      </c>
      <c r="D1344" s="1">
        <v>20</v>
      </c>
      <c r="E1344" s="1">
        <v>158</v>
      </c>
      <c r="F1344" s="1">
        <v>15</v>
      </c>
      <c r="G1344" s="1">
        <v>0.41604496659203249</v>
      </c>
      <c r="H1344" s="1">
        <v>1.7128320840457616</v>
      </c>
      <c r="I1344" s="1">
        <v>753.63653641936116</v>
      </c>
      <c r="K1344" s="1">
        <f t="shared" si="60"/>
        <v>0.48461243368195378</v>
      </c>
      <c r="L1344" s="1">
        <f t="shared" si="61"/>
        <v>0.8550515223018742</v>
      </c>
      <c r="M1344" s="1">
        <f t="shared" si="62"/>
        <v>375.7596436968239</v>
      </c>
      <c r="N1344"/>
      <c r="P1344" s="1"/>
    </row>
    <row r="1345" spans="1:19" x14ac:dyDescent="0.3">
      <c r="A1345" s="1">
        <v>1461</v>
      </c>
      <c r="C1345" s="1" t="s">
        <v>15</v>
      </c>
      <c r="D1345" s="1">
        <v>20</v>
      </c>
      <c r="E1345" s="1">
        <v>159</v>
      </c>
      <c r="F1345" s="1">
        <v>30</v>
      </c>
      <c r="G1345" s="1">
        <v>0.42495992818464928</v>
      </c>
      <c r="H1345" s="1">
        <v>1.6846437276484549</v>
      </c>
      <c r="I1345" s="1">
        <v>988.6397262482626</v>
      </c>
      <c r="K1345" s="1">
        <f t="shared" si="60"/>
        <v>0.49499665072697235</v>
      </c>
      <c r="L1345" s="1">
        <f t="shared" si="61"/>
        <v>0.84097980022636631</v>
      </c>
      <c r="M1345" s="1">
        <f t="shared" si="62"/>
        <v>492.93113235271346</v>
      </c>
      <c r="N1345"/>
      <c r="P1345" s="1"/>
    </row>
    <row r="1346" spans="1:19" x14ac:dyDescent="0.3">
      <c r="A1346" s="1">
        <v>1462</v>
      </c>
      <c r="C1346" s="1" t="s">
        <v>15</v>
      </c>
      <c r="D1346" s="1">
        <v>20</v>
      </c>
      <c r="E1346" s="1">
        <v>160</v>
      </c>
      <c r="F1346" s="1">
        <v>45</v>
      </c>
      <c r="G1346" s="1">
        <v>0.43228465338506955</v>
      </c>
      <c r="H1346" s="1">
        <v>1.6770545547722568</v>
      </c>
      <c r="I1346" s="1">
        <v>1086.6990670514745</v>
      </c>
      <c r="K1346" s="1">
        <f t="shared" si="60"/>
        <v>0.50352854797477142</v>
      </c>
      <c r="L1346" s="1">
        <f t="shared" si="61"/>
        <v>0.83719125966757568</v>
      </c>
      <c r="M1346" s="1">
        <f t="shared" si="62"/>
        <v>541.82305993417685</v>
      </c>
      <c r="N1346"/>
      <c r="P1346" s="1"/>
    </row>
    <row r="1347" spans="1:19" x14ac:dyDescent="0.3">
      <c r="A1347" s="1">
        <v>1463</v>
      </c>
      <c r="C1347" s="1" t="s">
        <v>15</v>
      </c>
      <c r="D1347" s="1">
        <v>20</v>
      </c>
      <c r="E1347" s="1" t="s">
        <v>125</v>
      </c>
      <c r="G1347" s="1">
        <v>0.39827287018469704</v>
      </c>
      <c r="H1347" s="1">
        <v>1.6976537382933656</v>
      </c>
      <c r="I1347" s="1">
        <v>382.80856037347934</v>
      </c>
      <c r="K1347" s="1">
        <f t="shared" ref="K1347:K1410" si="63">(G1347*28*1)/(0.082*(D1347+273.15))</f>
        <v>0.46391135667545197</v>
      </c>
      <c r="L1347" s="1">
        <f t="shared" ref="L1347:L1410" si="64">(H1347*12*1)/(0.082*(D1347+273.15))</f>
        <v>0.84747444118429283</v>
      </c>
      <c r="M1347" s="1">
        <f t="shared" ref="M1347:M1410" si="65">(I1347*12*1)/(0.0821*(D1347+273.15))</f>
        <v>190.86655343629818</v>
      </c>
      <c r="N1347"/>
      <c r="P1347" s="1"/>
    </row>
    <row r="1348" spans="1:19" x14ac:dyDescent="0.3">
      <c r="A1348" s="1">
        <v>1464</v>
      </c>
      <c r="C1348" s="1" t="s">
        <v>15</v>
      </c>
      <c r="D1348" s="1">
        <v>20</v>
      </c>
      <c r="E1348" s="1" t="s">
        <v>126</v>
      </c>
      <c r="G1348" s="1">
        <v>0.39881258677841214</v>
      </c>
      <c r="H1348" s="1">
        <v>1.7106637489382761</v>
      </c>
      <c r="I1348" s="1">
        <v>403.67303803690152</v>
      </c>
      <c r="K1348" s="1">
        <f t="shared" si="63"/>
        <v>0.46454002278844764</v>
      </c>
      <c r="L1348" s="1">
        <f t="shared" si="64"/>
        <v>0.85396908214221945</v>
      </c>
      <c r="M1348" s="1">
        <f t="shared" si="65"/>
        <v>201.26948417792201</v>
      </c>
      <c r="N1348"/>
      <c r="P1348" s="1"/>
    </row>
    <row r="1349" spans="1:19" x14ac:dyDescent="0.3">
      <c r="A1349" s="1">
        <v>1465</v>
      </c>
      <c r="C1349" s="1" t="s">
        <v>15</v>
      </c>
      <c r="D1349" s="1">
        <v>20</v>
      </c>
      <c r="E1349" s="1" t="s">
        <v>127</v>
      </c>
      <c r="G1349" s="1">
        <v>0.39904389389000444</v>
      </c>
      <c r="H1349" s="1">
        <v>1.688980397863425</v>
      </c>
      <c r="I1349" s="1">
        <v>401.50899671692406</v>
      </c>
      <c r="K1349" s="1">
        <f t="shared" si="63"/>
        <v>0.4648094511225887</v>
      </c>
      <c r="L1349" s="1">
        <f t="shared" si="64"/>
        <v>0.84314468054567504</v>
      </c>
      <c r="M1349" s="1">
        <f t="shared" si="65"/>
        <v>200.19050332170798</v>
      </c>
      <c r="N1349"/>
      <c r="P1349" s="1"/>
    </row>
    <row r="1350" spans="1:19" x14ac:dyDescent="0.3">
      <c r="A1350" s="1">
        <v>1466</v>
      </c>
      <c r="B1350" s="1" t="s">
        <v>128</v>
      </c>
      <c r="C1350" s="1" t="s">
        <v>15</v>
      </c>
      <c r="D1350" s="7">
        <v>13.5</v>
      </c>
      <c r="E1350" s="1">
        <v>1</v>
      </c>
      <c r="F1350" s="1">
        <v>0</v>
      </c>
      <c r="G1350" s="1">
        <v>0.45183291801083258</v>
      </c>
      <c r="H1350" s="1">
        <v>1.7026661465352155</v>
      </c>
      <c r="I1350" s="1">
        <v>400.14390691461767</v>
      </c>
      <c r="K1350" s="1">
        <f t="shared" si="63"/>
        <v>0.53823272641928899</v>
      </c>
      <c r="L1350" s="1">
        <f t="shared" si="64"/>
        <v>0.86925049918199671</v>
      </c>
      <c r="M1350" s="1">
        <f t="shared" si="65"/>
        <v>204.03390941455945</v>
      </c>
      <c r="N1350" s="1">
        <f>SLOPE(K1350:K1353,F1350:F1353)</f>
        <v>-5.656630892393943E-4</v>
      </c>
      <c r="O1350" s="1">
        <f>SLOPE(L1350:L1353,F1350:F1353)</f>
        <v>9.3276661931418535E-4</v>
      </c>
      <c r="P1350" s="1">
        <f>SLOPE(M1350:M1353,F1350:F1353)</f>
        <v>0.23746916876284599</v>
      </c>
      <c r="Q1350" s="1">
        <f>(N1350*41.35/0.31*60)/1000</f>
        <v>-4.5271294335578628E-3</v>
      </c>
      <c r="R1350" s="1">
        <f>O1350*41.35/0.31*60/1000</f>
        <v>7.4651418790919162E-3</v>
      </c>
      <c r="S1350" s="1">
        <f>(O1350*41.35/0.31*60)/1000</f>
        <v>7.4651418790919162E-3</v>
      </c>
    </row>
    <row r="1351" spans="1:19" x14ac:dyDescent="0.3">
      <c r="A1351" s="1">
        <v>1467</v>
      </c>
      <c r="C1351" s="1" t="s">
        <v>15</v>
      </c>
      <c r="D1351" s="7">
        <v>13.5</v>
      </c>
      <c r="E1351" s="1">
        <v>2</v>
      </c>
      <c r="F1351" s="1">
        <v>15</v>
      </c>
      <c r="G1351" s="1">
        <v>0.44805284843873761</v>
      </c>
      <c r="H1351" s="1">
        <v>1.7384133626498335</v>
      </c>
      <c r="I1351" s="1">
        <v>415.16031202832147</v>
      </c>
      <c r="K1351" s="1">
        <f t="shared" si="63"/>
        <v>0.53372982928465729</v>
      </c>
      <c r="L1351" s="1">
        <f t="shared" si="64"/>
        <v>0.88750028086423083</v>
      </c>
      <c r="M1351" s="1">
        <f t="shared" si="65"/>
        <v>211.69079431960819</v>
      </c>
      <c r="N1351"/>
      <c r="P1351" s="1"/>
    </row>
    <row r="1352" spans="1:19" x14ac:dyDescent="0.3">
      <c r="A1352" s="1">
        <v>1468</v>
      </c>
      <c r="C1352" s="1" t="s">
        <v>15</v>
      </c>
      <c r="D1352" s="7">
        <v>13.5</v>
      </c>
      <c r="E1352" s="1">
        <v>3</v>
      </c>
      <c r="F1352" s="1">
        <v>30</v>
      </c>
      <c r="G1352" s="1">
        <v>0.43607724341261345</v>
      </c>
      <c r="H1352" s="1">
        <v>1.7741605787644514</v>
      </c>
      <c r="I1352" s="1">
        <v>416.01001093674256</v>
      </c>
      <c r="K1352" s="1">
        <f t="shared" si="63"/>
        <v>0.51946424064160746</v>
      </c>
      <c r="L1352" s="1">
        <f t="shared" si="64"/>
        <v>0.90575006254646473</v>
      </c>
      <c r="M1352" s="1">
        <f t="shared" si="65"/>
        <v>212.12405692117375</v>
      </c>
      <c r="N1352"/>
      <c r="P1352" s="1"/>
    </row>
    <row r="1353" spans="1:19" x14ac:dyDescent="0.3">
      <c r="A1353" s="1">
        <v>1469</v>
      </c>
      <c r="C1353" s="1" t="s">
        <v>15</v>
      </c>
      <c r="D1353" s="7">
        <v>13.5</v>
      </c>
      <c r="E1353" s="1">
        <v>4</v>
      </c>
      <c r="F1353" s="1">
        <v>45</v>
      </c>
      <c r="G1353" s="1">
        <v>0.43208178526091201</v>
      </c>
      <c r="H1353" s="1">
        <v>1.7821044045676999</v>
      </c>
      <c r="I1353" s="1">
        <v>423.14647022116026</v>
      </c>
      <c r="K1353" s="1">
        <f t="shared" si="63"/>
        <v>0.51470476817166921</v>
      </c>
      <c r="L1353" s="1">
        <f t="shared" si="64"/>
        <v>0.90980556958696135</v>
      </c>
      <c r="M1353" s="1">
        <f t="shared" si="65"/>
        <v>215.76294698551322</v>
      </c>
      <c r="N1353"/>
      <c r="P1353" s="1"/>
    </row>
    <row r="1354" spans="1:19" x14ac:dyDescent="0.3">
      <c r="A1354" s="1">
        <v>1470</v>
      </c>
      <c r="C1354" s="1" t="s">
        <v>15</v>
      </c>
      <c r="D1354" s="7">
        <v>13.5</v>
      </c>
      <c r="E1354" s="1">
        <v>5</v>
      </c>
      <c r="F1354" s="1">
        <v>0</v>
      </c>
      <c r="G1354" s="1">
        <v>0.43166177753067919</v>
      </c>
      <c r="H1354" s="1">
        <v>1.8079218384282574</v>
      </c>
      <c r="I1354" s="1">
        <v>407.40782103529853</v>
      </c>
      <c r="K1354" s="1">
        <f t="shared" si="63"/>
        <v>0.51420444626782125</v>
      </c>
      <c r="L1354" s="1">
        <f t="shared" si="64"/>
        <v>0.92298596746857486</v>
      </c>
      <c r="M1354" s="1">
        <f t="shared" si="65"/>
        <v>207.73778886913371</v>
      </c>
      <c r="N1354" s="1">
        <f>SLOPE(K1354:K1357,F1354:F1357)</f>
        <v>-3.1156798217404284E-4</v>
      </c>
      <c r="O1354" s="1">
        <f>SLOPE(L1354:L1357,F1354:F1357)</f>
        <v>1.7573863842150909E-4</v>
      </c>
      <c r="P1354" s="1">
        <f>SLOPE(M1354:M1357,F1354:F1357)</f>
        <v>0.1272519769534701</v>
      </c>
      <c r="Q1354" s="1">
        <f>(N1354*41.35/0.31*60)/1000</f>
        <v>-2.4935489153993561E-3</v>
      </c>
      <c r="R1354" s="1">
        <f>O1354*41.35/0.31*60/1000</f>
        <v>1.4064760062056905E-3</v>
      </c>
      <c r="S1354" s="1">
        <f>(O1354*41.35/0.31*60)/1000</f>
        <v>1.4064760062056905E-3</v>
      </c>
    </row>
    <row r="1355" spans="1:19" x14ac:dyDescent="0.3">
      <c r="A1355" s="1">
        <v>1471</v>
      </c>
      <c r="C1355" s="1" t="s">
        <v>15</v>
      </c>
      <c r="D1355" s="7">
        <v>13.5</v>
      </c>
      <c r="E1355" s="1">
        <v>6</v>
      </c>
      <c r="F1355" s="1">
        <v>15</v>
      </c>
      <c r="G1355" s="1">
        <v>0.4404280927206658</v>
      </c>
      <c r="H1355" s="1">
        <v>1.8079218384282574</v>
      </c>
      <c r="I1355" s="1">
        <v>422.9178607529422</v>
      </c>
      <c r="K1355" s="1">
        <f t="shared" si="63"/>
        <v>0.52464706241480197</v>
      </c>
      <c r="L1355" s="1">
        <f t="shared" si="64"/>
        <v>0.92298596746857486</v>
      </c>
      <c r="M1355" s="1">
        <f t="shared" si="65"/>
        <v>215.64637871413962</v>
      </c>
      <c r="N1355"/>
      <c r="P1355" s="1"/>
    </row>
    <row r="1356" spans="1:19" x14ac:dyDescent="0.3">
      <c r="A1356" s="1">
        <v>1472</v>
      </c>
      <c r="C1356" s="1" t="s">
        <v>15</v>
      </c>
      <c r="D1356" s="7">
        <v>13.5</v>
      </c>
      <c r="E1356" s="1">
        <v>7</v>
      </c>
      <c r="F1356" s="1">
        <v>30</v>
      </c>
      <c r="G1356" s="1">
        <v>0.4267509179156499</v>
      </c>
      <c r="H1356" s="1">
        <v>1.820830555358536</v>
      </c>
      <c r="I1356" s="1">
        <v>423.10499682205875</v>
      </c>
      <c r="K1356" s="1">
        <f t="shared" si="63"/>
        <v>0.5083545286228297</v>
      </c>
      <c r="L1356" s="1">
        <f t="shared" si="64"/>
        <v>0.92957616640938145</v>
      </c>
      <c r="M1356" s="1">
        <f t="shared" si="65"/>
        <v>215.74179964424633</v>
      </c>
      <c r="N1356"/>
      <c r="P1356" s="1"/>
    </row>
    <row r="1357" spans="1:19" x14ac:dyDescent="0.3">
      <c r="A1357" s="1">
        <v>1473</v>
      </c>
      <c r="C1357" s="1" t="s">
        <v>15</v>
      </c>
      <c r="D1357" s="7">
        <v>13.5</v>
      </c>
      <c r="E1357" s="1">
        <v>8</v>
      </c>
      <c r="F1357" s="1">
        <v>45</v>
      </c>
      <c r="G1357" s="1">
        <v>0.42314315920724016</v>
      </c>
      <c r="H1357" s="1">
        <v>1.820830555358536</v>
      </c>
      <c r="I1357" s="1">
        <v>419.82354056144203</v>
      </c>
      <c r="K1357" s="1">
        <f t="shared" si="63"/>
        <v>0.50405689175644319</v>
      </c>
      <c r="L1357" s="1">
        <f t="shared" si="64"/>
        <v>0.92957616640938145</v>
      </c>
      <c r="M1357" s="1">
        <f t="shared" si="65"/>
        <v>214.06858074010498</v>
      </c>
      <c r="N1357"/>
      <c r="P1357" s="1"/>
    </row>
    <row r="1358" spans="1:19" x14ac:dyDescent="0.3">
      <c r="A1358" s="1">
        <v>1474</v>
      </c>
      <c r="C1358" s="1" t="s">
        <v>15</v>
      </c>
      <c r="D1358" s="7">
        <v>13.5</v>
      </c>
      <c r="E1358" s="1">
        <v>9</v>
      </c>
      <c r="F1358" s="1">
        <v>0</v>
      </c>
      <c r="G1358" s="1">
        <v>0.42667553191278751</v>
      </c>
      <c r="H1358" s="1">
        <v>1.8307603376125965</v>
      </c>
      <c r="I1358" s="1">
        <v>411.45097167453559</v>
      </c>
      <c r="K1358" s="1">
        <f t="shared" si="63"/>
        <v>0.50826472725547223</v>
      </c>
      <c r="L1358" s="1">
        <f t="shared" si="64"/>
        <v>0.93464555021000206</v>
      </c>
      <c r="M1358" s="1">
        <f t="shared" si="65"/>
        <v>209.79939674824993</v>
      </c>
      <c r="N1358" s="1">
        <f>SLOPE(K1358:K1361,F1358:F1361)</f>
        <v>1.1796478666282091E-3</v>
      </c>
      <c r="O1358" s="1">
        <f>SLOPE(L1358:L1361,F1358:F1361)</f>
        <v>-8.2124017570053506E-4</v>
      </c>
      <c r="P1358" s="1">
        <f>SLOPE(M1358:M1361,F1358:F1361)</f>
        <v>0.34801302681943347</v>
      </c>
      <c r="Q1358" s="1">
        <f>(N1358*41.35/0.31*60)/1000</f>
        <v>9.4409882487244724E-3</v>
      </c>
      <c r="R1358" s="1">
        <f>O1358*41.35/0.31*60/1000</f>
        <v>-6.5725705674613789E-3</v>
      </c>
      <c r="S1358" s="1">
        <f>(O1358*41.35/0.31*60)/1000</f>
        <v>-6.5725705674613789E-3</v>
      </c>
    </row>
    <row r="1359" spans="1:19" x14ac:dyDescent="0.3">
      <c r="A1359" s="1">
        <v>1475</v>
      </c>
      <c r="C1359" s="1" t="s">
        <v>15</v>
      </c>
      <c r="D1359" s="7">
        <v>13.5</v>
      </c>
      <c r="E1359" s="1">
        <v>10</v>
      </c>
      <c r="F1359" s="1">
        <v>15</v>
      </c>
      <c r="G1359" s="1">
        <v>0.48647817104054614</v>
      </c>
      <c r="H1359" s="1">
        <v>1.8079218384282574</v>
      </c>
      <c r="I1359" s="1">
        <v>456.71463483539139</v>
      </c>
      <c r="K1359" s="1">
        <f t="shared" si="63"/>
        <v>0.57950286910336357</v>
      </c>
      <c r="L1359" s="1">
        <f t="shared" si="64"/>
        <v>0.92298596746857486</v>
      </c>
      <c r="M1359" s="1">
        <f t="shared" si="65"/>
        <v>232.87939869141039</v>
      </c>
      <c r="N1359"/>
      <c r="P1359" s="1"/>
    </row>
    <row r="1360" spans="1:19" x14ac:dyDescent="0.3">
      <c r="A1360" s="1">
        <v>1476</v>
      </c>
      <c r="C1360" s="1" t="s">
        <v>15</v>
      </c>
      <c r="D1360" s="7">
        <v>13.5</v>
      </c>
      <c r="E1360" s="1">
        <v>11</v>
      </c>
      <c r="F1360" s="1">
        <v>30</v>
      </c>
      <c r="G1360" s="1">
        <v>0.46026538090242902</v>
      </c>
      <c r="H1360" s="1">
        <v>1.7811114263422936</v>
      </c>
      <c r="I1360" s="1">
        <v>439.2017334050409</v>
      </c>
      <c r="K1360" s="1">
        <f t="shared" si="63"/>
        <v>0.54827765079654434</v>
      </c>
      <c r="L1360" s="1">
        <f t="shared" si="64"/>
        <v>0.90929863120689902</v>
      </c>
      <c r="M1360" s="1">
        <f t="shared" si="65"/>
        <v>223.94954699985706</v>
      </c>
      <c r="N1360"/>
      <c r="P1360" s="1"/>
    </row>
    <row r="1361" spans="1:19" x14ac:dyDescent="0.3">
      <c r="A1361" s="1">
        <v>1477</v>
      </c>
      <c r="C1361" s="1" t="s">
        <v>15</v>
      </c>
      <c r="D1361" s="7">
        <v>13.5</v>
      </c>
      <c r="E1361" s="1">
        <v>12</v>
      </c>
      <c r="F1361" s="1">
        <v>45</v>
      </c>
      <c r="G1361" s="1">
        <v>0.484927373267379</v>
      </c>
      <c r="H1361" s="1">
        <v>1.7592659053833606</v>
      </c>
      <c r="I1361" s="1">
        <v>451.414132120955</v>
      </c>
      <c r="K1361" s="1">
        <f t="shared" si="63"/>
        <v>0.57765552668915576</v>
      </c>
      <c r="L1361" s="1">
        <f t="shared" si="64"/>
        <v>0.89814598684553393</v>
      </c>
      <c r="M1361" s="1">
        <f t="shared" si="65"/>
        <v>230.17666531973939</v>
      </c>
      <c r="N1361"/>
      <c r="P1361" s="1"/>
    </row>
    <row r="1362" spans="1:19" x14ac:dyDescent="0.3">
      <c r="A1362" s="1">
        <v>1478</v>
      </c>
      <c r="C1362" s="1" t="s">
        <v>15</v>
      </c>
      <c r="D1362" s="7">
        <v>13.5</v>
      </c>
      <c r="E1362" s="1">
        <v>13</v>
      </c>
      <c r="F1362" s="1">
        <v>0</v>
      </c>
      <c r="G1362" s="1">
        <v>0.41300912653675198</v>
      </c>
      <c r="H1362" s="1">
        <v>1.7840903610185119</v>
      </c>
      <c r="I1362" s="1">
        <v>411.37207106161077</v>
      </c>
      <c r="K1362" s="1">
        <f t="shared" si="63"/>
        <v>0.49198502223026536</v>
      </c>
      <c r="L1362" s="1">
        <f t="shared" si="64"/>
        <v>0.91081944634708534</v>
      </c>
      <c r="M1362" s="1">
        <f t="shared" si="65"/>
        <v>209.75916522096168</v>
      </c>
      <c r="N1362" s="1">
        <f>SLOPE(K1362:K1365,F1362:F1365)</f>
        <v>1.3902106918031979E-3</v>
      </c>
      <c r="O1362" s="1">
        <f>SLOPE(L1362:L1365,F1362:F1365)</f>
        <v>0</v>
      </c>
      <c r="P1362" s="1">
        <f>SLOPE(M1362:M1365,F1362:F1365)</f>
        <v>0.66378237574299315</v>
      </c>
      <c r="Q1362" s="1">
        <f>(N1362*41.35/0.31*60)/1000</f>
        <v>1.1126170085044304E-2</v>
      </c>
      <c r="R1362" s="1">
        <f>O1362*41.35/0.31*60/1000</f>
        <v>0</v>
      </c>
      <c r="S1362" s="1">
        <f>(O1362*41.35/0.31*60)/1000</f>
        <v>0</v>
      </c>
    </row>
    <row r="1363" spans="1:19" x14ac:dyDescent="0.3">
      <c r="A1363" s="1">
        <v>1479</v>
      </c>
      <c r="C1363" s="1" t="s">
        <v>15</v>
      </c>
      <c r="D1363" s="7">
        <v>13.5</v>
      </c>
      <c r="E1363" s="1">
        <v>14</v>
      </c>
      <c r="F1363" s="1">
        <v>15</v>
      </c>
      <c r="G1363" s="1">
        <v>0.47215483049671059</v>
      </c>
      <c r="H1363" s="1">
        <v>1.7592659053833606</v>
      </c>
      <c r="I1363" s="1">
        <v>484.30253760844931</v>
      </c>
      <c r="K1363" s="1">
        <f t="shared" si="63"/>
        <v>0.56244060930547135</v>
      </c>
      <c r="L1363" s="1">
        <f t="shared" si="64"/>
        <v>0.89814598684553393</v>
      </c>
      <c r="M1363" s="1">
        <f t="shared" si="65"/>
        <v>246.94650694438411</v>
      </c>
      <c r="N1363"/>
      <c r="P1363" s="1"/>
    </row>
    <row r="1364" spans="1:19" x14ac:dyDescent="0.3">
      <c r="A1364" s="1">
        <v>1480</v>
      </c>
      <c r="C1364" s="1" t="s">
        <v>15</v>
      </c>
      <c r="D1364" s="7">
        <v>13.5</v>
      </c>
      <c r="E1364" s="1">
        <v>15</v>
      </c>
      <c r="F1364" s="1">
        <v>30</v>
      </c>
      <c r="G1364" s="1">
        <v>0.46699627401513372</v>
      </c>
      <c r="H1364" s="1">
        <v>1.7711816440882331</v>
      </c>
      <c r="I1364" s="1">
        <v>475.47274978510671</v>
      </c>
      <c r="K1364" s="1">
        <f t="shared" si="63"/>
        <v>0.55629563002487714</v>
      </c>
      <c r="L1364" s="1">
        <f t="shared" si="64"/>
        <v>0.90422924740627852</v>
      </c>
      <c r="M1364" s="1">
        <f t="shared" si="65"/>
        <v>242.44418640978182</v>
      </c>
      <c r="N1364"/>
      <c r="P1364" s="1"/>
    </row>
    <row r="1365" spans="1:19" x14ac:dyDescent="0.3">
      <c r="A1365" s="1">
        <v>1481</v>
      </c>
      <c r="C1365" s="1" t="s">
        <v>15</v>
      </c>
      <c r="D1365" s="7">
        <v>13.5</v>
      </c>
      <c r="E1365" s="1">
        <v>16</v>
      </c>
      <c r="F1365" s="1">
        <v>45</v>
      </c>
      <c r="G1365" s="1">
        <v>0.47308100138901876</v>
      </c>
      <c r="H1365" s="1">
        <v>1.7801184481168877</v>
      </c>
      <c r="I1365" s="1">
        <v>479.40463032919348</v>
      </c>
      <c r="K1365" s="1">
        <f t="shared" si="63"/>
        <v>0.56354388324728999</v>
      </c>
      <c r="L1365" s="1">
        <f t="shared" si="64"/>
        <v>0.90879169282683714</v>
      </c>
      <c r="M1365" s="1">
        <f t="shared" si="65"/>
        <v>244.44905751964544</v>
      </c>
      <c r="N1365"/>
      <c r="P1365" s="1"/>
    </row>
    <row r="1366" spans="1:19" x14ac:dyDescent="0.3">
      <c r="A1366" s="1">
        <v>1482</v>
      </c>
      <c r="C1366" s="1" t="s">
        <v>15</v>
      </c>
      <c r="D1366" s="7">
        <v>13.5</v>
      </c>
      <c r="E1366" s="1">
        <v>17</v>
      </c>
      <c r="F1366" s="1">
        <v>0</v>
      </c>
      <c r="G1366" s="1">
        <v>0.40751671775678494</v>
      </c>
      <c r="H1366" s="1">
        <v>1.750329101354706</v>
      </c>
      <c r="I1366" s="1">
        <v>408.68742712952792</v>
      </c>
      <c r="K1366" s="1">
        <f t="shared" si="63"/>
        <v>0.48544235117994577</v>
      </c>
      <c r="L1366" s="1">
        <f t="shared" si="64"/>
        <v>0.89358354142497542</v>
      </c>
      <c r="M1366" s="1">
        <f t="shared" si="65"/>
        <v>208.39026171553905</v>
      </c>
      <c r="N1366" s="1">
        <f>SLOPE(K1366:K1369,F1366:F1369)</f>
        <v>1.3293168122237519E-3</v>
      </c>
      <c r="O1366" s="1">
        <f>SLOPE(L1366:L1369,F1366:F1369)</f>
        <v>3.9203234724799176E-4</v>
      </c>
      <c r="P1366" s="1">
        <f>SLOPE(M1366:M1369,F1366:F1369)</f>
        <v>0.45264250650544413</v>
      </c>
      <c r="Q1366" s="1">
        <f>(N1366*41.35/0.31*60)/1000</f>
        <v>1.0638822616539124E-2</v>
      </c>
      <c r="R1366" s="1">
        <f>O1366*41.35/0.31*60/1000</f>
        <v>3.1375233984589274E-3</v>
      </c>
      <c r="S1366" s="1">
        <f>(O1366*41.35/0.31*60)/1000</f>
        <v>3.1375233984589274E-3</v>
      </c>
    </row>
    <row r="1367" spans="1:19" x14ac:dyDescent="0.3">
      <c r="A1367" s="1">
        <v>1483</v>
      </c>
      <c r="C1367" s="1" t="s">
        <v>15</v>
      </c>
      <c r="D1367" s="7">
        <v>13.5</v>
      </c>
      <c r="E1367" s="1">
        <v>18</v>
      </c>
      <c r="F1367" s="1">
        <v>15</v>
      </c>
      <c r="G1367" s="1">
        <v>0.45910228257255364</v>
      </c>
      <c r="H1367" s="1">
        <v>1.7979920561741969</v>
      </c>
      <c r="I1367" s="1">
        <v>461.6803157180571</v>
      </c>
      <c r="K1367" s="1">
        <f t="shared" si="63"/>
        <v>0.54689214398588848</v>
      </c>
      <c r="L1367" s="1">
        <f t="shared" si="64"/>
        <v>0.91791658366795426</v>
      </c>
      <c r="M1367" s="1">
        <f t="shared" si="65"/>
        <v>235.41140596651206</v>
      </c>
      <c r="N1367"/>
      <c r="P1367" s="1"/>
    </row>
    <row r="1368" spans="1:19" x14ac:dyDescent="0.3">
      <c r="A1368" s="1">
        <v>1484</v>
      </c>
      <c r="C1368" s="1" t="s">
        <v>15</v>
      </c>
      <c r="D1368" s="7">
        <v>13.5</v>
      </c>
      <c r="E1368" s="1">
        <v>19</v>
      </c>
      <c r="F1368" s="1">
        <v>30</v>
      </c>
      <c r="G1368" s="1">
        <v>0.45083136111566213</v>
      </c>
      <c r="H1368" s="1">
        <v>1.7940201432725726</v>
      </c>
      <c r="I1368" s="1">
        <v>453.01237530584234</v>
      </c>
      <c r="K1368" s="1">
        <f t="shared" si="63"/>
        <v>0.53703965111011309</v>
      </c>
      <c r="L1368" s="1">
        <f t="shared" si="64"/>
        <v>0.91588883014770606</v>
      </c>
      <c r="M1368" s="1">
        <f t="shared" si="65"/>
        <v>230.99161164173177</v>
      </c>
      <c r="N1368"/>
      <c r="P1368" s="1"/>
    </row>
    <row r="1369" spans="1:19" x14ac:dyDescent="0.3">
      <c r="A1369" s="1">
        <v>1485</v>
      </c>
      <c r="C1369" s="1" t="s">
        <v>15</v>
      </c>
      <c r="D1369" s="7">
        <v>13.5</v>
      </c>
      <c r="E1369" s="1">
        <v>20</v>
      </c>
      <c r="F1369" s="1">
        <v>45</v>
      </c>
      <c r="G1369" s="1">
        <v>0.46607010312282554</v>
      </c>
      <c r="H1369" s="1">
        <v>1.7900482303709482</v>
      </c>
      <c r="I1369" s="1">
        <v>455.96204437364707</v>
      </c>
      <c r="K1369" s="1">
        <f t="shared" si="63"/>
        <v>0.5551923560830585</v>
      </c>
      <c r="L1369" s="1">
        <f t="shared" si="64"/>
        <v>0.91386107662745775</v>
      </c>
      <c r="M1369" s="1">
        <f t="shared" si="65"/>
        <v>232.49565181573803</v>
      </c>
      <c r="N1369"/>
      <c r="P1369" s="1"/>
    </row>
    <row r="1370" spans="1:19" x14ac:dyDescent="0.3">
      <c r="A1370" s="1">
        <v>1486</v>
      </c>
      <c r="C1370" s="1" t="s">
        <v>15</v>
      </c>
      <c r="D1370" s="7">
        <v>13.5</v>
      </c>
      <c r="E1370" s="1">
        <v>21</v>
      </c>
      <c r="F1370" s="1">
        <v>0</v>
      </c>
      <c r="G1370" s="1">
        <v>0.4026381664286966</v>
      </c>
      <c r="H1370" s="1">
        <v>1.8089148166536633</v>
      </c>
      <c r="I1370" s="1">
        <v>407.92775584354666</v>
      </c>
      <c r="K1370" s="1">
        <f t="shared" si="63"/>
        <v>0.47963091983525014</v>
      </c>
      <c r="L1370" s="1">
        <f t="shared" si="64"/>
        <v>0.92349290584863664</v>
      </c>
      <c r="M1370" s="1">
        <f t="shared" si="65"/>
        <v>208.00290431818692</v>
      </c>
      <c r="N1370" s="1">
        <f>SLOPE(K1370:K1373,F1370:F1373)</f>
        <v>1.2178775915889118E-4</v>
      </c>
      <c r="O1370" s="1">
        <f>SLOPE(L1370:L1373,F1370:F1373)</f>
        <v>-2.2981206562813292E-4</v>
      </c>
      <c r="P1370" s="1">
        <f>SLOPE(M1370:M1373,F1370:F1373)</f>
        <v>0.31647769889119765</v>
      </c>
      <c r="Q1370" s="1">
        <f>(N1370*41.35/0.31*60)/1000</f>
        <v>9.746949370103516E-4</v>
      </c>
      <c r="R1370" s="1">
        <f>O1370*41.35/0.31*60/1000</f>
        <v>-1.8392378542690254E-3</v>
      </c>
      <c r="S1370" s="1">
        <f>(O1370*41.35/0.31*60)/1000</f>
        <v>-1.8392378542690254E-3</v>
      </c>
    </row>
    <row r="1371" spans="1:19" x14ac:dyDescent="0.3">
      <c r="A1371" s="1">
        <v>1487</v>
      </c>
      <c r="C1371" s="1" t="s">
        <v>15</v>
      </c>
      <c r="D1371" s="7">
        <v>13.5</v>
      </c>
      <c r="E1371" s="1">
        <v>22</v>
      </c>
      <c r="F1371" s="1">
        <v>15</v>
      </c>
      <c r="G1371" s="1">
        <v>0.40931521239649959</v>
      </c>
      <c r="H1371" s="1">
        <v>1.7950131214979785</v>
      </c>
      <c r="I1371" s="1">
        <v>450.87396638631594</v>
      </c>
      <c r="K1371" s="1">
        <f t="shared" si="63"/>
        <v>0.48758475522975619</v>
      </c>
      <c r="L1371" s="1">
        <f t="shared" si="64"/>
        <v>0.91639576852776794</v>
      </c>
      <c r="M1371" s="1">
        <f t="shared" si="65"/>
        <v>229.90123409445843</v>
      </c>
      <c r="N1371"/>
      <c r="P1371" s="1"/>
    </row>
    <row r="1372" spans="1:19" x14ac:dyDescent="0.3">
      <c r="A1372" s="1">
        <v>1488</v>
      </c>
      <c r="C1372" s="1" t="s">
        <v>15</v>
      </c>
      <c r="D1372" s="7">
        <v>13.5</v>
      </c>
      <c r="E1372" s="1">
        <v>23</v>
      </c>
      <c r="F1372" s="1">
        <v>30</v>
      </c>
      <c r="G1372" s="1">
        <v>0.40710747945553249</v>
      </c>
      <c r="H1372" s="1">
        <v>1.7960060997233844</v>
      </c>
      <c r="I1372" s="1">
        <v>442.79272283943959</v>
      </c>
      <c r="K1372" s="1">
        <f t="shared" si="63"/>
        <v>0.48495485804286315</v>
      </c>
      <c r="L1372" s="1">
        <f t="shared" si="64"/>
        <v>0.91690270690782993</v>
      </c>
      <c r="M1372" s="1">
        <f t="shared" si="65"/>
        <v>225.78059728028299</v>
      </c>
      <c r="N1372"/>
      <c r="P1372" s="1"/>
    </row>
    <row r="1373" spans="1:19" x14ac:dyDescent="0.3">
      <c r="A1373" s="1">
        <v>1489</v>
      </c>
      <c r="C1373" s="1" t="s">
        <v>15</v>
      </c>
      <c r="D1373" s="7">
        <v>13.5</v>
      </c>
      <c r="E1373" s="1">
        <v>24</v>
      </c>
      <c r="F1373" s="1">
        <v>45</v>
      </c>
      <c r="G1373" s="1">
        <v>0.40848596636501444</v>
      </c>
      <c r="H1373" s="1">
        <v>1.7860763174693239</v>
      </c>
      <c r="I1373" s="1">
        <v>441.654733229947</v>
      </c>
      <c r="K1373" s="1">
        <f t="shared" si="63"/>
        <v>0.48659694018882571</v>
      </c>
      <c r="L1373" s="1">
        <f t="shared" si="64"/>
        <v>0.91183332310720933</v>
      </c>
      <c r="M1373" s="1">
        <f t="shared" si="65"/>
        <v>225.20033486747195</v>
      </c>
      <c r="N1373"/>
      <c r="P1373" s="1"/>
    </row>
    <row r="1374" spans="1:19" x14ac:dyDescent="0.3">
      <c r="A1374" s="1">
        <v>1490</v>
      </c>
      <c r="C1374" s="1" t="s">
        <v>15</v>
      </c>
      <c r="D1374" s="7">
        <v>13.5</v>
      </c>
      <c r="E1374" s="1">
        <v>25</v>
      </c>
      <c r="F1374" s="1">
        <v>0</v>
      </c>
      <c r="G1374" s="1">
        <v>0.40214277269560156</v>
      </c>
      <c r="H1374" s="1">
        <v>1.7870692956947303</v>
      </c>
      <c r="I1374" s="1">
        <v>420.3060481558669</v>
      </c>
      <c r="K1374" s="1">
        <f t="shared" si="63"/>
        <v>0.47904079656404486</v>
      </c>
      <c r="L1374" s="1">
        <f t="shared" si="64"/>
        <v>0.91234026148727165</v>
      </c>
      <c r="M1374" s="1">
        <f t="shared" si="65"/>
        <v>214.31461200313689</v>
      </c>
      <c r="N1374" s="1">
        <f>SLOPE(K1374:K1377,F1374:F1377)</f>
        <v>9.8867029204830666E-5</v>
      </c>
      <c r="O1374" s="1">
        <f>SLOPE(L1374:L1377,F1374:F1377)</f>
        <v>-1.4194274641737763E-4</v>
      </c>
      <c r="P1374" s="1">
        <f>SLOPE(M1374:M1377,F1374:F1377)</f>
        <v>1.0200617779129315</v>
      </c>
      <c r="Q1374" s="1">
        <f>(N1374*41.35/0.31*60)/1000</f>
        <v>7.9125515953930618E-4</v>
      </c>
      <c r="R1374" s="1">
        <f>O1374*41.35/0.31*60/1000</f>
        <v>-1.135999851166174E-3</v>
      </c>
      <c r="S1374" s="1">
        <f>(O1374*41.35/0.31*60)/1000</f>
        <v>-1.135999851166174E-3</v>
      </c>
    </row>
    <row r="1375" spans="1:19" x14ac:dyDescent="0.3">
      <c r="A1375" s="1">
        <v>1491</v>
      </c>
      <c r="C1375" s="1" t="s">
        <v>15</v>
      </c>
      <c r="D1375" s="7">
        <v>13.5</v>
      </c>
      <c r="E1375" s="1">
        <v>26</v>
      </c>
      <c r="F1375" s="1">
        <v>15</v>
      </c>
      <c r="G1375" s="1">
        <v>0.41041369415249301</v>
      </c>
      <c r="H1375" s="1">
        <v>1.7999780126250089</v>
      </c>
      <c r="I1375" s="1">
        <v>531.31111817052704</v>
      </c>
      <c r="K1375" s="1">
        <f t="shared" si="63"/>
        <v>0.48889328943982019</v>
      </c>
      <c r="L1375" s="1">
        <f t="shared" si="64"/>
        <v>0.91893046042807824</v>
      </c>
      <c r="M1375" s="1">
        <f t="shared" si="65"/>
        <v>270.91624458718809</v>
      </c>
      <c r="N1375"/>
      <c r="P1375" s="1"/>
    </row>
    <row r="1376" spans="1:19" x14ac:dyDescent="0.3">
      <c r="A1376" s="1">
        <v>1492</v>
      </c>
      <c r="C1376" s="1" t="s">
        <v>15</v>
      </c>
      <c r="D1376" s="7">
        <v>13.5</v>
      </c>
      <c r="E1376" s="1">
        <v>27</v>
      </c>
      <c r="F1376" s="1">
        <v>30</v>
      </c>
      <c r="G1376" s="1">
        <v>0.409229056964657</v>
      </c>
      <c r="H1376" s="1">
        <v>1.7910412085963543</v>
      </c>
      <c r="I1376" s="1">
        <v>531.4405960994294</v>
      </c>
      <c r="K1376" s="1">
        <f t="shared" si="63"/>
        <v>0.48748212509563366</v>
      </c>
      <c r="L1376" s="1">
        <f t="shared" si="64"/>
        <v>0.91436801500751974</v>
      </c>
      <c r="M1376" s="1">
        <f t="shared" si="65"/>
        <v>270.98226555504579</v>
      </c>
      <c r="N1376"/>
      <c r="P1376" s="1"/>
    </row>
    <row r="1377" spans="1:19" x14ac:dyDescent="0.3">
      <c r="A1377" s="1">
        <v>1493</v>
      </c>
      <c r="C1377" s="1" t="s">
        <v>15</v>
      </c>
      <c r="D1377" s="7">
        <v>13.5</v>
      </c>
      <c r="E1377" s="1">
        <v>28</v>
      </c>
      <c r="F1377" s="1">
        <v>45</v>
      </c>
      <c r="G1377" s="1">
        <v>0.40668747172529973</v>
      </c>
      <c r="H1377" s="1">
        <v>1.7761465352152634</v>
      </c>
      <c r="I1377" s="1">
        <v>520.28829792640238</v>
      </c>
      <c r="K1377" s="1">
        <f t="shared" si="63"/>
        <v>0.48445453613901523</v>
      </c>
      <c r="L1377" s="1">
        <f t="shared" si="64"/>
        <v>0.90676393930658894</v>
      </c>
      <c r="M1377" s="1">
        <f t="shared" si="65"/>
        <v>265.29569390949757</v>
      </c>
      <c r="N1377"/>
      <c r="P1377" s="1"/>
    </row>
    <row r="1378" spans="1:19" x14ac:dyDescent="0.3">
      <c r="A1378" s="1">
        <v>1494</v>
      </c>
      <c r="C1378" s="1" t="s">
        <v>15</v>
      </c>
      <c r="D1378" s="7">
        <v>13.5</v>
      </c>
      <c r="E1378" s="1">
        <v>29</v>
      </c>
      <c r="F1378" s="1">
        <v>0</v>
      </c>
      <c r="G1378" s="1">
        <v>0.39996734804157535</v>
      </c>
      <c r="H1378" s="1">
        <v>1.7940201432725726</v>
      </c>
      <c r="I1378" s="1">
        <v>421.3266983922918</v>
      </c>
      <c r="K1378" s="1">
        <f t="shared" si="63"/>
        <v>0.47644938567744766</v>
      </c>
      <c r="L1378" s="1">
        <f t="shared" si="64"/>
        <v>0.91588883014770606</v>
      </c>
      <c r="M1378" s="1">
        <f t="shared" si="65"/>
        <v>214.83504291382698</v>
      </c>
      <c r="N1378" s="1">
        <f>SLOPE(K1378:K1381,F1378:F1381)</f>
        <v>8.167648173928492E-5</v>
      </c>
      <c r="O1378" s="1">
        <f>SLOPE(L1378:L1381,F1378:F1381)</f>
        <v>-3.3795892004141826E-5</v>
      </c>
      <c r="P1378" s="1">
        <f>SLOPE(M1378:M1381,F1378:F1381)</f>
        <v>0.46060972434534453</v>
      </c>
      <c r="Q1378" s="1">
        <f>(N1378*41.35/0.31*60)/1000</f>
        <v>6.53675326436019E-4</v>
      </c>
      <c r="R1378" s="1">
        <f>O1378*41.35/0.31*60/1000</f>
        <v>-2.7047615503959961E-4</v>
      </c>
      <c r="S1378" s="1">
        <f>(O1378*41.35/0.31*60)/1000</f>
        <v>-2.7047615503959961E-4</v>
      </c>
    </row>
    <row r="1379" spans="1:19" x14ac:dyDescent="0.3">
      <c r="A1379" s="1">
        <v>1495</v>
      </c>
      <c r="C1379" s="1" t="s">
        <v>15</v>
      </c>
      <c r="D1379" s="7">
        <v>13.5</v>
      </c>
      <c r="E1379" s="1">
        <v>30</v>
      </c>
      <c r="F1379" s="1">
        <v>15</v>
      </c>
      <c r="G1379" s="1">
        <v>0.40465204964801782</v>
      </c>
      <c r="H1379" s="1">
        <v>1.8039499255266331</v>
      </c>
      <c r="I1379" s="1">
        <v>464.47016046737309</v>
      </c>
      <c r="K1379" s="1">
        <f t="shared" si="63"/>
        <v>0.48202989922036732</v>
      </c>
      <c r="L1379" s="1">
        <f t="shared" si="64"/>
        <v>0.92095821394832644</v>
      </c>
      <c r="M1379" s="1">
        <f t="shared" si="65"/>
        <v>236.83395150831905</v>
      </c>
      <c r="N1379"/>
      <c r="P1379" s="1"/>
    </row>
    <row r="1380" spans="1:19" x14ac:dyDescent="0.3">
      <c r="A1380" s="1">
        <v>1496</v>
      </c>
      <c r="C1380" s="1" t="s">
        <v>15</v>
      </c>
      <c r="D1380" s="7">
        <v>13.5</v>
      </c>
      <c r="E1380" s="1">
        <v>31</v>
      </c>
      <c r="F1380" s="1">
        <v>30</v>
      </c>
      <c r="G1380" s="1">
        <v>0.4050828268072309</v>
      </c>
      <c r="H1380" s="1">
        <v>1.7880622739201362</v>
      </c>
      <c r="I1380" s="1">
        <v>461.49014500998197</v>
      </c>
      <c r="K1380" s="1">
        <f t="shared" si="63"/>
        <v>0.48254304989098062</v>
      </c>
      <c r="L1380" s="1">
        <f t="shared" si="64"/>
        <v>0.91284719986733354</v>
      </c>
      <c r="M1380" s="1">
        <f t="shared" si="65"/>
        <v>235.31443766997123</v>
      </c>
      <c r="N1380"/>
      <c r="P1380" s="1"/>
    </row>
    <row r="1381" spans="1:19" x14ac:dyDescent="0.3">
      <c r="A1381" s="1">
        <v>1497</v>
      </c>
      <c r="C1381" s="1" t="s">
        <v>15</v>
      </c>
      <c r="D1381" s="7">
        <v>13.5</v>
      </c>
      <c r="E1381" s="1">
        <v>32</v>
      </c>
      <c r="F1381" s="1">
        <v>45</v>
      </c>
      <c r="G1381" s="1">
        <v>0.40325202388057524</v>
      </c>
      <c r="H1381" s="1">
        <v>1.7960060997233844</v>
      </c>
      <c r="I1381" s="1">
        <v>467.48659159226793</v>
      </c>
      <c r="K1381" s="1">
        <f t="shared" si="63"/>
        <v>0.48036215954087413</v>
      </c>
      <c r="L1381" s="1">
        <f t="shared" si="64"/>
        <v>0.91690270690782993</v>
      </c>
      <c r="M1381" s="1">
        <f t="shared" si="65"/>
        <v>238.37203374387681</v>
      </c>
      <c r="N1381"/>
      <c r="P1381" s="1"/>
    </row>
    <row r="1382" spans="1:19" x14ac:dyDescent="0.3">
      <c r="A1382" s="1">
        <v>1498</v>
      </c>
      <c r="C1382" s="1" t="s">
        <v>15</v>
      </c>
      <c r="D1382" s="7">
        <v>13.5</v>
      </c>
      <c r="E1382" s="1">
        <v>33</v>
      </c>
      <c r="F1382" s="1">
        <v>0</v>
      </c>
      <c r="G1382" s="1">
        <v>0.39848116684229024</v>
      </c>
      <c r="H1382" s="1">
        <v>1.802956947301227</v>
      </c>
      <c r="I1382" s="1">
        <v>409.81530127582499</v>
      </c>
      <c r="K1382" s="1">
        <f t="shared" si="63"/>
        <v>0.47467901586383188</v>
      </c>
      <c r="L1382" s="1">
        <f t="shared" si="64"/>
        <v>0.92045127556826445</v>
      </c>
      <c r="M1382" s="1">
        <f t="shared" si="65"/>
        <v>208.96536624023619</v>
      </c>
      <c r="N1382" s="1">
        <f>SLOPE(K1382:K1385,F1382:F1385)</f>
        <v>4.703881147288332E-5</v>
      </c>
      <c r="O1382" s="1">
        <f>SLOPE(L1382:L1385,F1382:F1385)</f>
        <v>1.6222028161985813E-4</v>
      </c>
      <c r="P1382" s="1">
        <f>SLOPE(M1382:M1385,F1382:F1385)</f>
        <v>0.12474868192220166</v>
      </c>
      <c r="Q1382" s="1">
        <f>(N1382*41.35/0.31*60)/1000</f>
        <v>3.7646222988459198E-4</v>
      </c>
      <c r="R1382" s="1">
        <f>O1382*41.35/0.31*60/1000</f>
        <v>1.2982855441898969E-3</v>
      </c>
      <c r="S1382" s="1">
        <f>(O1382*41.35/0.31*60)/1000</f>
        <v>1.2982855441898969E-3</v>
      </c>
    </row>
    <row r="1383" spans="1:19" x14ac:dyDescent="0.3">
      <c r="A1383" s="1">
        <v>1499</v>
      </c>
      <c r="C1383" s="1" t="s">
        <v>15</v>
      </c>
      <c r="D1383" s="7">
        <v>13.5</v>
      </c>
      <c r="E1383" s="1">
        <v>34</v>
      </c>
      <c r="F1383" s="1">
        <v>15</v>
      </c>
      <c r="G1383" s="1">
        <v>0.39825500883370329</v>
      </c>
      <c r="H1383" s="1">
        <v>1.7989850343996028</v>
      </c>
      <c r="I1383" s="1">
        <v>415.73385879150578</v>
      </c>
      <c r="K1383" s="1">
        <f t="shared" si="63"/>
        <v>0.47440961176175983</v>
      </c>
      <c r="L1383" s="1">
        <f t="shared" si="64"/>
        <v>0.91842352204801614</v>
      </c>
      <c r="M1383" s="1">
        <f t="shared" si="65"/>
        <v>211.98324657566499</v>
      </c>
      <c r="N1383"/>
      <c r="P1383" s="1"/>
    </row>
    <row r="1384" spans="1:19" x14ac:dyDescent="0.3">
      <c r="A1384" s="1">
        <v>1500</v>
      </c>
      <c r="C1384" s="1" t="s">
        <v>15</v>
      </c>
      <c r="D1384" s="7">
        <v>13.5</v>
      </c>
      <c r="E1384" s="1">
        <v>35</v>
      </c>
      <c r="F1384" s="1">
        <v>30</v>
      </c>
      <c r="G1384" s="1">
        <v>0.40152891524372281</v>
      </c>
      <c r="H1384" s="1">
        <v>1.8138797077806936</v>
      </c>
      <c r="I1384" s="1">
        <v>421.34490622604363</v>
      </c>
      <c r="K1384" s="1">
        <f t="shared" si="63"/>
        <v>0.4783095568584208</v>
      </c>
      <c r="L1384" s="1">
        <f t="shared" si="64"/>
        <v>0.92602759774894705</v>
      </c>
      <c r="M1384" s="1">
        <f t="shared" si="65"/>
        <v>214.84432711243193</v>
      </c>
      <c r="N1384"/>
      <c r="P1384" s="1"/>
    </row>
    <row r="1385" spans="1:19" x14ac:dyDescent="0.3">
      <c r="A1385" s="1">
        <v>1501</v>
      </c>
      <c r="C1385" s="1" t="s">
        <v>15</v>
      </c>
      <c r="D1385" s="7">
        <v>13.5</v>
      </c>
      <c r="E1385" s="1">
        <v>36</v>
      </c>
      <c r="F1385" s="1">
        <v>45</v>
      </c>
      <c r="G1385" s="1">
        <v>0.39936426001867703</v>
      </c>
      <c r="H1385" s="1">
        <v>1.8138797077806936</v>
      </c>
      <c r="I1385" s="1">
        <v>420.17758177328415</v>
      </c>
      <c r="K1385" s="1">
        <f t="shared" si="63"/>
        <v>0.47573097473858905</v>
      </c>
      <c r="L1385" s="1">
        <f t="shared" si="64"/>
        <v>0.92602759774894705</v>
      </c>
      <c r="M1385" s="1">
        <f t="shared" si="65"/>
        <v>214.24910682409063</v>
      </c>
      <c r="N1385"/>
      <c r="P1385" s="1"/>
    </row>
    <row r="1386" spans="1:19" x14ac:dyDescent="0.3">
      <c r="A1386" s="1">
        <v>1502</v>
      </c>
      <c r="C1386" s="1" t="s">
        <v>15</v>
      </c>
      <c r="D1386" s="7">
        <v>13.5</v>
      </c>
      <c r="E1386" s="1">
        <v>37</v>
      </c>
      <c r="F1386" s="1">
        <v>0</v>
      </c>
      <c r="G1386" s="1">
        <v>0.40310125187485069</v>
      </c>
      <c r="H1386" s="1">
        <v>1.8158656642315056</v>
      </c>
      <c r="I1386" s="1">
        <v>415.57706911197567</v>
      </c>
      <c r="K1386" s="1">
        <f t="shared" si="63"/>
        <v>0.48018255680615946</v>
      </c>
      <c r="L1386" s="1">
        <f t="shared" si="64"/>
        <v>0.92704147450907104</v>
      </c>
      <c r="M1386" s="1">
        <f t="shared" si="65"/>
        <v>211.90329930989992</v>
      </c>
      <c r="N1386" s="1">
        <f>SLOPE(K1386:K1389,F1386:F1389)</f>
        <v>9.3307896939850794E-5</v>
      </c>
      <c r="O1386" s="1">
        <f>SLOPE(L1386:L1389,F1386:F1389)</f>
        <v>-9.4628497611579657E-5</v>
      </c>
      <c r="P1386" s="1">
        <f>SLOPE(M1386:M1389,F1386:F1389)</f>
        <v>0.22259038085035171</v>
      </c>
      <c r="Q1386" s="1">
        <f>(N1386*41.35/0.31*60)/1000</f>
        <v>7.4676416873474137E-4</v>
      </c>
      <c r="R1386" s="1">
        <f>O1386*41.35/0.31*60/1000</f>
        <v>-7.5733323411073916E-4</v>
      </c>
      <c r="S1386" s="1">
        <f>(O1386*41.35/0.31*60)/1000</f>
        <v>-7.5733323411073916E-4</v>
      </c>
    </row>
    <row r="1387" spans="1:19" x14ac:dyDescent="0.3">
      <c r="A1387" s="1">
        <v>1503</v>
      </c>
      <c r="C1387" s="1" t="s">
        <v>15</v>
      </c>
      <c r="D1387" s="7">
        <v>13.5</v>
      </c>
      <c r="E1387" s="1">
        <v>38</v>
      </c>
      <c r="F1387" s="1">
        <v>15</v>
      </c>
      <c r="G1387" s="1">
        <v>0.40846442750705381</v>
      </c>
      <c r="H1387" s="1">
        <v>1.8039499255266331</v>
      </c>
      <c r="I1387" s="1">
        <v>431.93781928436005</v>
      </c>
      <c r="K1387" s="1">
        <f t="shared" si="63"/>
        <v>0.48657128265529509</v>
      </c>
      <c r="L1387" s="1">
        <f t="shared" si="64"/>
        <v>0.92095821394832644</v>
      </c>
      <c r="M1387" s="1">
        <f t="shared" si="65"/>
        <v>220.24566754528277</v>
      </c>
      <c r="N1387"/>
      <c r="P1387" s="1"/>
    </row>
    <row r="1388" spans="1:19" x14ac:dyDescent="0.3">
      <c r="A1388" s="1">
        <v>1504</v>
      </c>
      <c r="C1388" s="1" t="s">
        <v>15</v>
      </c>
      <c r="D1388" s="7">
        <v>13.5</v>
      </c>
      <c r="E1388" s="1">
        <v>39</v>
      </c>
      <c r="F1388" s="1">
        <v>30</v>
      </c>
      <c r="G1388" s="1">
        <v>0.40867981608666032</v>
      </c>
      <c r="H1388" s="1">
        <v>1.8178516206823179</v>
      </c>
      <c r="I1388" s="1">
        <v>437.85738834636032</v>
      </c>
      <c r="K1388" s="1">
        <f t="shared" si="63"/>
        <v>0.48682785799060169</v>
      </c>
      <c r="L1388" s="1">
        <f t="shared" si="64"/>
        <v>0.92805535126919525</v>
      </c>
      <c r="M1388" s="1">
        <f t="shared" si="65"/>
        <v>223.26406366952295</v>
      </c>
      <c r="N1388"/>
      <c r="P1388" s="1"/>
    </row>
    <row r="1389" spans="1:19" x14ac:dyDescent="0.3">
      <c r="A1389" s="1">
        <v>1505</v>
      </c>
      <c r="C1389" s="1" t="s">
        <v>15</v>
      </c>
      <c r="D1389" s="7">
        <v>13.5</v>
      </c>
      <c r="E1389" s="1">
        <v>40</v>
      </c>
      <c r="F1389" s="1">
        <v>45</v>
      </c>
      <c r="G1389" s="1">
        <v>0.40694593802082757</v>
      </c>
      <c r="H1389" s="1">
        <v>1.8019639690758211</v>
      </c>
      <c r="I1389" s="1">
        <v>435.43068872576242</v>
      </c>
      <c r="K1389" s="1">
        <f t="shared" si="63"/>
        <v>0.48476242654138313</v>
      </c>
      <c r="L1389" s="1">
        <f t="shared" si="64"/>
        <v>0.91994433718820245</v>
      </c>
      <c r="M1389" s="1">
        <f t="shared" si="65"/>
        <v>222.02668631100411</v>
      </c>
      <c r="N1389"/>
      <c r="P1389" s="1"/>
    </row>
    <row r="1390" spans="1:19" x14ac:dyDescent="0.3">
      <c r="A1390" s="1">
        <v>1506</v>
      </c>
      <c r="C1390" s="1" t="s">
        <v>15</v>
      </c>
      <c r="D1390" s="7">
        <v>13.5</v>
      </c>
      <c r="E1390" s="1">
        <v>41</v>
      </c>
      <c r="F1390" s="1">
        <v>0</v>
      </c>
      <c r="G1390" s="1">
        <v>0.40344587360222112</v>
      </c>
      <c r="H1390" s="1">
        <v>1.804942903752039</v>
      </c>
      <c r="I1390" s="1">
        <v>420.61861596860757</v>
      </c>
      <c r="K1390" s="1">
        <f t="shared" si="63"/>
        <v>0.48059307734265</v>
      </c>
      <c r="L1390" s="1">
        <f t="shared" si="64"/>
        <v>0.92146515232838844</v>
      </c>
      <c r="M1390" s="1">
        <f t="shared" si="65"/>
        <v>214.47399074585564</v>
      </c>
      <c r="N1390" s="1">
        <f>SLOPE(K1390:K1393,F1390:F1393)</f>
        <v>2.5400958195361442E-5</v>
      </c>
      <c r="O1390" s="1">
        <f>SLOPE(L1390:L1393,F1390:F1393)</f>
        <v>-2.2643247642771812E-4</v>
      </c>
      <c r="P1390" s="1">
        <f>SLOPE(M1390:M1393,F1390:F1393)</f>
        <v>1.0689654344166273</v>
      </c>
      <c r="Q1390" s="1">
        <f>(N1390*41.35/0.31*60)/1000</f>
        <v>2.032896041377153E-4</v>
      </c>
      <c r="R1390" s="1">
        <f>O1390*41.35/0.31*60/1000</f>
        <v>-1.8121902387650602E-3</v>
      </c>
      <c r="S1390" s="1">
        <f>(O1390*41.35/0.31*60)/1000</f>
        <v>-1.8121902387650602E-3</v>
      </c>
    </row>
    <row r="1391" spans="1:19" x14ac:dyDescent="0.3">
      <c r="A1391" s="1">
        <v>1507</v>
      </c>
      <c r="C1391" s="1" t="s">
        <v>15</v>
      </c>
      <c r="D1391" s="7">
        <v>13.5</v>
      </c>
      <c r="E1391" s="1">
        <v>42</v>
      </c>
      <c r="F1391" s="1">
        <v>15</v>
      </c>
      <c r="G1391" s="1">
        <v>0.40530898481581779</v>
      </c>
      <c r="H1391" s="1">
        <v>1.8079218384282574</v>
      </c>
      <c r="I1391" s="1">
        <v>488.00884332327661</v>
      </c>
      <c r="K1391" s="1">
        <f t="shared" si="63"/>
        <v>0.48281245399305256</v>
      </c>
      <c r="L1391" s="1">
        <f t="shared" si="64"/>
        <v>0.92298596746857486</v>
      </c>
      <c r="M1391" s="1">
        <f t="shared" si="65"/>
        <v>248.83635714930824</v>
      </c>
      <c r="N1391"/>
      <c r="P1391" s="1"/>
    </row>
    <row r="1392" spans="1:19" x14ac:dyDescent="0.3">
      <c r="A1392" s="1">
        <v>1508</v>
      </c>
      <c r="C1392" s="1" t="s">
        <v>15</v>
      </c>
      <c r="D1392" s="7">
        <v>13.5</v>
      </c>
      <c r="E1392" s="1">
        <v>43</v>
      </c>
      <c r="F1392" s="1">
        <v>30</v>
      </c>
      <c r="G1392" s="1">
        <v>0.40611669198934236</v>
      </c>
      <c r="H1392" s="1">
        <v>1.8039499255266331</v>
      </c>
      <c r="I1392" s="1">
        <v>506.44832118233404</v>
      </c>
      <c r="K1392" s="1">
        <f t="shared" si="63"/>
        <v>0.48377461150045253</v>
      </c>
      <c r="L1392" s="1">
        <f t="shared" si="64"/>
        <v>0.92095821394832644</v>
      </c>
      <c r="M1392" s="1">
        <f t="shared" si="65"/>
        <v>258.23867139209261</v>
      </c>
      <c r="N1392"/>
      <c r="P1392" s="1"/>
    </row>
    <row r="1393" spans="1:19" x14ac:dyDescent="0.3">
      <c r="A1393" s="1">
        <v>1509</v>
      </c>
      <c r="C1393" s="1" t="s">
        <v>15</v>
      </c>
      <c r="D1393" s="7">
        <v>13.5</v>
      </c>
      <c r="E1393" s="1">
        <v>44</v>
      </c>
      <c r="F1393" s="1">
        <v>45</v>
      </c>
      <c r="G1393" s="1">
        <v>0.40424281134676543</v>
      </c>
      <c r="H1393" s="1">
        <v>1.7840903610185119</v>
      </c>
      <c r="I1393" s="1">
        <v>519.29293634796625</v>
      </c>
      <c r="K1393" s="1">
        <f t="shared" si="63"/>
        <v>0.48154240608328475</v>
      </c>
      <c r="L1393" s="1">
        <f t="shared" si="64"/>
        <v>0.91081944634708534</v>
      </c>
      <c r="M1393" s="1">
        <f t="shared" si="65"/>
        <v>264.78815771909223</v>
      </c>
      <c r="N1393"/>
      <c r="P1393" s="1"/>
    </row>
    <row r="1394" spans="1:19" x14ac:dyDescent="0.3">
      <c r="A1394" s="1">
        <v>1510</v>
      </c>
      <c r="C1394" s="1" t="s">
        <v>15</v>
      </c>
      <c r="D1394" s="7">
        <v>13.5</v>
      </c>
      <c r="E1394" s="1">
        <v>45</v>
      </c>
      <c r="F1394" s="1">
        <v>0</v>
      </c>
      <c r="G1394" s="1">
        <v>0.40842134979113243</v>
      </c>
      <c r="H1394" s="1">
        <v>1.8327462940634087</v>
      </c>
      <c r="I1394" s="1">
        <v>412.65976952639653</v>
      </c>
      <c r="K1394" s="1">
        <f t="shared" si="63"/>
        <v>0.48651996758823363</v>
      </c>
      <c r="L1394" s="1">
        <f t="shared" si="64"/>
        <v>0.93565942697012616</v>
      </c>
      <c r="M1394" s="1">
        <f t="shared" si="65"/>
        <v>210.41576437785807</v>
      </c>
      <c r="N1394" s="1">
        <f>SLOPE(K1394:K1397,F1394:F1397)</f>
        <v>2.0143729574925101E-3</v>
      </c>
      <c r="O1394" s="1">
        <f>SLOPE(L1394:L1397,F1394:F1397)</f>
        <v>-4.1906906085129888E-4</v>
      </c>
      <c r="P1394" s="1">
        <f>SLOPE(M1394:M1397,F1394:F1397)</f>
        <v>1.4036436011656543</v>
      </c>
      <c r="Q1394" s="1">
        <f>(N1394*41.35/0.31*60)/1000</f>
        <v>1.6121481637222317E-2</v>
      </c>
      <c r="R1394" s="1">
        <f>O1394*41.35/0.31*60/1000</f>
        <v>-3.3539043224905568E-3</v>
      </c>
      <c r="S1394" s="1">
        <f>(O1394*41.35/0.31*60)/1000</f>
        <v>-3.3539043224905568E-3</v>
      </c>
    </row>
    <row r="1395" spans="1:19" x14ac:dyDescent="0.3">
      <c r="A1395" s="1">
        <v>1511</v>
      </c>
      <c r="C1395" s="1" t="s">
        <v>15</v>
      </c>
      <c r="D1395" s="7">
        <v>13.5</v>
      </c>
      <c r="E1395" s="1">
        <v>46</v>
      </c>
      <c r="F1395" s="1">
        <v>15</v>
      </c>
      <c r="G1395" s="1">
        <v>0.47136866218114665</v>
      </c>
      <c r="H1395" s="1">
        <v>1.7880622739201362</v>
      </c>
      <c r="I1395" s="1">
        <v>517.70683171891358</v>
      </c>
      <c r="K1395" s="1">
        <f t="shared" si="63"/>
        <v>0.56150410933160211</v>
      </c>
      <c r="L1395" s="1">
        <f t="shared" si="64"/>
        <v>0.91284719986733354</v>
      </c>
      <c r="M1395" s="1">
        <f t="shared" si="65"/>
        <v>263.97940086283643</v>
      </c>
      <c r="N1395"/>
      <c r="P1395" s="1"/>
    </row>
    <row r="1396" spans="1:19" x14ac:dyDescent="0.3">
      <c r="A1396" s="1">
        <v>1512</v>
      </c>
      <c r="C1396" s="1" t="s">
        <v>15</v>
      </c>
      <c r="D1396" s="7">
        <v>13.5</v>
      </c>
      <c r="E1396" s="1">
        <v>47</v>
      </c>
      <c r="F1396" s="1">
        <v>30</v>
      </c>
      <c r="G1396" s="1">
        <v>0.47996266650744801</v>
      </c>
      <c r="H1396" s="1">
        <v>1.7870692956947303</v>
      </c>
      <c r="I1396" s="1">
        <v>536.57823985641835</v>
      </c>
      <c r="K1396" s="1">
        <f t="shared" si="63"/>
        <v>0.57174146521033753</v>
      </c>
      <c r="L1396" s="1">
        <f t="shared" si="64"/>
        <v>0.91234026148727165</v>
      </c>
      <c r="M1396" s="1">
        <f t="shared" si="65"/>
        <v>273.60195692808333</v>
      </c>
      <c r="N1396"/>
      <c r="P1396" s="1"/>
    </row>
    <row r="1397" spans="1:19" x14ac:dyDescent="0.3">
      <c r="A1397" s="1">
        <v>1513</v>
      </c>
      <c r="C1397" s="1" t="s">
        <v>15</v>
      </c>
      <c r="D1397" s="7">
        <v>13.5</v>
      </c>
      <c r="E1397" s="1">
        <v>48</v>
      </c>
      <c r="F1397" s="1">
        <v>45</v>
      </c>
      <c r="G1397" s="1">
        <v>0.49010746860691651</v>
      </c>
      <c r="H1397" s="1">
        <v>1.7920341868217606</v>
      </c>
      <c r="I1397" s="1">
        <v>544.00804757350522</v>
      </c>
      <c r="K1397" s="1">
        <f t="shared" si="63"/>
        <v>0.58382616350328065</v>
      </c>
      <c r="L1397" s="1">
        <f t="shared" si="64"/>
        <v>0.91487495338758185</v>
      </c>
      <c r="M1397" s="1">
        <f t="shared" si="65"/>
        <v>277.39042574772515</v>
      </c>
      <c r="N1397"/>
      <c r="P1397" s="1"/>
    </row>
    <row r="1398" spans="1:19" x14ac:dyDescent="0.3">
      <c r="A1398" s="1">
        <v>1514</v>
      </c>
      <c r="C1398" s="1" t="s">
        <v>15</v>
      </c>
      <c r="D1398" s="7">
        <v>13.5</v>
      </c>
      <c r="E1398" s="1">
        <v>49</v>
      </c>
      <c r="F1398" s="1">
        <v>0</v>
      </c>
      <c r="G1398" s="1">
        <v>0.46045923062407496</v>
      </c>
      <c r="H1398" s="1">
        <v>1.8079218384282574</v>
      </c>
      <c r="I1398" s="1">
        <v>461.223096781621</v>
      </c>
      <c r="K1398" s="1">
        <f t="shared" si="63"/>
        <v>0.54850856859832031</v>
      </c>
      <c r="L1398" s="1">
        <f t="shared" si="64"/>
        <v>0.92298596746857486</v>
      </c>
      <c r="M1398" s="1">
        <f t="shared" si="65"/>
        <v>235.17826942376485</v>
      </c>
      <c r="N1398" s="1">
        <f>SLOPE(K1398:K1401,F1398:F1401)</f>
        <v>6.7993319107379924E-3</v>
      </c>
      <c r="O1398" s="1">
        <f>SLOPE(L1398:L1401,F1398:F1401)</f>
        <v>-2.1967329802689229E-4</v>
      </c>
      <c r="P1398" s="1">
        <f>SLOPE(M1398:M1401,F1398:F1401)</f>
        <v>2.0926342954171973</v>
      </c>
      <c r="Q1398" s="1">
        <f>(N1398*41.35/0.31*60)/1000</f>
        <v>5.4416588614648251E-2</v>
      </c>
      <c r="R1398" s="1">
        <f>O1398*41.35/0.31*60/1000</f>
        <v>-1.7580950077571607E-3</v>
      </c>
      <c r="S1398" s="1">
        <f>(O1398*41.35/0.31*60)/1000</f>
        <v>-1.7580950077571607E-3</v>
      </c>
    </row>
    <row r="1399" spans="1:19" x14ac:dyDescent="0.3">
      <c r="A1399" s="1">
        <v>1515</v>
      </c>
      <c r="C1399" s="1" t="s">
        <v>15</v>
      </c>
      <c r="D1399" s="7">
        <v>13.5</v>
      </c>
      <c r="E1399" s="1">
        <v>50</v>
      </c>
      <c r="F1399" s="1">
        <v>15</v>
      </c>
      <c r="G1399" s="1">
        <v>0.5458931107250129</v>
      </c>
      <c r="H1399" s="1">
        <v>1.7940201432725726</v>
      </c>
      <c r="I1399" s="1">
        <v>537.75567977237336</v>
      </c>
      <c r="K1399" s="1">
        <f t="shared" si="63"/>
        <v>0.65027917534770296</v>
      </c>
      <c r="L1399" s="1">
        <f t="shared" si="64"/>
        <v>0.91588883014770606</v>
      </c>
      <c r="M1399" s="1">
        <f t="shared" si="65"/>
        <v>274.20233510453852</v>
      </c>
      <c r="N1399"/>
      <c r="P1399" s="1"/>
    </row>
    <row r="1400" spans="1:19" x14ac:dyDescent="0.3">
      <c r="A1400" s="1">
        <v>1516</v>
      </c>
      <c r="C1400" s="1" t="s">
        <v>15</v>
      </c>
      <c r="D1400" s="7">
        <v>13.5</v>
      </c>
      <c r="E1400" s="1">
        <v>51</v>
      </c>
      <c r="F1400" s="1">
        <v>30</v>
      </c>
      <c r="G1400" s="1">
        <v>0.64450877189787192</v>
      </c>
      <c r="H1400" s="1">
        <v>1.7920341868217606</v>
      </c>
      <c r="I1400" s="1">
        <v>609.74844288099007</v>
      </c>
      <c r="K1400" s="1">
        <f t="shared" si="63"/>
        <v>0.76775219261785277</v>
      </c>
      <c r="L1400" s="1">
        <f t="shared" si="64"/>
        <v>0.91487495338758185</v>
      </c>
      <c r="M1400" s="1">
        <f t="shared" si="65"/>
        <v>310.91154059980465</v>
      </c>
      <c r="N1400"/>
      <c r="P1400" s="1"/>
    </row>
    <row r="1401" spans="1:19" x14ac:dyDescent="0.3">
      <c r="A1401" s="1">
        <v>1517</v>
      </c>
      <c r="C1401" s="1" t="s">
        <v>15</v>
      </c>
      <c r="D1401" s="7">
        <v>13.5</v>
      </c>
      <c r="E1401" s="1">
        <v>52</v>
      </c>
      <c r="F1401" s="1">
        <v>45</v>
      </c>
      <c r="G1401" s="1">
        <v>0.71298080135479402</v>
      </c>
      <c r="H1401" s="1">
        <v>1.7870692956947303</v>
      </c>
      <c r="I1401" s="1">
        <v>642.42543518769855</v>
      </c>
      <c r="K1401" s="1">
        <f t="shared" si="63"/>
        <v>0.84931749171183668</v>
      </c>
      <c r="L1401" s="1">
        <f t="shared" si="64"/>
        <v>0.91234026148727165</v>
      </c>
      <c r="M1401" s="1">
        <f t="shared" si="65"/>
        <v>327.57358236286933</v>
      </c>
      <c r="N1401"/>
      <c r="P1401" s="1"/>
    </row>
    <row r="1402" spans="1:19" x14ac:dyDescent="0.3">
      <c r="A1402" s="1">
        <v>1518</v>
      </c>
      <c r="C1402" s="1" t="s">
        <v>15</v>
      </c>
      <c r="D1402" s="7">
        <v>13.5</v>
      </c>
      <c r="E1402" s="1">
        <v>53</v>
      </c>
      <c r="F1402" s="1">
        <v>0</v>
      </c>
      <c r="G1402" s="1">
        <v>0.40863673837073894</v>
      </c>
      <c r="H1402" s="1">
        <v>1.8248024682601602</v>
      </c>
      <c r="I1402" s="1">
        <v>408.55187992270839</v>
      </c>
      <c r="K1402" s="1">
        <f t="shared" si="63"/>
        <v>0.48677654292354028</v>
      </c>
      <c r="L1402" s="1">
        <f t="shared" si="64"/>
        <v>0.93160391992962965</v>
      </c>
      <c r="M1402" s="1">
        <f t="shared" si="65"/>
        <v>208.32114601481311</v>
      </c>
      <c r="N1402" s="1">
        <f>SLOPE(K1402:K1405,F1402:F1405)</f>
        <v>5.5447640462002457E-3</v>
      </c>
      <c r="O1402" s="1">
        <f>SLOPE(L1402:L1405,F1402:F1405)</f>
        <v>-4.021711148492287E-4</v>
      </c>
      <c r="P1402" s="1">
        <f>SLOPE(M1402:M1405,F1402:F1405)</f>
        <v>1.4286903058466343</v>
      </c>
      <c r="Q1402" s="1">
        <f>(N1402*41.35/0.31*60)/1000</f>
        <v>4.437599870523487E-2</v>
      </c>
      <c r="R1402" s="1">
        <f>O1402*41.35/0.31*60/1000</f>
        <v>-3.2186662449707627E-3</v>
      </c>
      <c r="S1402" s="1">
        <f>(O1402*41.35/0.31*60)/1000</f>
        <v>-3.2186662449707627E-3</v>
      </c>
    </row>
    <row r="1403" spans="1:19" x14ac:dyDescent="0.3">
      <c r="A1403" s="1">
        <v>1519</v>
      </c>
      <c r="C1403" s="1" t="s">
        <v>15</v>
      </c>
      <c r="D1403" s="7">
        <v>13.5</v>
      </c>
      <c r="E1403" s="1">
        <v>54</v>
      </c>
      <c r="F1403" s="1">
        <v>15</v>
      </c>
      <c r="G1403" s="1">
        <v>0.5124217254541551</v>
      </c>
      <c r="H1403" s="1">
        <v>1.7999780126250089</v>
      </c>
      <c r="I1403" s="1">
        <v>470.69521651787721</v>
      </c>
      <c r="K1403" s="1">
        <f t="shared" si="63"/>
        <v>0.61040736824104957</v>
      </c>
      <c r="L1403" s="1">
        <f t="shared" si="64"/>
        <v>0.91893046042807824</v>
      </c>
      <c r="M1403" s="1">
        <f t="shared" si="65"/>
        <v>240.00811585359827</v>
      </c>
      <c r="N1403"/>
      <c r="P1403" s="1"/>
    </row>
    <row r="1404" spans="1:19" x14ac:dyDescent="0.3">
      <c r="A1404" s="1">
        <v>1520</v>
      </c>
      <c r="C1404" s="1" t="s">
        <v>15</v>
      </c>
      <c r="D1404" s="7">
        <v>13.5</v>
      </c>
      <c r="E1404" s="1">
        <v>55</v>
      </c>
      <c r="F1404" s="1">
        <v>30</v>
      </c>
      <c r="G1404" s="1">
        <v>0.57676906361161195</v>
      </c>
      <c r="H1404" s="1">
        <v>1.8099077948790694</v>
      </c>
      <c r="I1404" s="1">
        <v>511.18842723574028</v>
      </c>
      <c r="K1404" s="1">
        <f t="shared" si="63"/>
        <v>0.68705924966391141</v>
      </c>
      <c r="L1404" s="1">
        <f t="shared" si="64"/>
        <v>0.92399984422869885</v>
      </c>
      <c r="M1404" s="1">
        <f t="shared" si="65"/>
        <v>260.65565776225486</v>
      </c>
      <c r="N1404"/>
      <c r="P1404" s="1"/>
    </row>
    <row r="1405" spans="1:19" x14ac:dyDescent="0.3">
      <c r="A1405" s="1">
        <v>1521</v>
      </c>
      <c r="C1405" s="1" t="s">
        <v>15</v>
      </c>
      <c r="D1405" s="7">
        <v>13.5</v>
      </c>
      <c r="E1405" s="1">
        <v>56</v>
      </c>
      <c r="F1405" s="1">
        <v>45</v>
      </c>
      <c r="G1405" s="1">
        <v>0.61992216553578416</v>
      </c>
      <c r="H1405" s="1">
        <v>1.7821044045676999</v>
      </c>
      <c r="I1405" s="1">
        <v>535.14892490689567</v>
      </c>
      <c r="K1405" s="1">
        <f t="shared" si="63"/>
        <v>0.7384641180925986</v>
      </c>
      <c r="L1405" s="1">
        <f t="shared" si="64"/>
        <v>0.90980556958696135</v>
      </c>
      <c r="M1405" s="1">
        <f t="shared" si="65"/>
        <v>272.87314733759263</v>
      </c>
      <c r="N1405"/>
      <c r="P1405" s="1"/>
    </row>
    <row r="1406" spans="1:19" x14ac:dyDescent="0.3">
      <c r="A1406" s="1">
        <v>1522</v>
      </c>
      <c r="C1406" s="1" t="s">
        <v>15</v>
      </c>
      <c r="D1406" s="7">
        <v>13.5</v>
      </c>
      <c r="E1406" s="1">
        <v>57</v>
      </c>
      <c r="F1406" s="1">
        <v>0</v>
      </c>
      <c r="G1406" s="1">
        <v>0.41128601789989955</v>
      </c>
      <c r="H1406" s="1">
        <v>1.8307603376125965</v>
      </c>
      <c r="I1406" s="1">
        <v>426.05466588986343</v>
      </c>
      <c r="K1406" s="1">
        <f t="shared" si="63"/>
        <v>0.48993241954781214</v>
      </c>
      <c r="L1406" s="1">
        <f t="shared" si="64"/>
        <v>0.93464555021000206</v>
      </c>
      <c r="M1406" s="1">
        <f t="shared" si="65"/>
        <v>217.24583981825253</v>
      </c>
      <c r="N1406" s="1">
        <f>SLOPE(K1406:K1409,F1406:F1409)</f>
        <v>7.6408134854320526E-4</v>
      </c>
      <c r="O1406" s="1">
        <f>SLOPE(L1406:L1409,F1406:F1409)</f>
        <v>-1.7235904922109581E-4</v>
      </c>
      <c r="P1406" s="1">
        <f>SLOPE(M1406:M1409,F1406:F1409)</f>
        <v>0.50203444308392065</v>
      </c>
      <c r="Q1406" s="1">
        <f>(N1406*41.35/0.31*60)/1000</f>
        <v>6.1151155668893306E-3</v>
      </c>
      <c r="R1406" s="1">
        <f>O1406*41.35/0.31*60/1000</f>
        <v>-1.3794283907017379E-3</v>
      </c>
      <c r="S1406" s="1">
        <f>(O1406*41.35/0.31*60)/1000</f>
        <v>-1.3794283907017379E-3</v>
      </c>
    </row>
    <row r="1407" spans="1:19" x14ac:dyDescent="0.3">
      <c r="A1407" s="1">
        <v>1523</v>
      </c>
      <c r="C1407" s="1" t="s">
        <v>15</v>
      </c>
      <c r="D1407" s="7">
        <v>13.5</v>
      </c>
      <c r="E1407" s="1">
        <v>58</v>
      </c>
      <c r="F1407" s="1">
        <v>15</v>
      </c>
      <c r="G1407" s="1">
        <v>0.42188313601654176</v>
      </c>
      <c r="H1407" s="1">
        <v>1.804942903752039</v>
      </c>
      <c r="I1407" s="1">
        <v>434.0752166575669</v>
      </c>
      <c r="K1407" s="1">
        <f t="shared" si="63"/>
        <v>0.50255592604489918</v>
      </c>
      <c r="L1407" s="1">
        <f t="shared" si="64"/>
        <v>0.92146515232838844</v>
      </c>
      <c r="M1407" s="1">
        <f t="shared" si="65"/>
        <v>221.33552930374475</v>
      </c>
      <c r="N1407"/>
      <c r="P1407" s="1"/>
    </row>
    <row r="1408" spans="1:19" x14ac:dyDescent="0.3">
      <c r="A1408" s="1">
        <v>1524</v>
      </c>
      <c r="C1408" s="1" t="s">
        <v>15</v>
      </c>
      <c r="D1408" s="7">
        <v>13.5</v>
      </c>
      <c r="E1408" s="1">
        <v>59</v>
      </c>
      <c r="F1408" s="1">
        <v>30</v>
      </c>
      <c r="G1408" s="1">
        <v>0.43538799995787253</v>
      </c>
      <c r="H1408" s="1">
        <v>1.8257954464855661</v>
      </c>
      <c r="I1408" s="1">
        <v>459.64710761576379</v>
      </c>
      <c r="K1408" s="1">
        <f t="shared" si="63"/>
        <v>0.51864319956862626</v>
      </c>
      <c r="L1408" s="1">
        <f t="shared" si="64"/>
        <v>0.93211085830969165</v>
      </c>
      <c r="M1408" s="1">
        <f t="shared" si="65"/>
        <v>234.374670455623</v>
      </c>
      <c r="N1408"/>
      <c r="P1408" s="1"/>
    </row>
    <row r="1409" spans="1:19" x14ac:dyDescent="0.3">
      <c r="A1409" s="1">
        <v>1525</v>
      </c>
      <c r="C1409" s="1" t="s">
        <v>15</v>
      </c>
      <c r="D1409" s="7">
        <v>13.5</v>
      </c>
      <c r="E1409" s="1">
        <v>60</v>
      </c>
      <c r="F1409" s="1">
        <v>45</v>
      </c>
      <c r="G1409" s="1">
        <v>0.43885575608953797</v>
      </c>
      <c r="H1409" s="1">
        <v>1.8069288602028515</v>
      </c>
      <c r="I1409" s="1">
        <v>466.75928978851226</v>
      </c>
      <c r="K1409" s="1">
        <f t="shared" si="63"/>
        <v>0.52277406246706337</v>
      </c>
      <c r="L1409" s="1">
        <f t="shared" si="64"/>
        <v>0.92247902908851287</v>
      </c>
      <c r="M1409" s="1">
        <f t="shared" si="65"/>
        <v>238.00118158848915</v>
      </c>
      <c r="N1409"/>
      <c r="P1409" s="1"/>
    </row>
    <row r="1410" spans="1:19" x14ac:dyDescent="0.3">
      <c r="A1410" s="1">
        <v>1526</v>
      </c>
      <c r="C1410" s="1" t="s">
        <v>15</v>
      </c>
      <c r="D1410" s="7">
        <v>13.5</v>
      </c>
      <c r="E1410" s="1">
        <v>61</v>
      </c>
      <c r="F1410" s="1">
        <v>0</v>
      </c>
      <c r="G1410" s="1">
        <v>0.40192738411599499</v>
      </c>
      <c r="H1410" s="1">
        <v>1.8287743811617845</v>
      </c>
      <c r="I1410" s="1">
        <v>427.24323281533339</v>
      </c>
      <c r="K1410" s="1">
        <f t="shared" si="63"/>
        <v>0.4787842212287382</v>
      </c>
      <c r="L1410" s="1">
        <f t="shared" si="64"/>
        <v>0.93363167344987796</v>
      </c>
      <c r="M1410" s="1">
        <f t="shared" si="65"/>
        <v>217.85189167163293</v>
      </c>
      <c r="N1410" s="1">
        <f>SLOPE(K1410:K1413,F1410:F1413)</f>
        <v>8.8946116239640995E-6</v>
      </c>
      <c r="O1410" s="1">
        <f>SLOPE(L1410:L1413,F1410:F1413)</f>
        <v>-1.7573863842151649E-4</v>
      </c>
      <c r="P1410" s="1">
        <f>SLOPE(M1410:M1413,F1410:F1413)</f>
        <v>0.49318350708050901</v>
      </c>
      <c r="Q1410" s="1">
        <f>(N1410*41.35/0.31*60)/1000</f>
        <v>7.1185585287273972E-5</v>
      </c>
      <c r="R1410" s="1">
        <f>O1410*41.35/0.31*60/1000</f>
        <v>-1.4064760062057497E-3</v>
      </c>
      <c r="S1410" s="1">
        <f>(O1410*41.35/0.31*60)/1000</f>
        <v>-1.4064760062057497E-3</v>
      </c>
    </row>
    <row r="1411" spans="1:19" x14ac:dyDescent="0.3">
      <c r="A1411" s="1">
        <v>1527</v>
      </c>
      <c r="C1411" s="1" t="s">
        <v>15</v>
      </c>
      <c r="D1411" s="7">
        <v>13.5</v>
      </c>
      <c r="E1411" s="1">
        <v>62</v>
      </c>
      <c r="F1411" s="1">
        <v>15</v>
      </c>
      <c r="G1411" s="1">
        <v>0.40245508613603104</v>
      </c>
      <c r="H1411" s="1">
        <v>1.8099077948790694</v>
      </c>
      <c r="I1411" s="1">
        <v>454.34154716972967</v>
      </c>
      <c r="K1411" s="1">
        <f t="shared" ref="K1411:K1474" si="66">(G1411*28*1)/(0.082*(D1411+273.15))</f>
        <v>0.4794128308002395</v>
      </c>
      <c r="L1411" s="1">
        <f t="shared" ref="L1411:L1474" si="67">(H1411*12*1)/(0.082*(D1411+273.15))</f>
        <v>0.92399984422869885</v>
      </c>
      <c r="M1411" s="1">
        <f t="shared" ref="M1411:M1474" si="68">(I1411*12*1)/(0.0821*(D1411+273.15))</f>
        <v>231.66935813989511</v>
      </c>
      <c r="N1411"/>
      <c r="P1411" s="1"/>
    </row>
    <row r="1412" spans="1:19" x14ac:dyDescent="0.3">
      <c r="A1412" s="1">
        <v>1528</v>
      </c>
      <c r="C1412" s="1" t="s">
        <v>15</v>
      </c>
      <c r="D1412" s="7">
        <v>13.5</v>
      </c>
      <c r="E1412" s="1">
        <v>63</v>
      </c>
      <c r="F1412" s="1">
        <v>30</v>
      </c>
      <c r="G1412" s="1">
        <v>0.40092582722082454</v>
      </c>
      <c r="H1412" s="1">
        <v>1.8297673593871906</v>
      </c>
      <c r="I1412" s="1">
        <v>452.92942850763933</v>
      </c>
      <c r="K1412" s="1">
        <f t="shared" si="66"/>
        <v>0.47759114591956225</v>
      </c>
      <c r="L1412" s="1">
        <f t="shared" si="67"/>
        <v>0.93413861182993996</v>
      </c>
      <c r="M1412" s="1">
        <f t="shared" si="68"/>
        <v>230.949316959198</v>
      </c>
      <c r="N1412"/>
      <c r="P1412" s="1"/>
    </row>
    <row r="1413" spans="1:19" x14ac:dyDescent="0.3">
      <c r="A1413" s="1">
        <v>1529</v>
      </c>
      <c r="C1413" s="1" t="s">
        <v>15</v>
      </c>
      <c r="D1413" s="7">
        <v>13.5</v>
      </c>
      <c r="E1413" s="1">
        <v>64</v>
      </c>
      <c r="F1413" s="1">
        <v>45</v>
      </c>
      <c r="G1413" s="1">
        <v>0.40281047729238184</v>
      </c>
      <c r="H1413" s="1">
        <v>1.804942903752039</v>
      </c>
      <c r="I1413" s="1">
        <v>476.07461984523832</v>
      </c>
      <c r="K1413" s="1">
        <f t="shared" si="66"/>
        <v>0.47983618010349549</v>
      </c>
      <c r="L1413" s="1">
        <f t="shared" si="67"/>
        <v>0.92146515232838844</v>
      </c>
      <c r="M1413" s="1">
        <f t="shared" si="68"/>
        <v>242.75108075255741</v>
      </c>
      <c r="N1413"/>
      <c r="P1413" s="1"/>
    </row>
    <row r="1414" spans="1:19" x14ac:dyDescent="0.3">
      <c r="A1414" s="1">
        <v>1530</v>
      </c>
      <c r="C1414" s="1" t="s">
        <v>15</v>
      </c>
      <c r="D1414" s="7">
        <v>13.5</v>
      </c>
      <c r="E1414" s="1">
        <v>65</v>
      </c>
      <c r="F1414" s="1">
        <v>0</v>
      </c>
      <c r="G1414" s="1">
        <v>0.40169045667842773</v>
      </c>
      <c r="H1414" s="1">
        <v>1.8118937513298816</v>
      </c>
      <c r="I1414" s="1">
        <v>468.32010575957628</v>
      </c>
      <c r="K1414" s="1">
        <f t="shared" si="66"/>
        <v>0.47850198835990082</v>
      </c>
      <c r="L1414" s="1">
        <f t="shared" si="67"/>
        <v>0.92501372098882306</v>
      </c>
      <c r="M1414" s="1">
        <f t="shared" si="68"/>
        <v>238.79704372446017</v>
      </c>
      <c r="N1414" s="1">
        <f>SLOPE(K1414:K1417,F1414:F1417)</f>
        <v>2.8539729797276593E-4</v>
      </c>
      <c r="O1414" s="1">
        <f>SLOPE(L1414:L1417,F1414:F1417)</f>
        <v>6.0089095983355857E-3</v>
      </c>
      <c r="P1414" s="1">
        <f>SLOPE(M1414:M1417,F1414:F1417)</f>
        <v>-0.26217201423623487</v>
      </c>
      <c r="Q1414" s="1">
        <f>(N1414*41.35/0.31*60)/1000</f>
        <v>2.2840990202272009E-3</v>
      </c>
      <c r="R1414" s="1">
        <f>O1414*41.35/0.31*60/1000</f>
        <v>4.8090660366034155E-2</v>
      </c>
      <c r="S1414" s="1">
        <f>(O1414*41.35/0.31*60)/1000</f>
        <v>4.8090660366034155E-2</v>
      </c>
    </row>
    <row r="1415" spans="1:19" x14ac:dyDescent="0.3">
      <c r="A1415" s="1">
        <v>1531</v>
      </c>
      <c r="C1415" s="1" t="s">
        <v>15</v>
      </c>
      <c r="D1415" s="7">
        <v>13.5</v>
      </c>
      <c r="E1415" s="1">
        <v>66</v>
      </c>
      <c r="F1415" s="1">
        <v>15</v>
      </c>
      <c r="G1415" s="1">
        <v>0.40906751552995207</v>
      </c>
      <c r="H1415" s="1">
        <v>1.7989850343996028</v>
      </c>
      <c r="I1415" s="1">
        <v>522.38523344682733</v>
      </c>
      <c r="K1415" s="1">
        <f t="shared" si="66"/>
        <v>0.48728969359415364</v>
      </c>
      <c r="L1415" s="1">
        <f t="shared" si="67"/>
        <v>0.91842352204801614</v>
      </c>
      <c r="M1415" s="1">
        <f t="shared" si="68"/>
        <v>266.36492411550404</v>
      </c>
      <c r="N1415"/>
      <c r="P1415" s="1"/>
    </row>
    <row r="1416" spans="1:19" x14ac:dyDescent="0.3">
      <c r="A1416" s="1">
        <v>1532</v>
      </c>
      <c r="C1416" s="1" t="s">
        <v>15</v>
      </c>
      <c r="D1416" s="7">
        <v>13.5</v>
      </c>
      <c r="E1416" s="1">
        <v>67</v>
      </c>
      <c r="F1416" s="1">
        <v>30</v>
      </c>
      <c r="G1416" s="1">
        <v>0.41347221198290607</v>
      </c>
      <c r="H1416" s="1">
        <v>2.2358954535782676</v>
      </c>
      <c r="I1416" s="1">
        <v>459.88482100085776</v>
      </c>
      <c r="K1416" s="1">
        <f t="shared" si="66"/>
        <v>0.49253665920117468</v>
      </c>
      <c r="L1416" s="1">
        <f t="shared" si="67"/>
        <v>1.1414764092753213</v>
      </c>
      <c r="M1416" s="1">
        <f t="shared" si="68"/>
        <v>234.49588082629907</v>
      </c>
      <c r="N1416"/>
      <c r="P1416" s="1"/>
    </row>
    <row r="1417" spans="1:19" x14ac:dyDescent="0.3">
      <c r="A1417" s="1">
        <v>1533</v>
      </c>
      <c r="C1417" s="1" t="s">
        <v>15</v>
      </c>
      <c r="D1417" s="7">
        <v>13.5</v>
      </c>
      <c r="E1417" s="1">
        <v>68</v>
      </c>
      <c r="F1417" s="1">
        <v>45</v>
      </c>
      <c r="G1417" s="1">
        <v>0.41220141936322741</v>
      </c>
      <c r="H1417" s="1">
        <v>2.2547620398609829</v>
      </c>
      <c r="I1417" s="1">
        <v>463.44546404567001</v>
      </c>
      <c r="K1417" s="1">
        <f t="shared" si="66"/>
        <v>0.49102286472286544</v>
      </c>
      <c r="L1417" s="1">
        <f t="shared" si="67"/>
        <v>1.1511082384965006</v>
      </c>
      <c r="M1417" s="1">
        <f t="shared" si="68"/>
        <v>236.31145744238341</v>
      </c>
      <c r="N1417"/>
      <c r="P1417" s="1"/>
    </row>
    <row r="1418" spans="1:19" x14ac:dyDescent="0.3">
      <c r="A1418" s="1">
        <v>1534</v>
      </c>
      <c r="C1418" s="1" t="s">
        <v>15</v>
      </c>
      <c r="D1418" s="7">
        <v>13.5</v>
      </c>
      <c r="E1418" s="1">
        <v>69</v>
      </c>
      <c r="F1418" s="1">
        <v>0</v>
      </c>
      <c r="G1418" s="1">
        <v>0.40246585556501141</v>
      </c>
      <c r="H1418" s="1">
        <v>2.1097872189516984</v>
      </c>
      <c r="I1418" s="1">
        <v>460.84275536547062</v>
      </c>
      <c r="K1418" s="1">
        <f t="shared" si="66"/>
        <v>0.47942565956700489</v>
      </c>
      <c r="L1418" s="1">
        <f t="shared" si="67"/>
        <v>1.0770952350074401</v>
      </c>
      <c r="M1418" s="1">
        <f t="shared" si="68"/>
        <v>234.98433283068314</v>
      </c>
      <c r="N1418" s="1">
        <f>SLOPE(K1418:K1421,F1418:F1421)</f>
        <v>2.3433880624673737E-4</v>
      </c>
      <c r="O1418" s="1">
        <f>SLOPE(L1418:L1421,F1418:F1421)</f>
        <v>-3.1599159023868234E-3</v>
      </c>
      <c r="P1418" s="1">
        <f>SLOPE(M1418:M1421,F1418:F1421)</f>
        <v>0.94271752634932438</v>
      </c>
      <c r="Q1418" s="1">
        <f>(N1418*41.35/0.31*60)/1000</f>
        <v>1.875466381606953E-3</v>
      </c>
      <c r="R1418" s="1">
        <f>O1418*41.35/0.31*60/1000</f>
        <v>-2.528952049619906E-2</v>
      </c>
      <c r="S1418" s="1">
        <f>(O1418*41.35/0.31*60)/1000</f>
        <v>-2.528952049619906E-2</v>
      </c>
    </row>
    <row r="1419" spans="1:19" x14ac:dyDescent="0.3">
      <c r="A1419" s="1">
        <v>1535</v>
      </c>
      <c r="C1419" s="1" t="s">
        <v>15</v>
      </c>
      <c r="D1419" s="7">
        <v>13.5</v>
      </c>
      <c r="E1419" s="1">
        <v>70</v>
      </c>
      <c r="F1419" s="1">
        <v>15</v>
      </c>
      <c r="G1419" s="1">
        <v>0.41774767528809609</v>
      </c>
      <c r="H1419" s="1">
        <v>1.818844598907724</v>
      </c>
      <c r="I1419" s="1">
        <v>530.27529473930906</v>
      </c>
      <c r="K1419" s="1">
        <f t="shared" si="66"/>
        <v>0.49762967960701171</v>
      </c>
      <c r="L1419" s="1">
        <f t="shared" si="67"/>
        <v>0.92856228964925747</v>
      </c>
      <c r="M1419" s="1">
        <f t="shared" si="68"/>
        <v>270.38807684432726</v>
      </c>
      <c r="N1419"/>
      <c r="P1419" s="1"/>
    </row>
    <row r="1420" spans="1:19" x14ac:dyDescent="0.3">
      <c r="A1420" s="1">
        <v>1536</v>
      </c>
      <c r="C1420" s="1" t="s">
        <v>15</v>
      </c>
      <c r="D1420" s="7">
        <v>13.5</v>
      </c>
      <c r="E1420" s="1">
        <v>71</v>
      </c>
      <c r="F1420" s="1">
        <v>30</v>
      </c>
      <c r="G1420" s="1">
        <v>0.4134614425539257</v>
      </c>
      <c r="H1420" s="1">
        <v>1.8079218384282574</v>
      </c>
      <c r="I1420" s="1">
        <v>544.49257826056919</v>
      </c>
      <c r="K1420" s="1">
        <f t="shared" si="66"/>
        <v>0.49252383043440928</v>
      </c>
      <c r="L1420" s="1">
        <f t="shared" si="67"/>
        <v>0.92298596746857486</v>
      </c>
      <c r="M1420" s="1">
        <f t="shared" si="68"/>
        <v>277.63748858837982</v>
      </c>
      <c r="N1420"/>
      <c r="P1420" s="1"/>
    </row>
    <row r="1421" spans="1:19" x14ac:dyDescent="0.3">
      <c r="A1421" s="1">
        <v>1537</v>
      </c>
      <c r="C1421" s="1" t="s">
        <v>15</v>
      </c>
      <c r="D1421" s="7">
        <v>13.5</v>
      </c>
      <c r="E1421" s="1">
        <v>72</v>
      </c>
      <c r="F1421" s="1">
        <v>45</v>
      </c>
      <c r="G1421" s="1">
        <v>0.41373067827843391</v>
      </c>
      <c r="H1421" s="1">
        <v>1.8039499255266331</v>
      </c>
      <c r="I1421" s="1">
        <v>548.54483281668217</v>
      </c>
      <c r="K1421" s="1">
        <f t="shared" si="66"/>
        <v>0.49284454960354257</v>
      </c>
      <c r="L1421" s="1">
        <f t="shared" si="67"/>
        <v>0.92095821394832644</v>
      </c>
      <c r="M1421" s="1">
        <f t="shared" si="68"/>
        <v>279.70373856679851</v>
      </c>
      <c r="N1421"/>
      <c r="P1421" s="1"/>
    </row>
    <row r="1422" spans="1:19" x14ac:dyDescent="0.3">
      <c r="A1422" s="1">
        <v>1538</v>
      </c>
      <c r="C1422" s="1" t="s">
        <v>15</v>
      </c>
      <c r="D1422" s="7">
        <v>13.5</v>
      </c>
      <c r="E1422" s="1">
        <v>73</v>
      </c>
      <c r="F1422" s="1">
        <v>0</v>
      </c>
      <c r="G1422" s="1">
        <v>0.37806232949558927</v>
      </c>
      <c r="H1422" s="1">
        <v>1.8238094900347541</v>
      </c>
      <c r="I1422" s="1">
        <v>413.50946843481768</v>
      </c>
      <c r="K1422" s="1">
        <f t="shared" si="66"/>
        <v>0.45035567407676141</v>
      </c>
      <c r="L1422" s="1">
        <f t="shared" si="67"/>
        <v>0.93109698154956766</v>
      </c>
      <c r="M1422" s="1">
        <f t="shared" si="68"/>
        <v>210.84902697942366</v>
      </c>
      <c r="N1422" s="1">
        <f>SLOPE(K1422:K1425,F1422:F1425)</f>
        <v>1.69083145967082E-4</v>
      </c>
      <c r="O1422" s="1">
        <f>SLOPE(L1422:L1425,F1422:F1425)</f>
        <v>-2.027753520248258E-4</v>
      </c>
      <c r="P1422" s="1">
        <f>SLOPE(M1422:M1425,F1422:F1425)</f>
        <v>0.80692064808720065</v>
      </c>
      <c r="Q1422" s="1">
        <f>(N1422*41.35/0.31*60)/1000</f>
        <v>1.353210597239776E-3</v>
      </c>
      <c r="R1422" s="1">
        <f>O1422*41.35/0.31*60/1000</f>
        <v>-1.622856930237396E-3</v>
      </c>
      <c r="S1422" s="1">
        <f>(O1422*41.35/0.31*60)/1000</f>
        <v>-1.622856930237396E-3</v>
      </c>
    </row>
    <row r="1423" spans="1:19" x14ac:dyDescent="0.3">
      <c r="A1423" s="1">
        <v>1539</v>
      </c>
      <c r="C1423" s="1" t="s">
        <v>15</v>
      </c>
      <c r="D1423" s="7">
        <v>13.5</v>
      </c>
      <c r="E1423" s="1">
        <v>74</v>
      </c>
      <c r="F1423" s="1">
        <v>15</v>
      </c>
      <c r="G1423" s="1">
        <v>0.37898850038789739</v>
      </c>
      <c r="H1423" s="1">
        <v>1.8138797077806936</v>
      </c>
      <c r="I1423" s="1">
        <v>459.22326970787276</v>
      </c>
      <c r="K1423" s="1">
        <f t="shared" si="66"/>
        <v>0.45145894801857994</v>
      </c>
      <c r="L1423" s="1">
        <f t="shared" si="67"/>
        <v>0.92602759774894705</v>
      </c>
      <c r="M1423" s="1">
        <f t="shared" si="68"/>
        <v>234.15855494365158</v>
      </c>
      <c r="N1423"/>
      <c r="P1423" s="1"/>
    </row>
    <row r="1424" spans="1:19" x14ac:dyDescent="0.3">
      <c r="A1424" s="1">
        <v>1540</v>
      </c>
      <c r="C1424" s="1" t="s">
        <v>15</v>
      </c>
      <c r="D1424" s="7">
        <v>13.5</v>
      </c>
      <c r="E1424" s="1">
        <v>75</v>
      </c>
      <c r="F1424" s="1">
        <v>30</v>
      </c>
      <c r="G1424" s="1">
        <v>0.38406090143763166</v>
      </c>
      <c r="H1424" s="1">
        <v>1.8109007731044753</v>
      </c>
      <c r="I1424" s="1">
        <v>478.74206748988888</v>
      </c>
      <c r="K1424" s="1">
        <f t="shared" si="66"/>
        <v>0.45750129716505161</v>
      </c>
      <c r="L1424" s="1">
        <f t="shared" si="67"/>
        <v>0.92450678260876085</v>
      </c>
      <c r="M1424" s="1">
        <f t="shared" si="68"/>
        <v>244.1112158481865</v>
      </c>
      <c r="N1424"/>
      <c r="P1424" s="1"/>
    </row>
    <row r="1425" spans="1:19" x14ac:dyDescent="0.3">
      <c r="A1425" s="1">
        <v>1541</v>
      </c>
      <c r="C1425" s="1" t="s">
        <v>15</v>
      </c>
      <c r="D1425" s="7">
        <v>13.5</v>
      </c>
      <c r="E1425" s="1">
        <v>76</v>
      </c>
      <c r="F1425" s="1">
        <v>45</v>
      </c>
      <c r="G1425" s="1">
        <v>0.3834685828437136</v>
      </c>
      <c r="H1425" s="1">
        <v>1.804942903752039</v>
      </c>
      <c r="I1425" s="1">
        <v>486.12837871523516</v>
      </c>
      <c r="K1425" s="1">
        <f t="shared" si="66"/>
        <v>0.45679571499295829</v>
      </c>
      <c r="L1425" s="1">
        <f t="shared" si="67"/>
        <v>0.92146515232838844</v>
      </c>
      <c r="M1425" s="1">
        <f t="shared" si="68"/>
        <v>247.87750574893872</v>
      </c>
      <c r="N1425"/>
      <c r="P1425" s="1"/>
    </row>
    <row r="1426" spans="1:19" x14ac:dyDescent="0.3">
      <c r="A1426" s="1">
        <v>1542</v>
      </c>
      <c r="C1426" s="1" t="s">
        <v>15</v>
      </c>
      <c r="D1426" s="7">
        <v>13.5</v>
      </c>
      <c r="E1426" s="1">
        <v>77</v>
      </c>
      <c r="F1426" s="1">
        <v>0</v>
      </c>
      <c r="G1426" s="1">
        <v>0.38061468416392685</v>
      </c>
      <c r="H1426" s="1">
        <v>1.8228165118093482</v>
      </c>
      <c r="I1426" s="1">
        <v>443.33693475935684</v>
      </c>
      <c r="K1426" s="1">
        <f t="shared" si="66"/>
        <v>0.45339609180014517</v>
      </c>
      <c r="L1426" s="1">
        <f t="shared" si="67"/>
        <v>0.93059004316950567</v>
      </c>
      <c r="M1426" s="1">
        <f t="shared" si="68"/>
        <v>226.05809166080948</v>
      </c>
      <c r="N1426" s="1">
        <f>SLOPE(K1426:K1429,F1426:F1429)</f>
        <v>9.9602545166041587E-4</v>
      </c>
      <c r="O1426" s="1">
        <f>SLOPE(L1426:L1429,F1426:F1429)</f>
        <v>-1.351835680165318E-5</v>
      </c>
      <c r="P1426" s="1">
        <f>SLOPE(M1426:M1429,F1426:F1429)</f>
        <v>2.255702647433421</v>
      </c>
      <c r="Q1426" s="1">
        <f>(N1426*41.35/0.31*60)/1000</f>
        <v>7.9714165986112633E-3</v>
      </c>
      <c r="R1426" s="1">
        <f>O1426*41.35/0.31*60/1000</f>
        <v>-1.0819046201581142E-4</v>
      </c>
      <c r="S1426" s="1">
        <f>(O1426*41.35/0.31*60)/1000</f>
        <v>-1.0819046201581142E-4</v>
      </c>
    </row>
    <row r="1427" spans="1:19" x14ac:dyDescent="0.3">
      <c r="A1427" s="1">
        <v>1543</v>
      </c>
      <c r="C1427" s="1" t="s">
        <v>15</v>
      </c>
      <c r="D1427" s="7">
        <v>13.5</v>
      </c>
      <c r="E1427" s="1">
        <v>78</v>
      </c>
      <c r="F1427" s="1">
        <v>15</v>
      </c>
      <c r="G1427" s="1">
        <v>0.39799654253817546</v>
      </c>
      <c r="H1427" s="1">
        <v>1.8109007731044753</v>
      </c>
      <c r="I1427" s="1">
        <v>521.18958569712049</v>
      </c>
      <c r="K1427" s="1">
        <f t="shared" si="66"/>
        <v>0.47410172135939188</v>
      </c>
      <c r="L1427" s="1">
        <f t="shared" si="67"/>
        <v>0.92450678260876085</v>
      </c>
      <c r="M1427" s="1">
        <f t="shared" si="68"/>
        <v>265.75526174044393</v>
      </c>
      <c r="N1427"/>
      <c r="P1427" s="1"/>
    </row>
    <row r="1428" spans="1:19" x14ac:dyDescent="0.3">
      <c r="A1428" s="1">
        <v>1544</v>
      </c>
      <c r="C1428" s="1" t="s">
        <v>15</v>
      </c>
      <c r="D1428" s="7">
        <v>13.5</v>
      </c>
      <c r="E1428" s="1">
        <v>79</v>
      </c>
      <c r="F1428" s="1">
        <v>30</v>
      </c>
      <c r="G1428" s="1">
        <v>0.41040292472351275</v>
      </c>
      <c r="H1428" s="1">
        <v>1.818844598907724</v>
      </c>
      <c r="I1428" s="1">
        <v>599.18081848066231</v>
      </c>
      <c r="K1428" s="1">
        <f t="shared" si="66"/>
        <v>0.48888046067305491</v>
      </c>
      <c r="L1428" s="1">
        <f t="shared" si="67"/>
        <v>0.92856228964925747</v>
      </c>
      <c r="M1428" s="1">
        <f t="shared" si="68"/>
        <v>305.52309488723841</v>
      </c>
      <c r="N1428"/>
      <c r="P1428" s="1"/>
    </row>
    <row r="1429" spans="1:19" x14ac:dyDescent="0.3">
      <c r="A1429" s="1">
        <v>1545</v>
      </c>
      <c r="C1429" s="1" t="s">
        <v>15</v>
      </c>
      <c r="D1429" s="7">
        <v>13.5</v>
      </c>
      <c r="E1429" s="1">
        <v>80</v>
      </c>
      <c r="F1429" s="1">
        <v>45</v>
      </c>
      <c r="G1429" s="1">
        <v>0.41828614673711245</v>
      </c>
      <c r="H1429" s="1">
        <v>1.818844598907724</v>
      </c>
      <c r="I1429" s="1">
        <v>638.52997031111556</v>
      </c>
      <c r="K1429" s="1">
        <f t="shared" si="66"/>
        <v>0.49827111794527829</v>
      </c>
      <c r="L1429" s="1">
        <f t="shared" si="67"/>
        <v>0.92856228964925747</v>
      </c>
      <c r="M1429" s="1">
        <f t="shared" si="68"/>
        <v>325.58727965021569</v>
      </c>
      <c r="N1429"/>
      <c r="P1429" s="1"/>
    </row>
    <row r="1430" spans="1:19" x14ac:dyDescent="0.3">
      <c r="A1430" s="1">
        <v>1546</v>
      </c>
      <c r="C1430" s="1" t="s">
        <v>15</v>
      </c>
      <c r="D1430" s="7">
        <v>13.5</v>
      </c>
      <c r="E1430" s="1">
        <v>81</v>
      </c>
      <c r="F1430" s="1">
        <v>0</v>
      </c>
      <c r="G1430" s="1">
        <v>0.38378089628414314</v>
      </c>
      <c r="H1430" s="1">
        <v>1.8357252287396268</v>
      </c>
      <c r="I1430" s="1">
        <v>447.66028372910898</v>
      </c>
      <c r="K1430" s="1">
        <f t="shared" si="66"/>
        <v>0.45716774922915293</v>
      </c>
      <c r="L1430" s="1">
        <f t="shared" si="67"/>
        <v>0.93718024211031237</v>
      </c>
      <c r="M1430" s="1">
        <f t="shared" si="68"/>
        <v>228.26257304068008</v>
      </c>
      <c r="N1430" s="1">
        <f>SLOPE(K1430:K1433,F1430:F1433)</f>
        <v>4.4738185966302848E-4</v>
      </c>
      <c r="O1430" s="1">
        <f>SLOPE(L1430:L1433,F1430:F1433)</f>
        <v>-6.0832605607446708E-5</v>
      </c>
      <c r="P1430" s="1">
        <f>SLOPE(M1430:M1433,F1430:F1433)</f>
        <v>0.38169403620304326</v>
      </c>
      <c r="Q1430" s="1">
        <f>(N1430*41.35/0.31*60)/1000</f>
        <v>3.5804980445934631E-3</v>
      </c>
      <c r="R1430" s="1">
        <f>O1430*41.35/0.31*60/1000</f>
        <v>-4.8685707907121062E-4</v>
      </c>
      <c r="S1430" s="1">
        <f>(O1430*41.35/0.31*60)/1000</f>
        <v>-4.8685707907121062E-4</v>
      </c>
    </row>
    <row r="1431" spans="1:19" x14ac:dyDescent="0.3">
      <c r="A1431" s="1">
        <v>1547</v>
      </c>
      <c r="C1431" s="1" t="s">
        <v>15</v>
      </c>
      <c r="D1431" s="7">
        <v>13.5</v>
      </c>
      <c r="E1431" s="1">
        <v>82</v>
      </c>
      <c r="F1431" s="1">
        <v>15</v>
      </c>
      <c r="G1431" s="1">
        <v>0.39283798605659853</v>
      </c>
      <c r="H1431" s="1">
        <v>1.8267884247109725</v>
      </c>
      <c r="I1431" s="1">
        <v>488.94148902990071</v>
      </c>
      <c r="K1431" s="1">
        <f t="shared" si="66"/>
        <v>0.46795674207879751</v>
      </c>
      <c r="L1431" s="1">
        <f t="shared" si="67"/>
        <v>0.93261779668975386</v>
      </c>
      <c r="M1431" s="1">
        <f t="shared" si="68"/>
        <v>249.31191443340757</v>
      </c>
      <c r="N1431"/>
      <c r="P1431" s="1"/>
    </row>
    <row r="1432" spans="1:19" x14ac:dyDescent="0.3">
      <c r="A1432" s="1">
        <v>1548</v>
      </c>
      <c r="C1432" s="1" t="s">
        <v>15</v>
      </c>
      <c r="D1432" s="7">
        <v>13.5</v>
      </c>
      <c r="E1432" s="1">
        <v>83</v>
      </c>
      <c r="F1432" s="1">
        <v>30</v>
      </c>
      <c r="G1432" s="1">
        <v>0.39528264643513289</v>
      </c>
      <c r="H1432" s="1">
        <v>1.8357252287396268</v>
      </c>
      <c r="I1432" s="1">
        <v>469.08281168451617</v>
      </c>
      <c r="K1432" s="1">
        <f t="shared" si="66"/>
        <v>0.47086887213452805</v>
      </c>
      <c r="L1432" s="1">
        <f t="shared" si="67"/>
        <v>0.93718024211031237</v>
      </c>
      <c r="M1432" s="1">
        <f t="shared" si="68"/>
        <v>239.18594848824642</v>
      </c>
      <c r="N1432"/>
      <c r="P1432" s="1"/>
    </row>
    <row r="1433" spans="1:19" x14ac:dyDescent="0.3">
      <c r="A1433" s="1">
        <v>1549</v>
      </c>
      <c r="C1433" s="1" t="s">
        <v>15</v>
      </c>
      <c r="D1433" s="7">
        <v>13.5</v>
      </c>
      <c r="E1433" s="1">
        <v>84</v>
      </c>
      <c r="F1433" s="1">
        <v>45</v>
      </c>
      <c r="G1433" s="1">
        <v>0.40174430382332937</v>
      </c>
      <c r="H1433" s="1">
        <v>1.8267884247109725</v>
      </c>
      <c r="I1433" s="1">
        <v>491.70806821386702</v>
      </c>
      <c r="K1433" s="1">
        <f t="shared" si="66"/>
        <v>0.47856613219372751</v>
      </c>
      <c r="L1433" s="1">
        <f t="shared" si="67"/>
        <v>0.93261779668975386</v>
      </c>
      <c r="M1433" s="1">
        <f t="shared" si="68"/>
        <v>250.72259683255263</v>
      </c>
      <c r="N1433"/>
      <c r="P1433" s="1"/>
    </row>
    <row r="1434" spans="1:19" x14ac:dyDescent="0.3">
      <c r="A1434" s="1">
        <v>1550</v>
      </c>
      <c r="C1434" s="1" t="s">
        <v>15</v>
      </c>
      <c r="D1434" s="7">
        <v>13.5</v>
      </c>
      <c r="E1434" s="1">
        <v>85</v>
      </c>
      <c r="F1434" s="1">
        <v>0</v>
      </c>
      <c r="G1434" s="1">
        <v>0.38716249698396599</v>
      </c>
      <c r="H1434" s="1">
        <v>1.8416830980920633</v>
      </c>
      <c r="I1434" s="1">
        <v>417.507099489675</v>
      </c>
      <c r="K1434" s="1">
        <f t="shared" si="66"/>
        <v>0.46119598199346734</v>
      </c>
      <c r="L1434" s="1">
        <f t="shared" si="67"/>
        <v>0.94022187239068478</v>
      </c>
      <c r="M1434" s="1">
        <f t="shared" si="68"/>
        <v>212.88742436202739</v>
      </c>
      <c r="N1434" s="1">
        <f>SLOPE(K1434:K1437,F1434:F1437)</f>
        <v>1.5651095453705761E-4</v>
      </c>
      <c r="O1434" s="1">
        <f>SLOPE(L1434:L1437,F1434:F1437)</f>
        <v>4.9342002326040028E-4</v>
      </c>
      <c r="P1434" s="1">
        <f>SLOPE(M1434:M1437,F1434:F1437)</f>
        <v>0.22125964571697279</v>
      </c>
      <c r="Q1434" s="1">
        <f>(N1434*41.35/0.31*60)/1000</f>
        <v>1.2525925103433547E-3</v>
      </c>
      <c r="R1434" s="1">
        <f>O1434*41.35/0.31*60/1000</f>
        <v>3.9489518635775905E-3</v>
      </c>
      <c r="S1434" s="1">
        <f>(O1434*41.35/0.31*60)/1000</f>
        <v>3.9489518635775905E-3</v>
      </c>
    </row>
    <row r="1435" spans="1:19" x14ac:dyDescent="0.3">
      <c r="A1435" s="1">
        <v>1551</v>
      </c>
      <c r="C1435" s="1" t="s">
        <v>15</v>
      </c>
      <c r="D1435" s="7">
        <v>13.5</v>
      </c>
      <c r="E1435" s="1">
        <v>86</v>
      </c>
      <c r="F1435" s="1">
        <v>15</v>
      </c>
      <c r="G1435" s="1">
        <v>0.3907271779764544</v>
      </c>
      <c r="H1435" s="1">
        <v>1.8396971416412511</v>
      </c>
      <c r="I1435" s="1">
        <v>435.20916008178119</v>
      </c>
      <c r="K1435" s="1">
        <f t="shared" si="66"/>
        <v>0.46544230379279239</v>
      </c>
      <c r="L1435" s="1">
        <f t="shared" si="67"/>
        <v>0.93920799563056057</v>
      </c>
      <c r="M1435" s="1">
        <f t="shared" si="68"/>
        <v>221.91372856131019</v>
      </c>
      <c r="N1435"/>
      <c r="P1435" s="1"/>
    </row>
    <row r="1436" spans="1:19" x14ac:dyDescent="0.3">
      <c r="A1436" s="1">
        <v>1552</v>
      </c>
      <c r="C1436" s="1" t="s">
        <v>15</v>
      </c>
      <c r="D1436" s="7">
        <v>13.5</v>
      </c>
      <c r="E1436" s="1">
        <v>87</v>
      </c>
      <c r="F1436" s="1">
        <v>30</v>
      </c>
      <c r="G1436" s="1">
        <v>0.38717326641294636</v>
      </c>
      <c r="H1436" s="1">
        <v>1.9161564649975176</v>
      </c>
      <c r="I1436" s="1">
        <v>426.16795907765294</v>
      </c>
      <c r="K1436" s="1">
        <f t="shared" si="66"/>
        <v>0.46120881076023273</v>
      </c>
      <c r="L1436" s="1">
        <f t="shared" si="67"/>
        <v>0.97824225089533901</v>
      </c>
      <c r="M1436" s="1">
        <f t="shared" si="68"/>
        <v>217.30360816512794</v>
      </c>
      <c r="N1436"/>
      <c r="P1436" s="1"/>
    </row>
    <row r="1437" spans="1:19" x14ac:dyDescent="0.3">
      <c r="A1437" s="1">
        <v>1553</v>
      </c>
      <c r="C1437" s="1" t="s">
        <v>15</v>
      </c>
      <c r="D1437" s="7">
        <v>13.5</v>
      </c>
      <c r="E1437" s="1">
        <v>88</v>
      </c>
      <c r="F1437" s="1">
        <v>45</v>
      </c>
      <c r="G1437" s="1">
        <v>0.39491648584980177</v>
      </c>
      <c r="H1437" s="1">
        <v>1.8645215972764024</v>
      </c>
      <c r="I1437" s="1">
        <v>442.21715298361619</v>
      </c>
      <c r="K1437" s="1">
        <f t="shared" si="66"/>
        <v>0.47043269406450677</v>
      </c>
      <c r="L1437" s="1">
        <f t="shared" si="67"/>
        <v>0.95188145513211198</v>
      </c>
      <c r="M1437" s="1">
        <f t="shared" si="68"/>
        <v>225.48711344660344</v>
      </c>
      <c r="N1437"/>
      <c r="P1437" s="1"/>
    </row>
    <row r="1438" spans="1:19" x14ac:dyDescent="0.3">
      <c r="A1438" s="1">
        <v>1554</v>
      </c>
      <c r="C1438" s="1" t="s">
        <v>15</v>
      </c>
      <c r="D1438" s="7">
        <v>13.5</v>
      </c>
      <c r="E1438" s="1">
        <v>89</v>
      </c>
      <c r="F1438" s="1">
        <v>0</v>
      </c>
      <c r="G1438" s="1">
        <v>0.39266567519291334</v>
      </c>
      <c r="H1438" s="1">
        <v>1.8784232924320874</v>
      </c>
      <c r="I1438" s="1">
        <v>423.61987389870916</v>
      </c>
      <c r="K1438" s="1">
        <f t="shared" si="66"/>
        <v>0.46775148181055232</v>
      </c>
      <c r="L1438" s="1">
        <f t="shared" si="67"/>
        <v>0.95897859245298089</v>
      </c>
      <c r="M1438" s="1">
        <f t="shared" si="68"/>
        <v>216.00433614924262</v>
      </c>
      <c r="N1438" s="1">
        <f>SLOPE(K1438:K1441,F1438:F1441)</f>
        <v>5.9465610212904377E-4</v>
      </c>
      <c r="O1438" s="1">
        <f>SLOPE(L1438:L1441,F1438:F1441)</f>
        <v>-5.2045673686371629E-4</v>
      </c>
      <c r="P1438" s="1">
        <f>SLOPE(M1438:M1441,F1438:F1441)</f>
        <v>1.9559880849123203</v>
      </c>
      <c r="Q1438" s="1">
        <f>(N1438*41.35/0.31*60)/1000</f>
        <v>4.7591670625230899E-3</v>
      </c>
      <c r="R1438" s="1">
        <f>O1438*41.35/0.31*60/1000</f>
        <v>-4.165332787609291E-3</v>
      </c>
      <c r="S1438" s="1">
        <f>(O1438*41.35/0.31*60)/1000</f>
        <v>-4.165332787609291E-3</v>
      </c>
    </row>
    <row r="1439" spans="1:19" x14ac:dyDescent="0.3">
      <c r="A1439" s="1">
        <v>1555</v>
      </c>
      <c r="C1439" s="1" t="s">
        <v>15</v>
      </c>
      <c r="D1439" s="7">
        <v>13.5</v>
      </c>
      <c r="E1439" s="1">
        <v>90</v>
      </c>
      <c r="F1439" s="1">
        <v>15</v>
      </c>
      <c r="G1439" s="1">
        <v>0.40510436566519165</v>
      </c>
      <c r="H1439" s="1">
        <v>1.8565777714731542</v>
      </c>
      <c r="I1439" s="1">
        <v>529.0705430727262</v>
      </c>
      <c r="K1439" s="1">
        <f t="shared" si="66"/>
        <v>0.48256870742451136</v>
      </c>
      <c r="L1439" s="1">
        <f t="shared" si="67"/>
        <v>0.94782594809161558</v>
      </c>
      <c r="M1439" s="1">
        <f t="shared" si="68"/>
        <v>269.77377236996466</v>
      </c>
      <c r="N1439"/>
      <c r="P1439" s="1"/>
    </row>
    <row r="1440" spans="1:19" x14ac:dyDescent="0.3">
      <c r="A1440" s="1">
        <v>1556</v>
      </c>
      <c r="C1440" s="1" t="s">
        <v>15</v>
      </c>
      <c r="D1440" s="7">
        <v>13.5</v>
      </c>
      <c r="E1440" s="1">
        <v>91</v>
      </c>
      <c r="F1440" s="1">
        <v>30</v>
      </c>
      <c r="G1440" s="1">
        <v>0.4105213884422963</v>
      </c>
      <c r="H1440" s="1">
        <v>1.8377111851904391</v>
      </c>
      <c r="I1440" s="1">
        <v>568.37923305039749</v>
      </c>
      <c r="K1440" s="1">
        <f t="shared" si="66"/>
        <v>0.48902157710747352</v>
      </c>
      <c r="L1440" s="1">
        <f t="shared" si="67"/>
        <v>0.93819411887043636</v>
      </c>
      <c r="M1440" s="1">
        <f t="shared" si="68"/>
        <v>289.81732558048634</v>
      </c>
      <c r="N1440"/>
      <c r="P1440" s="1"/>
    </row>
    <row r="1441" spans="1:19" x14ac:dyDescent="0.3">
      <c r="A1441" s="1">
        <v>1557</v>
      </c>
      <c r="C1441" s="1" t="s">
        <v>15</v>
      </c>
      <c r="D1441" s="7">
        <v>13.5</v>
      </c>
      <c r="E1441" s="1">
        <v>92</v>
      </c>
      <c r="F1441" s="1">
        <v>45</v>
      </c>
      <c r="G1441" s="1">
        <v>0.41581994750061746</v>
      </c>
      <c r="H1441" s="1">
        <v>1.8337392722888148</v>
      </c>
      <c r="I1441" s="1">
        <v>602.31762361758365</v>
      </c>
      <c r="K1441" s="1">
        <f t="shared" si="66"/>
        <v>0.49533333035601712</v>
      </c>
      <c r="L1441" s="1">
        <f t="shared" si="67"/>
        <v>0.93616636535018816</v>
      </c>
      <c r="M1441" s="1">
        <f t="shared" si="68"/>
        <v>307.12255599135142</v>
      </c>
      <c r="N1441"/>
      <c r="P1441" s="1"/>
    </row>
    <row r="1442" spans="1:19" x14ac:dyDescent="0.3">
      <c r="A1442" s="1">
        <v>1558</v>
      </c>
      <c r="C1442" s="1" t="s">
        <v>15</v>
      </c>
      <c r="D1442" s="7">
        <v>13.5</v>
      </c>
      <c r="E1442" s="1">
        <v>93</v>
      </c>
      <c r="F1442" s="1">
        <v>0</v>
      </c>
      <c r="G1442" s="1">
        <v>0.39494879413674278</v>
      </c>
      <c r="H1442" s="1">
        <v>1.8396971416412511</v>
      </c>
      <c r="I1442" s="1">
        <v>415.32924026368619</v>
      </c>
      <c r="K1442" s="1">
        <f t="shared" si="66"/>
        <v>0.47047118036480273</v>
      </c>
      <c r="L1442" s="1">
        <f t="shared" si="67"/>
        <v>0.93920799563056057</v>
      </c>
      <c r="M1442" s="1">
        <f t="shared" si="68"/>
        <v>211.77693105110995</v>
      </c>
      <c r="N1442" s="1">
        <f>SLOPE(K1442:K1445,F1442:F1445)</f>
        <v>8.7671792074282546E-4</v>
      </c>
      <c r="O1442" s="1">
        <f>SLOPE(L1442:L1445,F1442:F1445)</f>
        <v>-3.143017956384771E-4</v>
      </c>
      <c r="P1442" s="1">
        <f>SLOPE(M1442:M1445,F1442:F1445)</f>
        <v>1.4446041099739799</v>
      </c>
      <c r="Q1442" s="1">
        <f>(N1442*41.35/0.31*60)/1000</f>
        <v>7.016571488267581E-3</v>
      </c>
      <c r="R1442" s="1">
        <f>O1442*41.35/0.31*60/1000</f>
        <v>-2.5154282418679407E-3</v>
      </c>
      <c r="S1442" s="1">
        <f>(O1442*41.35/0.31*60)/1000</f>
        <v>-2.5154282418679407E-3</v>
      </c>
    </row>
    <row r="1443" spans="1:19" x14ac:dyDescent="0.3">
      <c r="A1443" s="1">
        <v>1559</v>
      </c>
      <c r="C1443" s="1" t="s">
        <v>15</v>
      </c>
      <c r="D1443" s="7">
        <v>13.5</v>
      </c>
      <c r="E1443" s="1">
        <v>94</v>
      </c>
      <c r="F1443" s="1">
        <v>15</v>
      </c>
      <c r="G1443" s="1">
        <v>0.41416145543764699</v>
      </c>
      <c r="H1443" s="1">
        <v>1.8347322505142207</v>
      </c>
      <c r="I1443" s="1">
        <v>482.59707051368986</v>
      </c>
      <c r="K1443" s="1">
        <f t="shared" si="66"/>
        <v>0.49335770027415587</v>
      </c>
      <c r="L1443" s="1">
        <f t="shared" si="67"/>
        <v>0.93667330373025026</v>
      </c>
      <c r="M1443" s="1">
        <f t="shared" si="68"/>
        <v>246.07688700838463</v>
      </c>
      <c r="N1443"/>
      <c r="P1443" s="1"/>
    </row>
    <row r="1444" spans="1:19" x14ac:dyDescent="0.3">
      <c r="A1444" s="1">
        <v>1560</v>
      </c>
      <c r="C1444" s="1" t="s">
        <v>15</v>
      </c>
      <c r="D1444" s="7">
        <v>13.5</v>
      </c>
      <c r="E1444" s="1">
        <v>95</v>
      </c>
      <c r="F1444" s="1">
        <v>30</v>
      </c>
      <c r="G1444" s="1">
        <v>0.42036464653031569</v>
      </c>
      <c r="H1444" s="1">
        <v>1.8198375771331299</v>
      </c>
      <c r="I1444" s="1">
        <v>522.57034642330484</v>
      </c>
      <c r="K1444" s="1">
        <f t="shared" si="66"/>
        <v>0.5007470699309875</v>
      </c>
      <c r="L1444" s="1">
        <f t="shared" si="67"/>
        <v>0.92906922802931924</v>
      </c>
      <c r="M1444" s="1">
        <f t="shared" si="68"/>
        <v>266.45931346798801</v>
      </c>
      <c r="N1444"/>
      <c r="P1444" s="1"/>
    </row>
    <row r="1445" spans="1:19" x14ac:dyDescent="0.3">
      <c r="A1445" s="1">
        <v>1561</v>
      </c>
      <c r="C1445" s="1" t="s">
        <v>15</v>
      </c>
      <c r="D1445" s="7">
        <v>13.5</v>
      </c>
      <c r="E1445" s="1">
        <v>96</v>
      </c>
      <c r="F1445" s="1">
        <v>45</v>
      </c>
      <c r="G1445" s="1">
        <v>0.42968020259829898</v>
      </c>
      <c r="H1445" s="1">
        <v>1.8138797077806936</v>
      </c>
      <c r="I1445" s="1">
        <v>543.66007563958044</v>
      </c>
      <c r="K1445" s="1">
        <f t="shared" si="66"/>
        <v>0.51184395318300013</v>
      </c>
      <c r="L1445" s="1">
        <f t="shared" si="67"/>
        <v>0.92602759774894705</v>
      </c>
      <c r="M1445" s="1">
        <f t="shared" si="68"/>
        <v>277.21299439660783</v>
      </c>
      <c r="N1445"/>
      <c r="P1445" s="1"/>
    </row>
    <row r="1446" spans="1:19" x14ac:dyDescent="0.3">
      <c r="A1446" s="1">
        <v>1562</v>
      </c>
      <c r="C1446" s="1" t="s">
        <v>15</v>
      </c>
      <c r="D1446" s="7">
        <v>13.5</v>
      </c>
      <c r="E1446" s="1">
        <v>97</v>
      </c>
      <c r="F1446" s="1">
        <v>0</v>
      </c>
      <c r="G1446" s="1">
        <v>0.39408723981831656</v>
      </c>
      <c r="H1446" s="1">
        <v>1.8327462940634087</v>
      </c>
      <c r="I1446" s="1">
        <v>415.31811325417118</v>
      </c>
      <c r="K1446" s="1">
        <f t="shared" si="66"/>
        <v>0.46944487902357612</v>
      </c>
      <c r="L1446" s="1">
        <f t="shared" si="67"/>
        <v>0.93565942697012616</v>
      </c>
      <c r="M1446" s="1">
        <f t="shared" si="68"/>
        <v>211.77125737418467</v>
      </c>
      <c r="N1446" s="1">
        <f>SLOPE(K1446:K1449,F1446:F1449)</f>
        <v>2.5811478731849115E-4</v>
      </c>
      <c r="O1446" s="1">
        <f>SLOPE(L1446:L1449,F1446:F1449)</f>
        <v>-2.4333042242978461E-4</v>
      </c>
      <c r="P1446" s="1">
        <f>SLOPE(M1446:M1449,F1446:F1449)</f>
        <v>0.80427980937289567</v>
      </c>
      <c r="Q1446" s="1">
        <f>(N1446*41.35/0.31*60)/1000</f>
        <v>2.0657509268941178E-3</v>
      </c>
      <c r="R1446" s="1">
        <f>O1446*41.35/0.31*60/1000</f>
        <v>-1.9474283162848249E-3</v>
      </c>
      <c r="S1446" s="1">
        <f>(O1446*41.35/0.31*60)/1000</f>
        <v>-1.9474283162848249E-3</v>
      </c>
    </row>
    <row r="1447" spans="1:19" x14ac:dyDescent="0.3">
      <c r="A1447" s="1">
        <v>1563</v>
      </c>
      <c r="C1447" s="1" t="s">
        <v>15</v>
      </c>
      <c r="D1447" s="7">
        <v>13.5</v>
      </c>
      <c r="E1447" s="1">
        <v>98</v>
      </c>
      <c r="F1447" s="1">
        <v>15</v>
      </c>
      <c r="G1447" s="1">
        <v>0.39921348801295242</v>
      </c>
      <c r="H1447" s="1">
        <v>1.8327462940634087</v>
      </c>
      <c r="I1447" s="1">
        <v>460.52209518217359</v>
      </c>
      <c r="K1447" s="1">
        <f t="shared" si="66"/>
        <v>0.47555137200387443</v>
      </c>
      <c r="L1447" s="1">
        <f t="shared" si="67"/>
        <v>0.93565942697012616</v>
      </c>
      <c r="M1447" s="1">
        <f t="shared" si="68"/>
        <v>234.82082777747326</v>
      </c>
      <c r="N1447"/>
      <c r="P1447" s="1"/>
    </row>
    <row r="1448" spans="1:19" x14ac:dyDescent="0.3">
      <c r="A1448" s="1">
        <v>1564</v>
      </c>
      <c r="C1448" s="1" t="s">
        <v>15</v>
      </c>
      <c r="D1448" s="7">
        <v>13.5</v>
      </c>
      <c r="E1448" s="1">
        <v>99</v>
      </c>
      <c r="F1448" s="1">
        <v>30</v>
      </c>
      <c r="G1448" s="1">
        <v>0.40312279073281132</v>
      </c>
      <c r="H1448" s="1">
        <v>1.8357252287396268</v>
      </c>
      <c r="I1448" s="1">
        <v>469.50766113872675</v>
      </c>
      <c r="K1448" s="1">
        <f t="shared" si="66"/>
        <v>0.48020821433969008</v>
      </c>
      <c r="L1448" s="1">
        <f t="shared" si="67"/>
        <v>0.93718024211031237</v>
      </c>
      <c r="M1448" s="1">
        <f t="shared" si="68"/>
        <v>239.40257978902923</v>
      </c>
      <c r="N1448"/>
      <c r="P1448" s="1"/>
    </row>
    <row r="1449" spans="1:19" x14ac:dyDescent="0.3">
      <c r="A1449" s="1">
        <v>1565</v>
      </c>
      <c r="C1449" s="1" t="s">
        <v>15</v>
      </c>
      <c r="D1449" s="7">
        <v>13.5</v>
      </c>
      <c r="E1449" s="1">
        <v>100</v>
      </c>
      <c r="F1449" s="1">
        <v>45</v>
      </c>
      <c r="G1449" s="1">
        <v>0.40361818446590642</v>
      </c>
      <c r="H1449" s="1">
        <v>1.8079218384282574</v>
      </c>
      <c r="I1449" s="1">
        <v>491.18914495193843</v>
      </c>
      <c r="K1449" s="1">
        <f t="shared" si="66"/>
        <v>0.48079833761089547</v>
      </c>
      <c r="L1449" s="1">
        <f t="shared" si="67"/>
        <v>0.92298596746857486</v>
      </c>
      <c r="M1449" s="1">
        <f t="shared" si="68"/>
        <v>250.4579971723108</v>
      </c>
      <c r="N1449"/>
      <c r="P1449" s="1"/>
    </row>
    <row r="1450" spans="1:19" x14ac:dyDescent="0.3">
      <c r="A1450" s="1">
        <v>1566</v>
      </c>
      <c r="C1450" s="1" t="s">
        <v>15</v>
      </c>
      <c r="D1450" s="7">
        <v>13.5</v>
      </c>
      <c r="E1450" s="1">
        <v>101</v>
      </c>
      <c r="F1450" s="1">
        <v>0</v>
      </c>
      <c r="G1450" s="1">
        <v>0.39200874002511338</v>
      </c>
      <c r="H1450" s="1">
        <v>1.8267884247109725</v>
      </c>
      <c r="I1450" s="1">
        <v>414.62216938632145</v>
      </c>
      <c r="K1450" s="1">
        <f t="shared" si="66"/>
        <v>0.46696892703786702</v>
      </c>
      <c r="L1450" s="1">
        <f t="shared" si="67"/>
        <v>0.93261779668975386</v>
      </c>
      <c r="M1450" s="1">
        <f t="shared" si="68"/>
        <v>211.41639467194997</v>
      </c>
      <c r="N1450" s="1">
        <f>SLOPE(K1450:K1453,F1450:F1453)</f>
        <v>8.2899490837578269E-4</v>
      </c>
      <c r="O1450" s="1">
        <f>SLOPE(L1450:L1453,F1450:F1453)</f>
        <v>-2.5346919003103115E-4</v>
      </c>
      <c r="P1450" s="1">
        <f>SLOPE(M1450:M1453,F1450:F1453)</f>
        <v>1.557187053131589</v>
      </c>
      <c r="Q1450" s="1">
        <f>(N1450*41.35/0.31*60)/1000</f>
        <v>6.6346334441300548E-3</v>
      </c>
      <c r="R1450" s="1">
        <f>O1450*41.35/0.31*60/1000</f>
        <v>-2.0285711627967369E-3</v>
      </c>
      <c r="S1450" s="1">
        <f>(O1450*41.35/0.31*60)/1000</f>
        <v>-2.0285711627967369E-3</v>
      </c>
    </row>
    <row r="1451" spans="1:19" x14ac:dyDescent="0.3">
      <c r="A1451" s="1">
        <v>1567</v>
      </c>
      <c r="C1451" s="1" t="s">
        <v>15</v>
      </c>
      <c r="D1451" s="7">
        <v>13.5</v>
      </c>
      <c r="E1451" s="1">
        <v>102</v>
      </c>
      <c r="F1451" s="1">
        <v>15</v>
      </c>
      <c r="G1451" s="1">
        <v>0.40351049017610313</v>
      </c>
      <c r="H1451" s="1">
        <v>1.820830555358536</v>
      </c>
      <c r="I1451" s="1">
        <v>474.89111065136609</v>
      </c>
      <c r="K1451" s="1">
        <f t="shared" si="66"/>
        <v>0.48067004994324208</v>
      </c>
      <c r="L1451" s="1">
        <f t="shared" si="67"/>
        <v>0.92957616640938145</v>
      </c>
      <c r="M1451" s="1">
        <f t="shared" si="68"/>
        <v>242.14760784323397</v>
      </c>
      <c r="N1451"/>
      <c r="P1451" s="1"/>
    </row>
    <row r="1452" spans="1:19" x14ac:dyDescent="0.3">
      <c r="A1452" s="1">
        <v>1568</v>
      </c>
      <c r="C1452" s="1" t="s">
        <v>15</v>
      </c>
      <c r="D1452" s="7">
        <v>13.5</v>
      </c>
      <c r="E1452" s="1">
        <v>103</v>
      </c>
      <c r="F1452" s="1">
        <v>30</v>
      </c>
      <c r="G1452" s="1">
        <v>0.41617533865696821</v>
      </c>
      <c r="H1452" s="1">
        <v>1.8118937513298816</v>
      </c>
      <c r="I1452" s="1">
        <v>526.77736756630884</v>
      </c>
      <c r="K1452" s="1">
        <f t="shared" si="66"/>
        <v>0.49575667965927306</v>
      </c>
      <c r="L1452" s="1">
        <f t="shared" si="67"/>
        <v>0.92501372098882306</v>
      </c>
      <c r="M1452" s="1">
        <f t="shared" si="68"/>
        <v>268.60447913454902</v>
      </c>
      <c r="N1452"/>
      <c r="P1452" s="1"/>
    </row>
    <row r="1453" spans="1:19" x14ac:dyDescent="0.3">
      <c r="A1453" s="1">
        <v>1569</v>
      </c>
      <c r="C1453" s="1" t="s">
        <v>15</v>
      </c>
      <c r="D1453" s="7">
        <v>13.5</v>
      </c>
      <c r="E1453" s="1">
        <v>104</v>
      </c>
      <c r="F1453" s="1">
        <v>45</v>
      </c>
      <c r="G1453" s="1">
        <v>0.42258314890026305</v>
      </c>
      <c r="H1453" s="1">
        <v>1.804942903752039</v>
      </c>
      <c r="I1453" s="1">
        <v>550.02169044322363</v>
      </c>
      <c r="K1453" s="1">
        <f t="shared" si="66"/>
        <v>0.50338979588464583</v>
      </c>
      <c r="L1453" s="1">
        <f t="shared" si="67"/>
        <v>0.92146515232838844</v>
      </c>
      <c r="M1453" s="1">
        <f t="shared" si="68"/>
        <v>280.45679023142441</v>
      </c>
      <c r="N1453"/>
      <c r="P1453" s="1"/>
    </row>
    <row r="1454" spans="1:19" x14ac:dyDescent="0.3">
      <c r="A1454" s="1">
        <v>1570</v>
      </c>
      <c r="C1454" s="1" t="s">
        <v>15</v>
      </c>
      <c r="D1454" s="7">
        <v>13.5</v>
      </c>
      <c r="E1454" s="1">
        <v>105</v>
      </c>
      <c r="F1454" s="1">
        <v>0</v>
      </c>
      <c r="G1454" s="1">
        <v>0.39285952491455917</v>
      </c>
      <c r="H1454" s="1">
        <v>1.816858642456912</v>
      </c>
      <c r="I1454" s="1">
        <v>409.07788400887381</v>
      </c>
      <c r="K1454" s="1">
        <f t="shared" si="66"/>
        <v>0.46798239961232818</v>
      </c>
      <c r="L1454" s="1">
        <f t="shared" si="67"/>
        <v>0.92754841288913326</v>
      </c>
      <c r="M1454" s="1">
        <f t="shared" si="68"/>
        <v>208.58935619673466</v>
      </c>
      <c r="N1454" s="1">
        <f>SLOPE(K1454:K1457,F1454:F1457)</f>
        <v>2.9035775445535814E-4</v>
      </c>
      <c r="O1454" s="1">
        <f>SLOPE(L1454:L1457,F1454:F1457)</f>
        <v>-2.3657124402897503E-5</v>
      </c>
      <c r="P1454" s="1">
        <f>SLOPE(M1454:M1457,F1454:F1457)</f>
        <v>0.65830125997398015</v>
      </c>
      <c r="Q1454" s="1">
        <f>(N1454*41.35/0.31*60)/1000</f>
        <v>2.3237986735604628E-3</v>
      </c>
      <c r="R1454" s="1">
        <f>O1454*41.35/0.31*60/1000</f>
        <v>-1.893333085277055E-4</v>
      </c>
      <c r="S1454" s="1">
        <f>(O1454*41.35/0.31*60)/1000</f>
        <v>-1.893333085277055E-4</v>
      </c>
    </row>
    <row r="1455" spans="1:19" x14ac:dyDescent="0.3">
      <c r="A1455" s="1">
        <v>1571</v>
      </c>
      <c r="C1455" s="1" t="s">
        <v>15</v>
      </c>
      <c r="D1455" s="7">
        <v>13.5</v>
      </c>
      <c r="E1455" s="1">
        <v>106</v>
      </c>
      <c r="F1455" s="1">
        <v>15</v>
      </c>
      <c r="G1455" s="1">
        <v>0.40052735834855246</v>
      </c>
      <c r="H1455" s="1">
        <v>1.820830555358536</v>
      </c>
      <c r="I1455" s="1">
        <v>446.24715352069916</v>
      </c>
      <c r="K1455" s="1">
        <f t="shared" si="66"/>
        <v>0.47711648154924508</v>
      </c>
      <c r="L1455" s="1">
        <f t="shared" si="67"/>
        <v>0.92957616640938145</v>
      </c>
      <c r="M1455" s="1">
        <f t="shared" si="68"/>
        <v>227.54201607117162</v>
      </c>
      <c r="N1455"/>
      <c r="P1455" s="1"/>
    </row>
    <row r="1456" spans="1:19" x14ac:dyDescent="0.3">
      <c r="A1456" s="1">
        <v>1572</v>
      </c>
      <c r="C1456" s="1" t="s">
        <v>15</v>
      </c>
      <c r="D1456" s="7">
        <v>13.5</v>
      </c>
      <c r="E1456" s="1">
        <v>107</v>
      </c>
      <c r="F1456" s="1">
        <v>30</v>
      </c>
      <c r="G1456" s="1">
        <v>0.4048458993696637</v>
      </c>
      <c r="H1456" s="1">
        <v>1.8109007731044753</v>
      </c>
      <c r="I1456" s="1">
        <v>454.45585190383872</v>
      </c>
      <c r="K1456" s="1">
        <f t="shared" si="66"/>
        <v>0.4822608170221433</v>
      </c>
      <c r="L1456" s="1">
        <f t="shared" si="67"/>
        <v>0.92450678260876085</v>
      </c>
      <c r="M1456" s="1">
        <f t="shared" si="68"/>
        <v>231.7276422755819</v>
      </c>
      <c r="N1456"/>
      <c r="P1456" s="1"/>
    </row>
    <row r="1457" spans="1:19" x14ac:dyDescent="0.3">
      <c r="A1457" s="1">
        <v>1573</v>
      </c>
      <c r="C1457" s="1" t="s">
        <v>15</v>
      </c>
      <c r="D1457" s="7">
        <v>13.5</v>
      </c>
      <c r="E1457" s="1">
        <v>108</v>
      </c>
      <c r="F1457" s="1">
        <v>45</v>
      </c>
      <c r="G1457" s="1">
        <v>0.40360741503692604</v>
      </c>
      <c r="H1457" s="1">
        <v>1.8178516206823179</v>
      </c>
      <c r="I1457" s="1">
        <v>470.89347959650877</v>
      </c>
      <c r="K1457" s="1">
        <f t="shared" si="66"/>
        <v>0.48078550884413002</v>
      </c>
      <c r="L1457" s="1">
        <f t="shared" si="67"/>
        <v>0.92805535126919525</v>
      </c>
      <c r="M1457" s="1">
        <f t="shared" si="68"/>
        <v>240.10921046063024</v>
      </c>
      <c r="N1457"/>
      <c r="P1457" s="1"/>
    </row>
    <row r="1458" spans="1:19" x14ac:dyDescent="0.3">
      <c r="A1458" s="1">
        <v>1574</v>
      </c>
      <c r="C1458" s="1" t="s">
        <v>15</v>
      </c>
      <c r="D1458" s="7">
        <v>13.5</v>
      </c>
      <c r="E1458" s="1">
        <v>109</v>
      </c>
      <c r="F1458" s="1">
        <v>0</v>
      </c>
      <c r="G1458" s="1">
        <v>0.39456109469345096</v>
      </c>
      <c r="H1458" s="1">
        <v>1.8287743811617845</v>
      </c>
      <c r="I1458" s="1">
        <v>408.78352402988509</v>
      </c>
      <c r="K1458" s="1">
        <f t="shared" si="66"/>
        <v>0.47000934476125078</v>
      </c>
      <c r="L1458" s="1">
        <f t="shared" si="67"/>
        <v>0.93363167344987796</v>
      </c>
      <c r="M1458" s="1">
        <f t="shared" si="68"/>
        <v>208.43926165262087</v>
      </c>
      <c r="N1458" s="1">
        <f>SLOPE(K1458:K1461,F1458:F1461)</f>
        <v>3.4107414573430729E-4</v>
      </c>
      <c r="O1458" s="1">
        <f>SLOPE(L1458:L1461,F1458:F1461)</f>
        <v>-1.0814685441324246E-4</v>
      </c>
      <c r="P1458" s="1">
        <f>SLOPE(M1458:M1461,F1458:F1461)</f>
        <v>0.52964289886145954</v>
      </c>
      <c r="Q1458" s="1">
        <f>(N1458*41.35/0.31*60)/1000</f>
        <v>2.7296934050542463E-3</v>
      </c>
      <c r="R1458" s="1">
        <f>O1458*41.35/0.31*60/1000</f>
        <v>-8.6552369612662757E-4</v>
      </c>
      <c r="S1458" s="1">
        <f>(O1458*41.35/0.31*60)/1000</f>
        <v>-8.6552369612662757E-4</v>
      </c>
    </row>
    <row r="1459" spans="1:19" x14ac:dyDescent="0.3">
      <c r="A1459" s="1">
        <v>1575</v>
      </c>
      <c r="C1459" s="1" t="s">
        <v>15</v>
      </c>
      <c r="D1459" s="7">
        <v>13.5</v>
      </c>
      <c r="E1459" s="1">
        <v>110</v>
      </c>
      <c r="F1459" s="1">
        <v>15</v>
      </c>
      <c r="G1459" s="1">
        <v>0.39894425228844421</v>
      </c>
      <c r="H1459" s="1">
        <v>1.8238094900347541</v>
      </c>
      <c r="I1459" s="1">
        <v>432.52249305705925</v>
      </c>
      <c r="K1459" s="1">
        <f t="shared" si="66"/>
        <v>0.47523065283474109</v>
      </c>
      <c r="L1459" s="1">
        <f t="shared" si="67"/>
        <v>0.93109698154956766</v>
      </c>
      <c r="M1459" s="1">
        <f t="shared" si="68"/>
        <v>220.54379347826475</v>
      </c>
      <c r="N1459"/>
      <c r="P1459" s="1"/>
    </row>
    <row r="1460" spans="1:19" x14ac:dyDescent="0.3">
      <c r="A1460" s="1">
        <v>1576</v>
      </c>
      <c r="C1460" s="1" t="s">
        <v>15</v>
      </c>
      <c r="D1460" s="7">
        <v>13.5</v>
      </c>
      <c r="E1460" s="1">
        <v>111</v>
      </c>
      <c r="F1460" s="1">
        <v>30</v>
      </c>
      <c r="G1460" s="1">
        <v>0.40412434762798177</v>
      </c>
      <c r="H1460" s="1">
        <v>1.818844598907724</v>
      </c>
      <c r="I1460" s="1">
        <v>446.84902358083076</v>
      </c>
      <c r="K1460" s="1">
        <f t="shared" si="66"/>
        <v>0.48140128964886603</v>
      </c>
      <c r="L1460" s="1">
        <f t="shared" si="67"/>
        <v>0.92856228964925747</v>
      </c>
      <c r="M1460" s="1">
        <f t="shared" si="68"/>
        <v>227.84891041394721</v>
      </c>
      <c r="N1460"/>
      <c r="P1460" s="1"/>
    </row>
    <row r="1461" spans="1:19" x14ac:dyDescent="0.3">
      <c r="A1461" s="1">
        <v>1577</v>
      </c>
      <c r="C1461" s="1" t="s">
        <v>15</v>
      </c>
      <c r="D1461" s="7">
        <v>13.5</v>
      </c>
      <c r="E1461" s="1">
        <v>112</v>
      </c>
      <c r="F1461" s="1">
        <v>45</v>
      </c>
      <c r="G1461" s="1">
        <v>0.40715055717145388</v>
      </c>
      <c r="H1461" s="1">
        <v>1.8198375771331299</v>
      </c>
      <c r="I1461" s="1">
        <v>455.94383653989513</v>
      </c>
      <c r="K1461" s="1">
        <f t="shared" si="66"/>
        <v>0.4850061731099245</v>
      </c>
      <c r="L1461" s="1">
        <f t="shared" si="67"/>
        <v>0.92906922802931924</v>
      </c>
      <c r="M1461" s="1">
        <f t="shared" si="68"/>
        <v>232.48636761713303</v>
      </c>
      <c r="N1461"/>
      <c r="P1461" s="1"/>
    </row>
    <row r="1462" spans="1:19" x14ac:dyDescent="0.3">
      <c r="A1462" s="1">
        <v>1578</v>
      </c>
      <c r="C1462" s="1" t="s">
        <v>15</v>
      </c>
      <c r="D1462" s="7">
        <v>13.5</v>
      </c>
      <c r="E1462" s="1">
        <v>113</v>
      </c>
      <c r="F1462" s="1">
        <v>0</v>
      </c>
      <c r="G1462" s="1">
        <v>0.39943964602153931</v>
      </c>
      <c r="H1462" s="1">
        <v>1.8158656642315056</v>
      </c>
      <c r="I1462" s="1">
        <v>441.6688948784207</v>
      </c>
      <c r="K1462" s="1">
        <f t="shared" si="66"/>
        <v>0.47582077610594636</v>
      </c>
      <c r="L1462" s="1">
        <f t="shared" si="67"/>
        <v>0.92704147450907104</v>
      </c>
      <c r="M1462" s="1">
        <f t="shared" si="68"/>
        <v>225.20755591083136</v>
      </c>
      <c r="N1462" s="1">
        <f>SLOPE(K1462:K1465,F1462:F1465)</f>
        <v>3.6408040080013708E-4</v>
      </c>
      <c r="O1462" s="1">
        <f>SLOPE(L1462:L1465,F1462:F1465)</f>
        <v>1.351835680166206E-5</v>
      </c>
      <c r="P1462" s="1">
        <f>SLOPE(M1462:M1465,F1462:F1465)</f>
        <v>0.22679234036712312</v>
      </c>
      <c r="Q1462" s="1">
        <f>(N1462*41.35/0.31*60)/1000</f>
        <v>2.9138176593069042E-3</v>
      </c>
      <c r="R1462" s="1">
        <f>O1462*41.35/0.31*60/1000</f>
        <v>1.0819046201588248E-4</v>
      </c>
      <c r="S1462" s="1">
        <f>(O1462*41.35/0.31*60)/1000</f>
        <v>1.0819046201588248E-4</v>
      </c>
    </row>
    <row r="1463" spans="1:19" x14ac:dyDescent="0.3">
      <c r="A1463" s="1">
        <v>1579</v>
      </c>
      <c r="C1463" s="1" t="s">
        <v>15</v>
      </c>
      <c r="D1463" s="7">
        <v>13.5</v>
      </c>
      <c r="E1463" s="1">
        <v>114</v>
      </c>
      <c r="F1463" s="1">
        <v>15</v>
      </c>
      <c r="G1463" s="1">
        <v>0.40647208314569322</v>
      </c>
      <c r="H1463" s="1">
        <v>1.8198375771331299</v>
      </c>
      <c r="I1463" s="1">
        <v>440.93350070410861</v>
      </c>
      <c r="K1463" s="1">
        <f t="shared" si="66"/>
        <v>0.48419796080370853</v>
      </c>
      <c r="L1463" s="1">
        <f t="shared" si="67"/>
        <v>0.92906922802931924</v>
      </c>
      <c r="M1463" s="1">
        <f t="shared" si="68"/>
        <v>224.83257744495259</v>
      </c>
      <c r="N1463"/>
      <c r="P1463" s="1"/>
    </row>
    <row r="1464" spans="1:19" x14ac:dyDescent="0.3">
      <c r="A1464" s="1">
        <v>1580</v>
      </c>
      <c r="C1464" s="1" t="s">
        <v>15</v>
      </c>
      <c r="D1464" s="7">
        <v>13.5</v>
      </c>
      <c r="E1464" s="1">
        <v>115</v>
      </c>
      <c r="F1464" s="1">
        <v>30</v>
      </c>
      <c r="G1464" s="1">
        <v>0.4089921295270898</v>
      </c>
      <c r="H1464" s="1">
        <v>1.8148726860060997</v>
      </c>
      <c r="I1464" s="1">
        <v>449.97065552295874</v>
      </c>
      <c r="K1464" s="1">
        <f t="shared" si="66"/>
        <v>0.48719989222679627</v>
      </c>
      <c r="L1464" s="1">
        <f t="shared" si="67"/>
        <v>0.92653453612900927</v>
      </c>
      <c r="M1464" s="1">
        <f t="shared" si="68"/>
        <v>229.44063468588934</v>
      </c>
      <c r="N1464"/>
      <c r="P1464" s="1"/>
    </row>
    <row r="1465" spans="1:19" x14ac:dyDescent="0.3">
      <c r="A1465" s="1">
        <v>1581</v>
      </c>
      <c r="C1465" s="1" t="s">
        <v>15</v>
      </c>
      <c r="D1465" s="7">
        <v>13.5</v>
      </c>
      <c r="E1465" s="1">
        <v>116</v>
      </c>
      <c r="F1465" s="1">
        <v>45</v>
      </c>
      <c r="G1465" s="1">
        <v>0.41388145028415851</v>
      </c>
      <c r="H1465" s="1">
        <v>1.818844598907724</v>
      </c>
      <c r="I1465" s="1">
        <v>460.89535577408714</v>
      </c>
      <c r="K1465" s="1">
        <f t="shared" si="66"/>
        <v>0.4930241523382573</v>
      </c>
      <c r="L1465" s="1">
        <f t="shared" si="67"/>
        <v>0.92856228964925747</v>
      </c>
      <c r="M1465" s="1">
        <f t="shared" si="68"/>
        <v>235.01115384887527</v>
      </c>
      <c r="N1465"/>
      <c r="P1465" s="1"/>
    </row>
    <row r="1466" spans="1:19" x14ac:dyDescent="0.3">
      <c r="A1466" s="1">
        <v>1582</v>
      </c>
      <c r="C1466" s="1" t="s">
        <v>15</v>
      </c>
      <c r="D1466" s="7">
        <v>13.5</v>
      </c>
      <c r="E1466" s="1">
        <v>117</v>
      </c>
      <c r="F1466" s="1">
        <v>0</v>
      </c>
      <c r="G1466" s="1">
        <v>0.39542264901187713</v>
      </c>
      <c r="H1466" s="1">
        <v>1.8257954464855661</v>
      </c>
      <c r="I1466" s="1">
        <v>422.65688180249862</v>
      </c>
      <c r="K1466" s="1">
        <f t="shared" si="66"/>
        <v>0.47103564610247733</v>
      </c>
      <c r="L1466" s="1">
        <f t="shared" si="67"/>
        <v>0.93211085830969165</v>
      </c>
      <c r="M1466" s="1">
        <f t="shared" si="68"/>
        <v>215.51330520080163</v>
      </c>
      <c r="N1466" s="1">
        <f>SLOPE(K1466:K1469,F1466:F1469)</f>
        <v>2.6444364558939022E-4</v>
      </c>
      <c r="O1466" s="1">
        <f>SLOPE(L1466:L1469,F1466:F1469)</f>
        <v>-1.5208151401861159E-4</v>
      </c>
      <c r="P1466" s="1">
        <f>SLOPE(M1466:M1469,F1466:F1469)</f>
        <v>1.2625959928036039</v>
      </c>
      <c r="Q1466" s="1">
        <f>(N1466*41.35/0.31*60)/1000</f>
        <v>2.1164022087331522E-3</v>
      </c>
      <c r="R1466" s="1">
        <f>O1466*41.35/0.31*60/1000</f>
        <v>-1.2171426976779851E-3</v>
      </c>
      <c r="S1466" s="1">
        <f>(O1466*41.35/0.31*60)/1000</f>
        <v>-1.2171426976779851E-3</v>
      </c>
    </row>
    <row r="1467" spans="1:19" x14ac:dyDescent="0.3">
      <c r="A1467" s="1">
        <v>1583</v>
      </c>
      <c r="C1467" s="1" t="s">
        <v>15</v>
      </c>
      <c r="D1467" s="7">
        <v>13.5</v>
      </c>
      <c r="E1467" s="1">
        <v>118</v>
      </c>
      <c r="F1467" s="1">
        <v>15</v>
      </c>
      <c r="G1467" s="1">
        <v>0.40086121064694252</v>
      </c>
      <c r="H1467" s="1">
        <v>1.8257954464855661</v>
      </c>
      <c r="I1467" s="1">
        <v>483.43058468099821</v>
      </c>
      <c r="K1467" s="1">
        <f t="shared" si="66"/>
        <v>0.47751417331897028</v>
      </c>
      <c r="L1467" s="1">
        <f t="shared" si="67"/>
        <v>0.93211085830969165</v>
      </c>
      <c r="M1467" s="1">
        <f t="shared" si="68"/>
        <v>246.50189698896801</v>
      </c>
      <c r="N1467"/>
      <c r="P1467" s="1"/>
    </row>
    <row r="1468" spans="1:19" x14ac:dyDescent="0.3">
      <c r="A1468" s="1">
        <v>1584</v>
      </c>
      <c r="C1468" s="1" t="s">
        <v>15</v>
      </c>
      <c r="D1468" s="7">
        <v>13.5</v>
      </c>
      <c r="E1468" s="1">
        <v>119</v>
      </c>
      <c r="F1468" s="1">
        <v>30</v>
      </c>
      <c r="G1468" s="1">
        <v>0.40527667652887683</v>
      </c>
      <c r="H1468" s="1">
        <v>1.8138797077806936</v>
      </c>
      <c r="I1468" s="1">
        <v>532.17194408846331</v>
      </c>
      <c r="K1468" s="1">
        <f t="shared" si="66"/>
        <v>0.48277396769275666</v>
      </c>
      <c r="L1468" s="1">
        <f t="shared" si="67"/>
        <v>0.92602759774894705</v>
      </c>
      <c r="M1468" s="1">
        <f t="shared" si="68"/>
        <v>271.35518086567902</v>
      </c>
      <c r="N1468"/>
      <c r="P1468" s="1"/>
    </row>
    <row r="1469" spans="1:19" x14ac:dyDescent="0.3">
      <c r="A1469" s="1">
        <v>1585</v>
      </c>
      <c r="C1469" s="1" t="s">
        <v>15</v>
      </c>
      <c r="D1469" s="7">
        <v>13.5</v>
      </c>
      <c r="E1469" s="1">
        <v>120</v>
      </c>
      <c r="F1469" s="1">
        <v>45</v>
      </c>
      <c r="G1469" s="1">
        <v>0.40505051852029</v>
      </c>
      <c r="H1469" s="1">
        <v>1.8148726860060997</v>
      </c>
      <c r="I1469" s="1">
        <v>530.2176365990947</v>
      </c>
      <c r="K1469" s="1">
        <f t="shared" si="66"/>
        <v>0.48250456359068472</v>
      </c>
      <c r="L1469" s="1">
        <f t="shared" si="67"/>
        <v>0.92653453612900927</v>
      </c>
      <c r="M1469" s="1">
        <f t="shared" si="68"/>
        <v>270.35867688207816</v>
      </c>
      <c r="N1469"/>
      <c r="P1469" s="1"/>
    </row>
    <row r="1470" spans="1:19" x14ac:dyDescent="0.3">
      <c r="A1470" s="1">
        <v>1586</v>
      </c>
      <c r="C1470" s="1" t="s">
        <v>15</v>
      </c>
      <c r="D1470" s="7">
        <v>13.5</v>
      </c>
      <c r="E1470" s="1">
        <v>121</v>
      </c>
      <c r="F1470" s="1">
        <v>0</v>
      </c>
      <c r="G1470" s="1">
        <v>0.391405652002215</v>
      </c>
      <c r="H1470" s="1">
        <v>1.818844598907724</v>
      </c>
      <c r="I1470" s="1">
        <v>404.03127942064418</v>
      </c>
      <c r="K1470" s="1">
        <f t="shared" si="66"/>
        <v>0.46625051609900831</v>
      </c>
      <c r="L1470" s="1">
        <f t="shared" si="67"/>
        <v>0.92856228964925747</v>
      </c>
      <c r="M1470" s="1">
        <f t="shared" si="68"/>
        <v>206.01608581672193</v>
      </c>
      <c r="N1470" s="1">
        <f>SLOPE(K1470:K1473,F1470:F1473)</f>
        <v>1.6976734686123448E-4</v>
      </c>
      <c r="O1470" s="1">
        <f>SLOPE(L1470:L1473,F1470:F1473)</f>
        <v>1.1152644361364983E-4</v>
      </c>
      <c r="P1470" s="1">
        <f>SLOPE(M1470:M1473,F1470:F1473)</f>
        <v>0.62571028427843678</v>
      </c>
      <c r="Q1470" s="1">
        <f>(N1470*41.35/0.31*60)/1000</f>
        <v>1.358686411492654E-3</v>
      </c>
      <c r="R1470" s="1">
        <f>O1470*41.35/0.31*60/1000</f>
        <v>8.9257131163053311E-4</v>
      </c>
      <c r="S1470" s="1">
        <f>(O1470*41.35/0.31*60)/1000</f>
        <v>8.9257131163053311E-4</v>
      </c>
    </row>
    <row r="1471" spans="1:19" x14ac:dyDescent="0.3">
      <c r="A1471" s="1">
        <v>1587</v>
      </c>
      <c r="C1471" s="1" t="s">
        <v>15</v>
      </c>
      <c r="D1471" s="7">
        <v>13.5</v>
      </c>
      <c r="E1471" s="1">
        <v>122</v>
      </c>
      <c r="F1471" s="1">
        <v>15</v>
      </c>
      <c r="G1471" s="1">
        <v>0.39346261293745755</v>
      </c>
      <c r="H1471" s="1">
        <v>1.8128867295552877</v>
      </c>
      <c r="I1471" s="1">
        <v>434.42824632308947</v>
      </c>
      <c r="K1471" s="1">
        <f t="shared" si="66"/>
        <v>0.46870081055118684</v>
      </c>
      <c r="L1471" s="1">
        <f t="shared" si="67"/>
        <v>0.92552065936888506</v>
      </c>
      <c r="M1471" s="1">
        <f t="shared" si="68"/>
        <v>221.51553959891899</v>
      </c>
      <c r="N1471"/>
      <c r="P1471" s="1"/>
    </row>
    <row r="1472" spans="1:19" x14ac:dyDescent="0.3">
      <c r="A1472" s="1">
        <v>1588</v>
      </c>
      <c r="C1472" s="1" t="s">
        <v>15</v>
      </c>
      <c r="D1472" s="7">
        <v>13.5</v>
      </c>
      <c r="E1472" s="1">
        <v>123</v>
      </c>
      <c r="F1472" s="1">
        <v>30</v>
      </c>
      <c r="G1472" s="1">
        <v>0.39380723466482803</v>
      </c>
      <c r="H1472" s="1">
        <v>1.8277814029363786</v>
      </c>
      <c r="I1472" s="1">
        <v>439.48294328187541</v>
      </c>
      <c r="K1472" s="1">
        <f t="shared" si="66"/>
        <v>0.46911133108767755</v>
      </c>
      <c r="L1472" s="1">
        <f t="shared" si="67"/>
        <v>0.93312473506981597</v>
      </c>
      <c r="M1472" s="1">
        <f t="shared" si="68"/>
        <v>224.09293628942277</v>
      </c>
      <c r="N1472"/>
      <c r="P1472" s="1"/>
    </row>
    <row r="1473" spans="1:19" x14ac:dyDescent="0.3">
      <c r="A1473" s="1">
        <v>1589</v>
      </c>
      <c r="C1473" s="1" t="s">
        <v>15</v>
      </c>
      <c r="D1473" s="7">
        <v>13.5</v>
      </c>
      <c r="E1473" s="1">
        <v>124</v>
      </c>
      <c r="F1473" s="1">
        <v>45</v>
      </c>
      <c r="G1473" s="1">
        <v>0.39841655026840822</v>
      </c>
      <c r="H1473" s="1">
        <v>1.8248024682601602</v>
      </c>
      <c r="I1473" s="1">
        <v>463.70239681083541</v>
      </c>
      <c r="K1473" s="1">
        <f t="shared" si="66"/>
        <v>0.47460204326323979</v>
      </c>
      <c r="L1473" s="1">
        <f t="shared" si="67"/>
        <v>0.93160391992962965</v>
      </c>
      <c r="M1473" s="1">
        <f t="shared" si="68"/>
        <v>236.44246780047584</v>
      </c>
      <c r="N1473"/>
      <c r="P1473" s="1"/>
    </row>
    <row r="1474" spans="1:19" x14ac:dyDescent="0.3">
      <c r="A1474" s="1">
        <v>1590</v>
      </c>
      <c r="C1474" s="1" t="s">
        <v>15</v>
      </c>
      <c r="D1474" s="7">
        <v>13.5</v>
      </c>
      <c r="E1474" s="1">
        <v>125</v>
      </c>
      <c r="F1474" s="1">
        <v>0</v>
      </c>
      <c r="G1474" s="1">
        <v>0.39170719601366416</v>
      </c>
      <c r="H1474" s="1">
        <v>1.818844598907724</v>
      </c>
      <c r="I1474" s="1">
        <v>423.72608626226184</v>
      </c>
      <c r="K1474" s="1">
        <f t="shared" si="66"/>
        <v>0.46660972156843761</v>
      </c>
      <c r="L1474" s="1">
        <f t="shared" si="67"/>
        <v>0.92856228964925747</v>
      </c>
      <c r="M1474" s="1">
        <f t="shared" si="68"/>
        <v>216.05849397443833</v>
      </c>
      <c r="N1474" s="1">
        <f>SLOPE(K1474:K1477,F1474:F1477)</f>
        <v>3.6690272948850895E-5</v>
      </c>
      <c r="O1474" s="1">
        <f>SLOPE(L1474:L1477,F1474:F1477)</f>
        <v>3.3795892004132949E-6</v>
      </c>
      <c r="P1474" s="1">
        <f>SLOPE(M1474:M1477,F1474:F1477)</f>
        <v>0.54525066829404822</v>
      </c>
      <c r="Q1474" s="1">
        <f>(N1474*41.35/0.31*60)/1000</f>
        <v>2.9364053930999701E-4</v>
      </c>
      <c r="R1474" s="1">
        <f>O1474*41.35/0.31*60/1000</f>
        <v>2.7047615503952856E-5</v>
      </c>
      <c r="S1474" s="1">
        <f>(O1474*41.35/0.31*60)/1000</f>
        <v>2.7047615503952856E-5</v>
      </c>
    </row>
    <row r="1475" spans="1:19" x14ac:dyDescent="0.3">
      <c r="A1475" s="1">
        <v>1591</v>
      </c>
      <c r="C1475" s="1" t="s">
        <v>15</v>
      </c>
      <c r="D1475" s="7">
        <v>13.5</v>
      </c>
      <c r="E1475" s="1">
        <v>126</v>
      </c>
      <c r="F1475" s="1">
        <v>15</v>
      </c>
      <c r="G1475" s="1">
        <v>0.39561649873352306</v>
      </c>
      <c r="H1475" s="1">
        <v>1.8277814029363786</v>
      </c>
      <c r="I1475" s="1">
        <v>455.74658500758312</v>
      </c>
      <c r="K1475" s="1">
        <f t="shared" ref="K1475:K1512" si="69">(G1475*28*1)/(0.082*(D1475+273.15))</f>
        <v>0.47126656390425337</v>
      </c>
      <c r="L1475" s="1">
        <f t="shared" ref="L1475:L1512" si="70">(H1475*12*1)/(0.082*(D1475+273.15))</f>
        <v>0.93312473506981597</v>
      </c>
      <c r="M1475" s="1">
        <f t="shared" ref="M1475:M1512" si="71">(I1475*12*1)/(0.0821*(D1475+273.15))</f>
        <v>232.38578879891244</v>
      </c>
      <c r="N1475"/>
      <c r="P1475" s="1"/>
    </row>
    <row r="1476" spans="1:19" x14ac:dyDescent="0.3">
      <c r="A1476" s="1">
        <v>1592</v>
      </c>
      <c r="C1476" s="1" t="s">
        <v>15</v>
      </c>
      <c r="D1476" s="7">
        <v>13.5</v>
      </c>
      <c r="E1476" s="1">
        <v>127</v>
      </c>
      <c r="F1476" s="1">
        <v>30</v>
      </c>
      <c r="G1476" s="1">
        <v>0.39080256397931668</v>
      </c>
      <c r="H1476" s="1">
        <v>1.8287743811617845</v>
      </c>
      <c r="I1476" s="1">
        <v>444.2968922166088</v>
      </c>
      <c r="K1476" s="1">
        <f t="shared" si="69"/>
        <v>0.46553210516014976</v>
      </c>
      <c r="L1476" s="1">
        <f t="shared" si="70"/>
        <v>0.93363167344987796</v>
      </c>
      <c r="M1476" s="1">
        <f t="shared" si="71"/>
        <v>226.54757524281632</v>
      </c>
      <c r="N1476"/>
      <c r="P1476" s="1"/>
    </row>
    <row r="1477" spans="1:19" x14ac:dyDescent="0.3">
      <c r="A1477" s="1">
        <v>1593</v>
      </c>
      <c r="C1477" s="1" t="s">
        <v>15</v>
      </c>
      <c r="D1477" s="7">
        <v>13.5</v>
      </c>
      <c r="E1477" s="1">
        <v>128</v>
      </c>
      <c r="F1477" s="1">
        <v>45</v>
      </c>
      <c r="G1477" s="1">
        <v>0.39485186927591975</v>
      </c>
      <c r="H1477" s="1">
        <v>1.818844598907724</v>
      </c>
      <c r="I1477" s="1">
        <v>481.00894279199804</v>
      </c>
      <c r="K1477" s="1">
        <f t="shared" si="69"/>
        <v>0.47035572146391469</v>
      </c>
      <c r="L1477" s="1">
        <f t="shared" si="70"/>
        <v>0.92856228964925747</v>
      </c>
      <c r="M1477" s="1">
        <f t="shared" si="71"/>
        <v>245.26709857450612</v>
      </c>
      <c r="N1477"/>
      <c r="P1477" s="1"/>
    </row>
    <row r="1478" spans="1:19" x14ac:dyDescent="0.3">
      <c r="A1478" s="1">
        <v>1594</v>
      </c>
      <c r="C1478" s="1" t="s">
        <v>15</v>
      </c>
      <c r="D1478" s="7">
        <v>13.5</v>
      </c>
      <c r="E1478" s="1">
        <v>129</v>
      </c>
      <c r="F1478" s="1">
        <v>0</v>
      </c>
      <c r="G1478" s="1">
        <v>0.39199797059613301</v>
      </c>
      <c r="H1478" s="1">
        <v>1.8307603376125965</v>
      </c>
      <c r="I1478" s="1">
        <v>409.63929221622345</v>
      </c>
      <c r="K1478" s="1">
        <f t="shared" si="69"/>
        <v>0.46695609827110157</v>
      </c>
      <c r="L1478" s="1">
        <f t="shared" si="70"/>
        <v>0.93464555021000206</v>
      </c>
      <c r="M1478" s="1">
        <f t="shared" si="71"/>
        <v>208.87561898705474</v>
      </c>
      <c r="N1478" s="1">
        <f>SLOPE(K1478:K1481,F1478:F1481)</f>
        <v>3.1729816466257166E-5</v>
      </c>
      <c r="O1478" s="1">
        <f>SLOPE(L1478:L1481,F1478:F1481)</f>
        <v>1.3518356801653918E-5</v>
      </c>
      <c r="P1478" s="1">
        <f>SLOPE(M1478:M1481,F1478:F1481)</f>
        <v>0.71191578762168284</v>
      </c>
      <c r="Q1478" s="1">
        <f>(N1478*41.35/0.31*60)/1000</f>
        <v>2.5394088597672273E-4</v>
      </c>
      <c r="R1478" s="1">
        <f>O1478*41.35/0.31*60/1000</f>
        <v>1.0819046201581732E-4</v>
      </c>
      <c r="S1478" s="1">
        <f>(O1478*41.35/0.31*60)/1000</f>
        <v>1.0819046201581732E-4</v>
      </c>
    </row>
    <row r="1479" spans="1:19" x14ac:dyDescent="0.3">
      <c r="A1479" s="1">
        <v>1595</v>
      </c>
      <c r="C1479" s="1" t="s">
        <v>15</v>
      </c>
      <c r="D1479" s="7">
        <v>13.5</v>
      </c>
      <c r="E1479" s="1">
        <v>130</v>
      </c>
      <c r="F1479" s="1">
        <v>15</v>
      </c>
      <c r="G1479" s="1">
        <v>0.39637035876214599</v>
      </c>
      <c r="H1479" s="1">
        <v>1.8396971416412511</v>
      </c>
      <c r="I1479" s="1">
        <v>444.60136765879298</v>
      </c>
      <c r="K1479" s="1">
        <f t="shared" si="69"/>
        <v>0.47216457757782665</v>
      </c>
      <c r="L1479" s="1">
        <f t="shared" si="70"/>
        <v>0.93920799563056057</v>
      </c>
      <c r="M1479" s="1">
        <f t="shared" si="71"/>
        <v>226.70282767504398</v>
      </c>
      <c r="N1479"/>
      <c r="P1479" s="1"/>
    </row>
    <row r="1480" spans="1:19" x14ac:dyDescent="0.3">
      <c r="A1480" s="1">
        <v>1596</v>
      </c>
      <c r="C1480" s="1" t="s">
        <v>15</v>
      </c>
      <c r="D1480" s="7">
        <v>13.5</v>
      </c>
      <c r="E1480" s="1">
        <v>131</v>
      </c>
      <c r="F1480" s="1">
        <v>30</v>
      </c>
      <c r="G1480" s="1">
        <v>0.38850867560650693</v>
      </c>
      <c r="H1480" s="1">
        <v>1.8377111851904391</v>
      </c>
      <c r="I1480" s="1">
        <v>440.72107597700335</v>
      </c>
      <c r="K1480" s="1">
        <f t="shared" si="69"/>
        <v>0.46279957783913389</v>
      </c>
      <c r="L1480" s="1">
        <f t="shared" si="70"/>
        <v>0.93819411887043636</v>
      </c>
      <c r="M1480" s="1">
        <f t="shared" si="71"/>
        <v>224.72426179456122</v>
      </c>
      <c r="N1480"/>
      <c r="P1480" s="1"/>
    </row>
    <row r="1481" spans="1:19" x14ac:dyDescent="0.3">
      <c r="A1481" s="1">
        <v>1597</v>
      </c>
      <c r="C1481" s="1" t="s">
        <v>15</v>
      </c>
      <c r="D1481" s="7">
        <v>13.5</v>
      </c>
      <c r="E1481" s="1">
        <v>132</v>
      </c>
      <c r="F1481" s="1">
        <v>45</v>
      </c>
      <c r="G1481" s="1">
        <v>0.39595035103191323</v>
      </c>
      <c r="H1481" s="1">
        <v>1.8327462940634087</v>
      </c>
      <c r="I1481" s="1">
        <v>480.74189456363712</v>
      </c>
      <c r="K1481" s="1">
        <f t="shared" si="69"/>
        <v>0.47166425567397868</v>
      </c>
      <c r="L1481" s="1">
        <f t="shared" si="70"/>
        <v>0.93565942697012616</v>
      </c>
      <c r="M1481" s="1">
        <f t="shared" si="71"/>
        <v>245.1309303282998</v>
      </c>
      <c r="N1481"/>
      <c r="P1481" s="1"/>
    </row>
    <row r="1482" spans="1:19" x14ac:dyDescent="0.3">
      <c r="A1482" s="1">
        <v>1598</v>
      </c>
      <c r="C1482" s="1" t="s">
        <v>15</v>
      </c>
      <c r="D1482" s="7">
        <v>13.5</v>
      </c>
      <c r="E1482" s="1">
        <v>133</v>
      </c>
      <c r="F1482" s="1">
        <v>0</v>
      </c>
      <c r="G1482" s="1">
        <v>0.39336568807663463</v>
      </c>
      <c r="H1482" s="1">
        <v>1.818844598907724</v>
      </c>
      <c r="I1482" s="1">
        <v>484.63331325494181</v>
      </c>
      <c r="K1482" s="1">
        <f t="shared" si="69"/>
        <v>0.46858535165029891</v>
      </c>
      <c r="L1482" s="1">
        <f t="shared" si="70"/>
        <v>0.92856228964925747</v>
      </c>
      <c r="M1482" s="1">
        <f t="shared" si="71"/>
        <v>247.11516988570781</v>
      </c>
      <c r="N1482" s="1">
        <f>SLOPE(K1482:K1485,F1482:F1485)</f>
        <v>2.0389186645701588E-4</v>
      </c>
      <c r="O1482" s="1">
        <f>SLOPE(L1482:L1485,F1482:F1485)</f>
        <v>-9.1248908411173017E-5</v>
      </c>
      <c r="P1482" s="1">
        <f>SLOPE(M1482:M1485,F1482:F1485)</f>
        <v>0.76491824587987045</v>
      </c>
      <c r="Q1482" s="1">
        <f>(N1482*41.35/0.31*60)/1000</f>
        <v>1.6317926473543754E-3</v>
      </c>
      <c r="R1482" s="1">
        <f>O1482*41.35/0.31*60/1000</f>
        <v>-7.3028561860683948E-4</v>
      </c>
      <c r="S1482" s="1">
        <f>(O1482*41.35/0.31*60)/1000</f>
        <v>-7.3028561860683948E-4</v>
      </c>
    </row>
    <row r="1483" spans="1:19" x14ac:dyDescent="0.3">
      <c r="A1483" s="1">
        <v>1599</v>
      </c>
      <c r="C1483" s="1" t="s">
        <v>15</v>
      </c>
      <c r="D1483" s="7">
        <v>13.5</v>
      </c>
      <c r="E1483" s="1">
        <v>134</v>
      </c>
      <c r="F1483" s="1">
        <v>15</v>
      </c>
      <c r="G1483" s="1">
        <v>0.39667190277359515</v>
      </c>
      <c r="H1483" s="1">
        <v>1.8089148166536633</v>
      </c>
      <c r="I1483" s="1">
        <v>488.90102717711875</v>
      </c>
      <c r="K1483" s="1">
        <f t="shared" si="69"/>
        <v>0.47252378304725595</v>
      </c>
      <c r="L1483" s="1">
        <f t="shared" si="70"/>
        <v>0.92349290584863664</v>
      </c>
      <c r="M1483" s="1">
        <f t="shared" si="71"/>
        <v>249.29128288095208</v>
      </c>
      <c r="N1483"/>
      <c r="P1483" s="1"/>
    </row>
    <row r="1484" spans="1:19" x14ac:dyDescent="0.3">
      <c r="A1484" s="1">
        <v>1600</v>
      </c>
      <c r="C1484" s="1" t="s">
        <v>15</v>
      </c>
      <c r="D1484" s="7">
        <v>13.5</v>
      </c>
      <c r="E1484" s="1">
        <v>135</v>
      </c>
      <c r="F1484" s="1">
        <v>30</v>
      </c>
      <c r="G1484" s="1">
        <v>0.39937502944765729</v>
      </c>
      <c r="H1484" s="1">
        <v>1.8059358819774451</v>
      </c>
      <c r="I1484" s="1">
        <v>521.964430177895</v>
      </c>
      <c r="K1484" s="1">
        <f t="shared" si="69"/>
        <v>0.47574380350535433</v>
      </c>
      <c r="L1484" s="1">
        <f t="shared" si="70"/>
        <v>0.92197209070845054</v>
      </c>
      <c r="M1484" s="1">
        <f t="shared" si="71"/>
        <v>266.15035596996682</v>
      </c>
      <c r="N1484"/>
      <c r="P1484" s="1"/>
    </row>
    <row r="1485" spans="1:19" x14ac:dyDescent="0.3">
      <c r="A1485" s="1">
        <v>1601</v>
      </c>
      <c r="C1485" s="1" t="s">
        <v>15</v>
      </c>
      <c r="D1485" s="7">
        <v>13.5</v>
      </c>
      <c r="E1485" s="1">
        <v>136</v>
      </c>
      <c r="F1485" s="1">
        <v>45</v>
      </c>
      <c r="G1485" s="1">
        <v>0.40102275208164745</v>
      </c>
      <c r="H1485" s="1">
        <v>1.8109007731044753</v>
      </c>
      <c r="I1485" s="1">
        <v>548.61867569800916</v>
      </c>
      <c r="K1485" s="1">
        <f t="shared" si="69"/>
        <v>0.47770660482045024</v>
      </c>
      <c r="L1485" s="1">
        <f t="shared" si="70"/>
        <v>0.92450678260876085</v>
      </c>
      <c r="M1485" s="1">
        <f t="shared" si="71"/>
        <v>279.74139115002976</v>
      </c>
      <c r="N1485"/>
      <c r="P1485" s="1"/>
    </row>
    <row r="1486" spans="1:19" x14ac:dyDescent="0.3">
      <c r="A1486" s="1">
        <v>1602</v>
      </c>
      <c r="C1486" s="1" t="s">
        <v>15</v>
      </c>
      <c r="D1486" s="7">
        <v>13.5</v>
      </c>
      <c r="E1486" s="1">
        <v>137</v>
      </c>
      <c r="F1486" s="1">
        <v>0</v>
      </c>
      <c r="G1486" s="1">
        <v>0.39324722435785103</v>
      </c>
      <c r="H1486" s="1">
        <v>1.8357252287396268</v>
      </c>
      <c r="I1486" s="1">
        <v>408.84522835537757</v>
      </c>
      <c r="K1486" s="1">
        <f t="shared" si="69"/>
        <v>0.46844423521588024</v>
      </c>
      <c r="L1486" s="1">
        <f t="shared" si="70"/>
        <v>0.93718024211031237</v>
      </c>
      <c r="M1486" s="1">
        <f t="shared" si="71"/>
        <v>208.47072477011551</v>
      </c>
      <c r="N1486" s="1">
        <f>SLOPE(K1486:K1489,F1486:F1489)</f>
        <v>4.4062537583328489E-4</v>
      </c>
      <c r="O1486" s="1">
        <f>SLOPE(L1486:L1489,F1486:F1489)</f>
        <v>-3.7851399044633858E-4</v>
      </c>
      <c r="P1486" s="1">
        <f>SLOPE(M1486:M1489,F1486:F1489)</f>
        <v>2.2515660211660915</v>
      </c>
      <c r="Q1486" s="1">
        <f>(N1486*41.35/0.31*60)/1000</f>
        <v>3.5264243788463868E-3</v>
      </c>
      <c r="R1486" s="1">
        <f>O1486*41.35/0.31*60/1000</f>
        <v>-3.0293329364431162E-3</v>
      </c>
      <c r="S1486" s="1">
        <f>(O1486*41.35/0.31*60)/1000</f>
        <v>-3.0293329364431162E-3</v>
      </c>
    </row>
    <row r="1487" spans="1:19" x14ac:dyDescent="0.3">
      <c r="A1487" s="1">
        <v>1603</v>
      </c>
      <c r="C1487" s="1" t="s">
        <v>15</v>
      </c>
      <c r="D1487" s="7">
        <v>13.5</v>
      </c>
      <c r="E1487" s="1">
        <v>138</v>
      </c>
      <c r="F1487" s="1">
        <v>15</v>
      </c>
      <c r="G1487" s="1">
        <v>0.39911656315212951</v>
      </c>
      <c r="H1487" s="1">
        <v>1.8079218384282574</v>
      </c>
      <c r="I1487" s="1">
        <v>522.18090109027844</v>
      </c>
      <c r="K1487" s="1">
        <f t="shared" si="69"/>
        <v>0.47543591310298644</v>
      </c>
      <c r="L1487" s="1">
        <f t="shared" si="70"/>
        <v>0.92298596746857486</v>
      </c>
      <c r="M1487" s="1">
        <f t="shared" si="71"/>
        <v>266.26073477560374</v>
      </c>
      <c r="N1487"/>
      <c r="P1487" s="1"/>
    </row>
    <row r="1488" spans="1:19" x14ac:dyDescent="0.3">
      <c r="A1488" s="1">
        <v>1604</v>
      </c>
      <c r="C1488" s="1" t="s">
        <v>15</v>
      </c>
      <c r="D1488" s="7">
        <v>13.5</v>
      </c>
      <c r="E1488" s="1">
        <v>139</v>
      </c>
      <c r="F1488" s="1">
        <v>30</v>
      </c>
      <c r="G1488" s="1">
        <v>0.40387665076143425</v>
      </c>
      <c r="H1488" s="1">
        <v>1.8128867295552877</v>
      </c>
      <c r="I1488" s="1">
        <v>539.48845861776056</v>
      </c>
      <c r="K1488" s="1">
        <f t="shared" si="69"/>
        <v>0.48110622801326336</v>
      </c>
      <c r="L1488" s="1">
        <f t="shared" si="70"/>
        <v>0.92552065936888506</v>
      </c>
      <c r="M1488" s="1">
        <f t="shared" si="71"/>
        <v>275.0858813384454</v>
      </c>
      <c r="N1488"/>
      <c r="P1488" s="1"/>
    </row>
    <row r="1489" spans="1:19" x14ac:dyDescent="0.3">
      <c r="A1489" s="1">
        <v>1605</v>
      </c>
      <c r="C1489" s="1" t="s">
        <v>15</v>
      </c>
      <c r="D1489" s="7">
        <v>13.5</v>
      </c>
      <c r="E1489" s="1">
        <v>140</v>
      </c>
      <c r="F1489" s="1">
        <v>45</v>
      </c>
      <c r="G1489" s="1">
        <v>0.41015522785696518</v>
      </c>
      <c r="H1489" s="1">
        <v>1.7969990779487908</v>
      </c>
      <c r="I1489" s="1">
        <v>623.86052558501706</v>
      </c>
      <c r="K1489" s="1">
        <f t="shared" si="69"/>
        <v>0.48858539903745218</v>
      </c>
      <c r="L1489" s="1">
        <f t="shared" si="70"/>
        <v>0.91740964528789204</v>
      </c>
      <c r="M1489" s="1">
        <f t="shared" si="71"/>
        <v>318.10731030747286</v>
      </c>
      <c r="N1489"/>
      <c r="P1489" s="1"/>
    </row>
    <row r="1490" spans="1:19" x14ac:dyDescent="0.3">
      <c r="A1490" s="1">
        <v>1606</v>
      </c>
      <c r="C1490" s="1" t="s">
        <v>15</v>
      </c>
      <c r="D1490" s="7">
        <v>13.5</v>
      </c>
      <c r="E1490" s="1">
        <v>141</v>
      </c>
      <c r="F1490" s="1">
        <v>0</v>
      </c>
      <c r="G1490" s="1">
        <v>0.39101795255892324</v>
      </c>
      <c r="H1490" s="1">
        <v>1.820830555358536</v>
      </c>
      <c r="I1490" s="1">
        <v>436.53934349198806</v>
      </c>
      <c r="K1490" s="1">
        <f t="shared" si="69"/>
        <v>0.46578868049545646</v>
      </c>
      <c r="L1490" s="1">
        <f t="shared" si="70"/>
        <v>0.92957616640938145</v>
      </c>
      <c r="M1490" s="1">
        <f t="shared" si="71"/>
        <v>222.59199084828489</v>
      </c>
      <c r="N1490" s="1">
        <f>SLOPE(K1490:K1493,F1490:F1493)</f>
        <v>2.4588469633553771E-4</v>
      </c>
      <c r="O1490" s="1">
        <f>SLOPE(L1490:L1493,F1490:F1493)</f>
        <v>-2.3995083322937352E-4</v>
      </c>
      <c r="P1490" s="1">
        <f>SLOPE(M1490:M1493,F1490:F1493)</f>
        <v>1.753259011892466</v>
      </c>
      <c r="Q1490" s="1">
        <f>(N1490*41.35/0.31*60)/1000</f>
        <v>1.9678707471240935E-3</v>
      </c>
      <c r="R1490" s="1">
        <f>O1490*41.35/0.31*60/1000</f>
        <v>-1.9203807007808894E-3</v>
      </c>
      <c r="S1490" s="1">
        <f>(O1490*41.35/0.31*60)/1000</f>
        <v>-1.9203807007808894E-3</v>
      </c>
    </row>
    <row r="1491" spans="1:19" x14ac:dyDescent="0.3">
      <c r="A1491" s="1">
        <v>1607</v>
      </c>
      <c r="C1491" s="1" t="s">
        <v>15</v>
      </c>
      <c r="D1491" s="7">
        <v>13.5</v>
      </c>
      <c r="E1491" s="1">
        <v>142</v>
      </c>
      <c r="F1491" s="1">
        <v>15</v>
      </c>
      <c r="G1491" s="1">
        <v>0.39887963571456231</v>
      </c>
      <c r="H1491" s="1">
        <v>1.8109007731044753</v>
      </c>
      <c r="I1491" s="1">
        <v>500.12615668515321</v>
      </c>
      <c r="K1491" s="1">
        <f t="shared" si="69"/>
        <v>0.47515368023414911</v>
      </c>
      <c r="L1491" s="1">
        <f t="shared" si="70"/>
        <v>0.92450678260876085</v>
      </c>
      <c r="M1491" s="1">
        <f t="shared" si="71"/>
        <v>255.01499132092019</v>
      </c>
      <c r="N1491"/>
      <c r="P1491" s="1"/>
    </row>
    <row r="1492" spans="1:19" x14ac:dyDescent="0.3">
      <c r="A1492" s="1">
        <v>1608</v>
      </c>
      <c r="C1492" s="1" t="s">
        <v>15</v>
      </c>
      <c r="D1492" s="7">
        <v>13.5</v>
      </c>
      <c r="E1492" s="1">
        <v>143</v>
      </c>
      <c r="F1492" s="1">
        <v>30</v>
      </c>
      <c r="G1492" s="1">
        <v>0.40018273662118187</v>
      </c>
      <c r="H1492" s="1">
        <v>1.8118937513298816</v>
      </c>
      <c r="I1492" s="1">
        <v>551.18699180334397</v>
      </c>
      <c r="K1492" s="1">
        <f t="shared" si="69"/>
        <v>0.47670596101275425</v>
      </c>
      <c r="L1492" s="1">
        <f t="shared" si="70"/>
        <v>0.92501372098882306</v>
      </c>
      <c r="M1492" s="1">
        <f t="shared" si="71"/>
        <v>281.05097894214288</v>
      </c>
      <c r="N1492"/>
      <c r="P1492" s="1"/>
    </row>
    <row r="1493" spans="1:19" x14ac:dyDescent="0.3">
      <c r="A1493" s="1">
        <v>1609</v>
      </c>
      <c r="C1493" s="1" t="s">
        <v>15</v>
      </c>
      <c r="D1493" s="7">
        <v>13.5</v>
      </c>
      <c r="E1493" s="1">
        <v>144</v>
      </c>
      <c r="F1493" s="1">
        <v>45</v>
      </c>
      <c r="G1493" s="1">
        <v>0.4009042883628639</v>
      </c>
      <c r="H1493" s="1">
        <v>1.7969990779487908</v>
      </c>
      <c r="I1493" s="1">
        <v>591.44046604347398</v>
      </c>
      <c r="K1493" s="1">
        <f t="shared" si="69"/>
        <v>0.47756548838603163</v>
      </c>
      <c r="L1493" s="1">
        <f t="shared" si="70"/>
        <v>0.91740964528789204</v>
      </c>
      <c r="M1493" s="1">
        <f t="shared" si="71"/>
        <v>301.57627890250063</v>
      </c>
      <c r="N1493"/>
      <c r="P1493" s="1"/>
    </row>
    <row r="1494" spans="1:19" x14ac:dyDescent="0.3">
      <c r="A1494" s="1">
        <v>1610</v>
      </c>
      <c r="C1494" s="1" t="s">
        <v>15</v>
      </c>
      <c r="D1494" s="7">
        <v>13.5</v>
      </c>
      <c r="E1494" s="1">
        <v>145</v>
      </c>
      <c r="F1494" s="1">
        <v>0</v>
      </c>
      <c r="G1494" s="1">
        <v>0.39107179970382488</v>
      </c>
      <c r="H1494" s="1">
        <v>1.8178516206823179</v>
      </c>
      <c r="I1494" s="1">
        <v>420.9979458384384</v>
      </c>
      <c r="K1494" s="1">
        <f t="shared" si="69"/>
        <v>0.46585282432928304</v>
      </c>
      <c r="L1494" s="1">
        <f t="shared" si="70"/>
        <v>0.92805535126919525</v>
      </c>
      <c r="M1494" s="1">
        <f t="shared" si="71"/>
        <v>214.66741155012599</v>
      </c>
      <c r="N1494" s="1">
        <f>SLOPE(K1494:K1497,F1494:F1497)</f>
        <v>4.3557939423892228E-4</v>
      </c>
      <c r="O1494" s="1">
        <f>SLOPE(L1494:L1497,F1494:F1497)</f>
        <v>-3.5147727684302409E-4</v>
      </c>
      <c r="P1494" s="1">
        <f>SLOPE(M1494:M1497,F1494:F1497)</f>
        <v>1.7503327700358606</v>
      </c>
      <c r="Q1494" s="1">
        <f>(N1494*41.35/0.31*60)/1000</f>
        <v>3.4860402487315043E-3</v>
      </c>
      <c r="R1494" s="1">
        <f>O1494*41.35/0.31*60/1000</f>
        <v>-2.8129520124114283E-3</v>
      </c>
      <c r="S1494" s="1">
        <f>(O1494*41.35/0.31*60)/1000</f>
        <v>-2.8129520124114283E-3</v>
      </c>
    </row>
    <row r="1495" spans="1:19" x14ac:dyDescent="0.3">
      <c r="A1495" s="1">
        <v>1611</v>
      </c>
      <c r="C1495" s="1" t="s">
        <v>15</v>
      </c>
      <c r="D1495" s="7">
        <v>13.5</v>
      </c>
      <c r="E1495" s="1">
        <v>146</v>
      </c>
      <c r="F1495" s="1">
        <v>15</v>
      </c>
      <c r="G1495" s="1">
        <v>0.3971349882197493</v>
      </c>
      <c r="H1495" s="1">
        <v>1.8277814029363786</v>
      </c>
      <c r="I1495" s="1">
        <v>464.0078837993392</v>
      </c>
      <c r="K1495" s="1">
        <f t="shared" si="69"/>
        <v>0.47307542001816527</v>
      </c>
      <c r="L1495" s="1">
        <f t="shared" si="70"/>
        <v>0.93312473506981597</v>
      </c>
      <c r="M1495" s="1">
        <f t="shared" si="71"/>
        <v>236.59823602151488</v>
      </c>
      <c r="N1495"/>
      <c r="P1495" s="1"/>
    </row>
    <row r="1496" spans="1:19" x14ac:dyDescent="0.3">
      <c r="A1496" s="1">
        <v>1612</v>
      </c>
      <c r="C1496" s="1" t="s">
        <v>15</v>
      </c>
      <c r="D1496" s="7">
        <v>13.5</v>
      </c>
      <c r="E1496" s="1">
        <v>147</v>
      </c>
      <c r="F1496" s="1">
        <v>30</v>
      </c>
      <c r="G1496" s="1">
        <v>0.40119506294533275</v>
      </c>
      <c r="H1496" s="1">
        <v>1.7960060997233844</v>
      </c>
      <c r="I1496" s="1">
        <v>518.65667371297002</v>
      </c>
      <c r="K1496" s="1">
        <f t="shared" si="69"/>
        <v>0.4779118650886956</v>
      </c>
      <c r="L1496" s="1">
        <f t="shared" si="70"/>
        <v>0.91690270690782993</v>
      </c>
      <c r="M1496" s="1">
        <f t="shared" si="71"/>
        <v>264.4637265567294</v>
      </c>
      <c r="N1496"/>
      <c r="P1496" s="1"/>
    </row>
    <row r="1497" spans="1:19" x14ac:dyDescent="0.3">
      <c r="A1497" s="1">
        <v>1613</v>
      </c>
      <c r="C1497" s="1" t="s">
        <v>15</v>
      </c>
      <c r="D1497" s="7">
        <v>13.5</v>
      </c>
      <c r="E1497" s="1">
        <v>148</v>
      </c>
      <c r="F1497" s="1">
        <v>45</v>
      </c>
      <c r="G1497" s="1">
        <v>0.40800134206089966</v>
      </c>
      <c r="H1497" s="1">
        <v>1.7940201432725726</v>
      </c>
      <c r="I1497" s="1">
        <v>574.41614148546557</v>
      </c>
      <c r="K1497" s="1">
        <f t="shared" si="69"/>
        <v>0.48601964568438571</v>
      </c>
      <c r="L1497" s="1">
        <f t="shared" si="70"/>
        <v>0.91588883014770606</v>
      </c>
      <c r="M1497" s="1">
        <f t="shared" si="71"/>
        <v>292.89555320684752</v>
      </c>
      <c r="N1497"/>
      <c r="P1497" s="1"/>
    </row>
    <row r="1498" spans="1:19" x14ac:dyDescent="0.3">
      <c r="A1498" s="1">
        <v>1614</v>
      </c>
      <c r="C1498" s="1" t="s">
        <v>15</v>
      </c>
      <c r="D1498" s="7">
        <v>13.5</v>
      </c>
      <c r="E1498" s="1">
        <v>149</v>
      </c>
      <c r="F1498" s="1">
        <v>0</v>
      </c>
      <c r="G1498" s="1">
        <v>0.39341953522153628</v>
      </c>
      <c r="H1498" s="1">
        <v>1.8238094900347541</v>
      </c>
      <c r="I1498" s="1">
        <v>409.164876992355</v>
      </c>
      <c r="K1498" s="1">
        <f t="shared" si="69"/>
        <v>0.4686494954841256</v>
      </c>
      <c r="L1498" s="1">
        <f t="shared" si="70"/>
        <v>0.93109698154956766</v>
      </c>
      <c r="M1498" s="1">
        <f t="shared" si="71"/>
        <v>208.63371403451399</v>
      </c>
      <c r="N1498" s="1">
        <f>SLOPE(K1498:K1501,F1498:F1501)</f>
        <v>2.1389830453397707E-4</v>
      </c>
      <c r="O1498" s="1">
        <f>SLOPE(L1498:L1501,F1498:F1501)</f>
        <v>-1.3856315721696581E-4</v>
      </c>
      <c r="P1498" s="1">
        <f>SLOPE(M1498:M1501,F1498:F1501)</f>
        <v>1.7542321334499504</v>
      </c>
      <c r="Q1498" s="1">
        <f>(N1498*41.35/0.31*60)/1000</f>
        <v>1.7118764308025715E-3</v>
      </c>
      <c r="R1498" s="1">
        <f>O1498*41.35/0.31*60/1000</f>
        <v>-1.1089522356622331E-3</v>
      </c>
      <c r="S1498" s="1">
        <f>(O1498*41.35/0.31*60)/1000</f>
        <v>-1.1089522356622331E-3</v>
      </c>
    </row>
    <row r="1499" spans="1:19" x14ac:dyDescent="0.3">
      <c r="A1499" s="1">
        <v>1615</v>
      </c>
      <c r="C1499" s="1" t="s">
        <v>15</v>
      </c>
      <c r="D1499" s="7">
        <v>13.5</v>
      </c>
      <c r="E1499" s="1">
        <v>150</v>
      </c>
      <c r="F1499" s="1">
        <v>15</v>
      </c>
      <c r="G1499" s="1">
        <v>0.40001042575749668</v>
      </c>
      <c r="H1499" s="1">
        <v>1.8138797077806936</v>
      </c>
      <c r="I1499" s="1">
        <v>480.66198240439275</v>
      </c>
      <c r="K1499" s="1">
        <f t="shared" si="69"/>
        <v>0.47650070074450901</v>
      </c>
      <c r="L1499" s="1">
        <f t="shared" si="70"/>
        <v>0.92602759774894705</v>
      </c>
      <c r="M1499" s="1">
        <f t="shared" si="71"/>
        <v>245.09018301220016</v>
      </c>
      <c r="N1499"/>
      <c r="P1499" s="1"/>
    </row>
    <row r="1500" spans="1:19" x14ac:dyDescent="0.3">
      <c r="A1500" s="1">
        <v>1616</v>
      </c>
      <c r="C1500" s="1" t="s">
        <v>15</v>
      </c>
      <c r="D1500" s="7">
        <v>13.5</v>
      </c>
      <c r="E1500" s="1">
        <v>151</v>
      </c>
      <c r="F1500" s="1">
        <v>30</v>
      </c>
      <c r="G1500" s="1">
        <v>0.39851347512923113</v>
      </c>
      <c r="H1500" s="1">
        <v>1.8178516206823179</v>
      </c>
      <c r="I1500" s="1">
        <v>500.65823004923595</v>
      </c>
      <c r="K1500" s="1">
        <f t="shared" si="69"/>
        <v>0.47471750216412778</v>
      </c>
      <c r="L1500" s="1">
        <f t="shared" si="70"/>
        <v>0.92805535126919525</v>
      </c>
      <c r="M1500" s="1">
        <f t="shared" si="71"/>
        <v>255.28629623571004</v>
      </c>
      <c r="N1500"/>
      <c r="P1500" s="1"/>
    </row>
    <row r="1501" spans="1:19" x14ac:dyDescent="0.3">
      <c r="A1501" s="1">
        <v>1617</v>
      </c>
      <c r="C1501" s="1" t="s">
        <v>15</v>
      </c>
      <c r="D1501" s="7">
        <v>13.5</v>
      </c>
      <c r="E1501" s="1">
        <v>152</v>
      </c>
      <c r="F1501" s="1">
        <v>45</v>
      </c>
      <c r="G1501" s="1">
        <v>0.40289663272422449</v>
      </c>
      <c r="H1501" s="1">
        <v>1.8089148166536633</v>
      </c>
      <c r="I1501" s="1">
        <v>574.51628457110087</v>
      </c>
      <c r="K1501" s="1">
        <f t="shared" si="69"/>
        <v>0.4799388102376182</v>
      </c>
      <c r="L1501" s="1">
        <f t="shared" si="70"/>
        <v>0.92349290584863664</v>
      </c>
      <c r="M1501" s="1">
        <f t="shared" si="71"/>
        <v>292.94661629917488</v>
      </c>
      <c r="N1501"/>
      <c r="P1501" s="1"/>
    </row>
    <row r="1502" spans="1:19" x14ac:dyDescent="0.3">
      <c r="A1502" s="1">
        <v>1618</v>
      </c>
      <c r="C1502" s="1" t="s">
        <v>15</v>
      </c>
      <c r="D1502" s="7">
        <v>13.5</v>
      </c>
      <c r="E1502" s="1">
        <v>153</v>
      </c>
      <c r="F1502" s="1">
        <v>0</v>
      </c>
      <c r="G1502" s="1">
        <v>0.39051178939684789</v>
      </c>
      <c r="H1502" s="1">
        <v>1.8277814029363786</v>
      </c>
      <c r="I1502" s="1">
        <v>403.80064685978704</v>
      </c>
      <c r="K1502" s="1">
        <f t="shared" si="69"/>
        <v>0.46518572845748579</v>
      </c>
      <c r="L1502" s="1">
        <f t="shared" si="70"/>
        <v>0.93312473506981597</v>
      </c>
      <c r="M1502" s="1">
        <f t="shared" si="71"/>
        <v>205.89848596772558</v>
      </c>
      <c r="N1502" s="1">
        <f>SLOPE(K1502:K1505,F1502:F1505)</f>
        <v>2.6726597427776018E-4</v>
      </c>
      <c r="O1502" s="1">
        <f>SLOPE(L1502:L1505,F1502:F1505)</f>
        <v>6.7591784008265898E-6</v>
      </c>
      <c r="P1502" s="1">
        <f>SLOPE(M1502:M1505,F1502:F1505)</f>
        <v>0.57851560803647184</v>
      </c>
      <c r="Q1502" s="1">
        <f>(N1502*41.35/0.31*60)/1000</f>
        <v>2.1389899425262033E-3</v>
      </c>
      <c r="R1502" s="1">
        <f>O1502*41.35/0.31*60/1000</f>
        <v>5.4095231007905712E-5</v>
      </c>
      <c r="S1502" s="1">
        <f>(O1502*41.35/0.31*60)/1000</f>
        <v>5.4095231007905712E-5</v>
      </c>
    </row>
    <row r="1503" spans="1:19" x14ac:dyDescent="0.3">
      <c r="A1503" s="1">
        <v>1619</v>
      </c>
      <c r="C1503" s="1" t="s">
        <v>15</v>
      </c>
      <c r="D1503" s="7">
        <v>13.5</v>
      </c>
      <c r="E1503" s="1">
        <v>154</v>
      </c>
      <c r="F1503" s="1">
        <v>15</v>
      </c>
      <c r="G1503" s="1">
        <v>0.39697344678504437</v>
      </c>
      <c r="H1503" s="1">
        <v>1.8297673593871906</v>
      </c>
      <c r="I1503" s="1">
        <v>432.35761100697283</v>
      </c>
      <c r="K1503" s="1">
        <f t="shared" si="69"/>
        <v>0.47288298851668525</v>
      </c>
      <c r="L1503" s="1">
        <f t="shared" si="70"/>
        <v>0.93413861182993996</v>
      </c>
      <c r="M1503" s="1">
        <f t="shared" si="71"/>
        <v>220.45971990200863</v>
      </c>
      <c r="N1503"/>
      <c r="P1503" s="1"/>
    </row>
    <row r="1504" spans="1:19" x14ac:dyDescent="0.3">
      <c r="A1504" s="1">
        <v>1620</v>
      </c>
      <c r="C1504" s="1" t="s">
        <v>15</v>
      </c>
      <c r="D1504" s="7">
        <v>13.5</v>
      </c>
      <c r="E1504" s="1">
        <v>155</v>
      </c>
      <c r="F1504" s="1">
        <v>30</v>
      </c>
      <c r="G1504" s="1">
        <v>0.3996442651721655</v>
      </c>
      <c r="H1504" s="1">
        <v>1.8228165118093482</v>
      </c>
      <c r="I1504" s="1">
        <v>447.58138311618421</v>
      </c>
      <c r="K1504" s="1">
        <f t="shared" si="69"/>
        <v>0.47606452267448768</v>
      </c>
      <c r="L1504" s="1">
        <f t="shared" si="70"/>
        <v>0.93059004316950567</v>
      </c>
      <c r="M1504" s="1">
        <f t="shared" si="71"/>
        <v>228.22234151339185</v>
      </c>
      <c r="N1504"/>
      <c r="P1504" s="1"/>
    </row>
    <row r="1505" spans="1:19" x14ac:dyDescent="0.3">
      <c r="A1505" s="1">
        <v>1621</v>
      </c>
      <c r="C1505" s="1" t="s">
        <v>15</v>
      </c>
      <c r="D1505" s="7">
        <v>13.5</v>
      </c>
      <c r="E1505" s="1">
        <v>156</v>
      </c>
      <c r="F1505" s="1">
        <v>45</v>
      </c>
      <c r="G1505" s="1">
        <v>0.40083967178898189</v>
      </c>
      <c r="H1505" s="1">
        <v>1.8307603376125965</v>
      </c>
      <c r="I1505" s="1">
        <v>455.45424812123343</v>
      </c>
      <c r="K1505" s="1">
        <f t="shared" si="69"/>
        <v>0.47748851578543966</v>
      </c>
      <c r="L1505" s="1">
        <f t="shared" si="70"/>
        <v>0.93464555021000206</v>
      </c>
      <c r="M1505" s="1">
        <f t="shared" si="71"/>
        <v>232.23672583242143</v>
      </c>
      <c r="N1505"/>
      <c r="P1505" s="1"/>
    </row>
    <row r="1506" spans="1:19" x14ac:dyDescent="0.3">
      <c r="A1506" s="1">
        <v>1622</v>
      </c>
      <c r="C1506" s="1" t="s">
        <v>15</v>
      </c>
      <c r="D1506" s="7">
        <v>13.5</v>
      </c>
      <c r="E1506" s="1">
        <v>157</v>
      </c>
      <c r="F1506" s="1">
        <v>0</v>
      </c>
      <c r="G1506" s="1">
        <v>0.40123814066125402</v>
      </c>
      <c r="H1506" s="1">
        <v>2.1127661536279168</v>
      </c>
      <c r="I1506" s="1">
        <v>411.93954854687775</v>
      </c>
      <c r="K1506" s="1">
        <f t="shared" si="69"/>
        <v>0.47796318015575695</v>
      </c>
      <c r="L1506" s="1">
        <f t="shared" si="70"/>
        <v>1.0786160501476265</v>
      </c>
      <c r="M1506" s="1">
        <f t="shared" si="71"/>
        <v>210.04852274415015</v>
      </c>
      <c r="N1506" s="1">
        <f>SLOPE(K1506:K1509,F1506:F1509)</f>
        <v>1.4830909631842056E-3</v>
      </c>
      <c r="O1506" s="1">
        <f>SLOPE(L1506:L1509,F1506:F1509)</f>
        <v>-3.1497771347855836E-3</v>
      </c>
      <c r="P1506" s="1">
        <f>SLOPE(M1506:M1509,F1506:F1509)</f>
        <v>1.8722480520875069</v>
      </c>
      <c r="Q1506" s="1">
        <f>(N1506*41.35/0.31*60)/1000</f>
        <v>1.1869511869871013E-2</v>
      </c>
      <c r="R1506" s="1">
        <f>O1506*41.35/0.31*60/1000</f>
        <v>-2.5208377649687204E-2</v>
      </c>
      <c r="S1506" s="1">
        <f>(O1506*41.35/0.31*60)/1000</f>
        <v>-2.5208377649687204E-2</v>
      </c>
    </row>
    <row r="1507" spans="1:19" x14ac:dyDescent="0.3">
      <c r="A1507" s="1">
        <v>1623</v>
      </c>
      <c r="C1507" s="1" t="s">
        <v>15</v>
      </c>
      <c r="D1507" s="7">
        <v>13.5</v>
      </c>
      <c r="E1507" s="1">
        <v>158</v>
      </c>
      <c r="F1507" s="1">
        <v>15</v>
      </c>
      <c r="G1507" s="1">
        <v>0.40497513251742762</v>
      </c>
      <c r="H1507" s="1">
        <v>1.8198375771331299</v>
      </c>
      <c r="I1507" s="1">
        <v>471.12208906472682</v>
      </c>
      <c r="K1507" s="1">
        <f t="shared" si="69"/>
        <v>0.48241476222332724</v>
      </c>
      <c r="L1507" s="1">
        <f t="shared" si="70"/>
        <v>0.92906922802931924</v>
      </c>
      <c r="M1507" s="1">
        <f t="shared" si="71"/>
        <v>240.22577873200382</v>
      </c>
      <c r="N1507"/>
      <c r="P1507" s="1"/>
    </row>
    <row r="1508" spans="1:19" x14ac:dyDescent="0.3">
      <c r="A1508" s="1">
        <v>1624</v>
      </c>
      <c r="C1508" s="1" t="s">
        <v>15</v>
      </c>
      <c r="D1508" s="7">
        <v>13.5</v>
      </c>
      <c r="E1508" s="1">
        <v>159</v>
      </c>
      <c r="F1508" s="1">
        <v>30</v>
      </c>
      <c r="G1508" s="1">
        <v>0.42492011498899424</v>
      </c>
      <c r="H1508" s="1">
        <v>1.8089148166536633</v>
      </c>
      <c r="I1508" s="1">
        <v>536.96970828208373</v>
      </c>
      <c r="K1508" s="1">
        <f t="shared" si="69"/>
        <v>0.50617363827272321</v>
      </c>
      <c r="L1508" s="1">
        <f t="shared" si="70"/>
        <v>0.92349290584863664</v>
      </c>
      <c r="M1508" s="1">
        <f t="shared" si="71"/>
        <v>273.80156719809031</v>
      </c>
      <c r="N1508"/>
      <c r="P1508" s="1"/>
    </row>
    <row r="1509" spans="1:19" x14ac:dyDescent="0.3">
      <c r="A1509" s="1">
        <v>1625</v>
      </c>
      <c r="C1509" s="1" t="s">
        <v>15</v>
      </c>
      <c r="D1509" s="7">
        <v>13.5</v>
      </c>
      <c r="E1509" s="1">
        <v>160</v>
      </c>
      <c r="F1509" s="1">
        <v>45</v>
      </c>
      <c r="G1509" s="1">
        <v>0.4568407024866849</v>
      </c>
      <c r="H1509" s="1">
        <v>1.8079218384282574</v>
      </c>
      <c r="I1509" s="1">
        <v>573.57959267919864</v>
      </c>
      <c r="K1509" s="1">
        <f t="shared" si="69"/>
        <v>0.54419810296516857</v>
      </c>
      <c r="L1509" s="1">
        <f t="shared" si="70"/>
        <v>0.92298596746857486</v>
      </c>
      <c r="M1509" s="1">
        <f t="shared" si="71"/>
        <v>292.46899585982999</v>
      </c>
      <c r="N1509"/>
      <c r="P1509" s="1"/>
    </row>
    <row r="1510" spans="1:19" x14ac:dyDescent="0.3">
      <c r="A1510" s="1">
        <v>1626</v>
      </c>
      <c r="C1510" s="1" t="s">
        <v>15</v>
      </c>
      <c r="D1510" s="7">
        <v>13.5</v>
      </c>
      <c r="E1510" s="1" t="s">
        <v>114</v>
      </c>
      <c r="F1510" s="1">
        <v>0</v>
      </c>
      <c r="G1510" s="1">
        <v>0.39618727846948043</v>
      </c>
      <c r="H1510" s="1">
        <v>1.999566635931626</v>
      </c>
      <c r="I1510" s="1">
        <v>719.35150969675544</v>
      </c>
      <c r="K1510" s="1">
        <f t="shared" si="69"/>
        <v>0.47194648854281596</v>
      </c>
      <c r="L1510" s="1">
        <f t="shared" si="70"/>
        <v>1.0208250748205516</v>
      </c>
      <c r="M1510" s="1">
        <f t="shared" si="71"/>
        <v>366.79828989127276</v>
      </c>
      <c r="O1510" s="1"/>
      <c r="P1510" s="1"/>
    </row>
    <row r="1511" spans="1:19" x14ac:dyDescent="0.3">
      <c r="C1511" s="1" t="s">
        <v>15</v>
      </c>
      <c r="D1511" s="7">
        <v>13.5</v>
      </c>
      <c r="E1511" s="1" t="s">
        <v>115</v>
      </c>
      <c r="F1511" s="1">
        <v>15</v>
      </c>
      <c r="G1511" s="1">
        <v>0.39896579114640496</v>
      </c>
      <c r="H1511" s="1">
        <v>2.0492155472019289</v>
      </c>
      <c r="I1511" s="1">
        <v>762.89959029965621</v>
      </c>
      <c r="K1511" s="1">
        <f t="shared" si="69"/>
        <v>0.47525631036827182</v>
      </c>
      <c r="L1511" s="1">
        <f t="shared" si="70"/>
        <v>1.0461719938236547</v>
      </c>
      <c r="M1511" s="1">
        <f t="shared" si="71"/>
        <v>389.00351401031975</v>
      </c>
      <c r="N1511"/>
      <c r="P1511" s="1"/>
    </row>
    <row r="1512" spans="1:19" x14ac:dyDescent="0.3">
      <c r="C1512" s="1" t="s">
        <v>15</v>
      </c>
      <c r="D1512" s="7">
        <v>13.5</v>
      </c>
      <c r="E1512" s="1" t="s">
        <v>116</v>
      </c>
      <c r="F1512" s="1">
        <v>30</v>
      </c>
      <c r="G1512" s="1">
        <v>0.39500264128164442</v>
      </c>
      <c r="H1512" s="1">
        <v>2.0521944818781472</v>
      </c>
      <c r="I1512" s="1">
        <v>737.15472492081653</v>
      </c>
      <c r="K1512" s="1">
        <f t="shared" si="69"/>
        <v>0.47053532419862942</v>
      </c>
      <c r="L1512" s="1">
        <f t="shared" si="70"/>
        <v>1.0476928089638409</v>
      </c>
      <c r="M1512" s="1">
        <f t="shared" si="71"/>
        <v>375.87617297169425</v>
      </c>
      <c r="N1512"/>
      <c r="P1512" s="1"/>
    </row>
    <row r="1513" spans="1:19" x14ac:dyDescent="0.3">
      <c r="N1513"/>
      <c r="P1513" s="1"/>
    </row>
    <row r="1514" spans="1:19" x14ac:dyDescent="0.3">
      <c r="N1514"/>
      <c r="P1514" s="1"/>
    </row>
    <row r="1515" spans="1:19" x14ac:dyDescent="0.3">
      <c r="N1515"/>
      <c r="P1515" s="1"/>
    </row>
    <row r="1516" spans="1:19" x14ac:dyDescent="0.3">
      <c r="N1516"/>
      <c r="P1516" s="1"/>
    </row>
    <row r="1517" spans="1:19" x14ac:dyDescent="0.3">
      <c r="N1517"/>
      <c r="P1517" s="1"/>
    </row>
    <row r="1518" spans="1:19" x14ac:dyDescent="0.3">
      <c r="N1518"/>
      <c r="P1518" s="1"/>
    </row>
    <row r="1519" spans="1:19" x14ac:dyDescent="0.3">
      <c r="N1519"/>
      <c r="P1519" s="1"/>
    </row>
    <row r="1520" spans="1:19" x14ac:dyDescent="0.3">
      <c r="N1520"/>
      <c r="P1520" s="1"/>
    </row>
    <row r="1521" spans="14:16" x14ac:dyDescent="0.3">
      <c r="N1521"/>
      <c r="P1521" s="1"/>
    </row>
    <row r="1522" spans="14:16" x14ac:dyDescent="0.3">
      <c r="N1522"/>
      <c r="P1522" s="1"/>
    </row>
    <row r="1523" spans="14:16" x14ac:dyDescent="0.3">
      <c r="N1523"/>
      <c r="P1523" s="1"/>
    </row>
    <row r="1524" spans="14:16" x14ac:dyDescent="0.3">
      <c r="N1524"/>
      <c r="P1524" s="1"/>
    </row>
    <row r="1525" spans="14:16" x14ac:dyDescent="0.3">
      <c r="N1525"/>
      <c r="P1525" s="1"/>
    </row>
    <row r="1526" spans="14:16" x14ac:dyDescent="0.3">
      <c r="N1526"/>
      <c r="P1526" s="1"/>
    </row>
    <row r="1527" spans="14:16" x14ac:dyDescent="0.3">
      <c r="N1527"/>
      <c r="P1527" s="1"/>
    </row>
    <row r="1528" spans="14:16" x14ac:dyDescent="0.3">
      <c r="N1528"/>
      <c r="P1528" s="1"/>
    </row>
    <row r="1529" spans="14:16" x14ac:dyDescent="0.3">
      <c r="N1529"/>
      <c r="P1529" s="1"/>
    </row>
    <row r="1530" spans="14:16" x14ac:dyDescent="0.3">
      <c r="N1530"/>
      <c r="P1530" s="1"/>
    </row>
    <row r="1531" spans="14:16" x14ac:dyDescent="0.3">
      <c r="N1531"/>
      <c r="P1531" s="1"/>
    </row>
    <row r="1532" spans="14:16" x14ac:dyDescent="0.3">
      <c r="N1532"/>
      <c r="P1532" s="1"/>
    </row>
    <row r="1533" spans="14:16" x14ac:dyDescent="0.3">
      <c r="N1533"/>
      <c r="P1533" s="1"/>
    </row>
    <row r="1534" spans="14:16" x14ac:dyDescent="0.3">
      <c r="N1534"/>
      <c r="P1534" s="1"/>
    </row>
    <row r="1535" spans="14:16" x14ac:dyDescent="0.3">
      <c r="N1535"/>
      <c r="P1535" s="1"/>
    </row>
    <row r="1536" spans="14:16" x14ac:dyDescent="0.3">
      <c r="N1536"/>
      <c r="P1536" s="1"/>
    </row>
    <row r="1537" spans="14:16" x14ac:dyDescent="0.3">
      <c r="N1537"/>
      <c r="P1537" s="1"/>
    </row>
    <row r="1538" spans="14:16" x14ac:dyDescent="0.3">
      <c r="N1538"/>
      <c r="P1538" s="1"/>
    </row>
    <row r="1539" spans="14:16" x14ac:dyDescent="0.3">
      <c r="N1539"/>
      <c r="P1539" s="1"/>
    </row>
    <row r="1540" spans="14:16" x14ac:dyDescent="0.3">
      <c r="N1540"/>
      <c r="P1540" s="1"/>
    </row>
    <row r="1541" spans="14:16" x14ac:dyDescent="0.3">
      <c r="N1541"/>
      <c r="P1541" s="1"/>
    </row>
    <row r="1542" spans="14:16" x14ac:dyDescent="0.3">
      <c r="N1542"/>
      <c r="P1542" s="1"/>
    </row>
    <row r="1543" spans="14:16" x14ac:dyDescent="0.3">
      <c r="N1543"/>
      <c r="P1543" s="1"/>
    </row>
    <row r="1544" spans="14:16" x14ac:dyDescent="0.3">
      <c r="N1544"/>
      <c r="P1544" s="1"/>
    </row>
    <row r="1545" spans="14:16" x14ac:dyDescent="0.3">
      <c r="N1545"/>
      <c r="P1545" s="1"/>
    </row>
    <row r="1546" spans="14:16" x14ac:dyDescent="0.3">
      <c r="N1546"/>
      <c r="P1546" s="1"/>
    </row>
    <row r="1547" spans="14:16" x14ac:dyDescent="0.3">
      <c r="N1547"/>
      <c r="P1547" s="1"/>
    </row>
    <row r="1548" spans="14:16" x14ac:dyDescent="0.3">
      <c r="N1548"/>
      <c r="P1548" s="1"/>
    </row>
    <row r="1549" spans="14:16" x14ac:dyDescent="0.3">
      <c r="N1549"/>
      <c r="P1549" s="1"/>
    </row>
    <row r="1550" spans="14:16" x14ac:dyDescent="0.3">
      <c r="N1550"/>
      <c r="P1550" s="1"/>
    </row>
    <row r="1551" spans="14:16" x14ac:dyDescent="0.3">
      <c r="N1551"/>
      <c r="P1551" s="1"/>
    </row>
    <row r="1552" spans="14:16" x14ac:dyDescent="0.3">
      <c r="N1552"/>
      <c r="P1552" s="1"/>
    </row>
    <row r="1553" spans="14:16" x14ac:dyDescent="0.3">
      <c r="N1553"/>
      <c r="P1553" s="1"/>
    </row>
    <row r="1554" spans="14:16" x14ac:dyDescent="0.3">
      <c r="N1554"/>
      <c r="P1554" s="1"/>
    </row>
    <row r="1555" spans="14:16" x14ac:dyDescent="0.3">
      <c r="N1555"/>
      <c r="P1555" s="1"/>
    </row>
    <row r="1556" spans="14:16" x14ac:dyDescent="0.3">
      <c r="N1556"/>
      <c r="P1556" s="1"/>
    </row>
  </sheetData>
  <autoFilter ref="A2:S1556" xr:uid="{B004641E-FE0A-4DFF-A2A3-BDD01204FB0B}"/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DB76-AED9-4F7B-9DF9-FE9D30BB419C}">
  <dimension ref="A2:S379"/>
  <sheetViews>
    <sheetView topLeftCell="A359" workbookViewId="0">
      <selection activeCell="C379" sqref="C379"/>
    </sheetView>
  </sheetViews>
  <sheetFormatPr defaultColWidth="11.5546875" defaultRowHeight="14.4" x14ac:dyDescent="0.3"/>
  <cols>
    <col min="1" max="1" width="11.5546875" customWidth="1"/>
    <col min="2" max="3" width="17.88671875" style="1" customWidth="1"/>
    <col min="4" max="4" width="11.5546875" customWidth="1"/>
    <col min="5" max="6" width="11.5546875" style="1" customWidth="1"/>
    <col min="7" max="7" width="16.88671875" style="1" customWidth="1"/>
    <col min="8" max="9" width="11.5546875" style="1" customWidth="1"/>
    <col min="10" max="10" width="17.109375" style="1" customWidth="1"/>
    <col min="11" max="11" width="11.5546875" customWidth="1"/>
    <col min="12" max="12" width="27.109375" customWidth="1"/>
    <col min="13" max="13" width="11.5546875" customWidth="1"/>
    <col min="14" max="14" width="16.44140625" customWidth="1"/>
    <col min="15" max="15" width="17.5546875" customWidth="1"/>
    <col min="16" max="16" width="18.44140625" customWidth="1"/>
    <col min="17" max="17" width="17.88671875" customWidth="1"/>
    <col min="18" max="18" width="19.44140625" customWidth="1"/>
    <col min="19" max="19" width="14.88671875" customWidth="1"/>
    <col min="20" max="20" width="11.5546875" customWidth="1"/>
  </cols>
  <sheetData>
    <row r="2" spans="1:19" ht="16.8" x14ac:dyDescent="0.35">
      <c r="D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</row>
    <row r="3" spans="1:19" x14ac:dyDescent="0.3">
      <c r="A3" s="1">
        <v>1</v>
      </c>
      <c r="B3" s="1" t="s">
        <v>81</v>
      </c>
      <c r="C3" s="1" t="s">
        <v>15</v>
      </c>
      <c r="D3" s="1">
        <v>11</v>
      </c>
      <c r="E3" s="1">
        <v>101</v>
      </c>
      <c r="F3" s="1">
        <v>0</v>
      </c>
      <c r="G3" s="1">
        <v>0.40516630057144487</v>
      </c>
      <c r="H3" s="1">
        <v>2.0091728371445794</v>
      </c>
      <c r="I3" s="1">
        <v>436.23793254001708</v>
      </c>
      <c r="J3" s="1" t="s">
        <v>129</v>
      </c>
      <c r="K3" s="1">
        <f t="shared" ref="K3:K66" si="0">(G3*28*1)/(0.082*(D3+273.15))</f>
        <v>0.48688885619500416</v>
      </c>
      <c r="L3" s="1">
        <f t="shared" ref="L3:L66" si="1">(H3*12*1)/(0.082*(D3+273.15))</f>
        <v>1.0347538034160484</v>
      </c>
      <c r="M3" s="1">
        <f t="shared" ref="M3:M66" si="2">(I3*12*1)/(0.0821*(D3+273.15))</f>
        <v>224.39535098612185</v>
      </c>
      <c r="N3" s="1">
        <f>SLOPE(K3:K6,F3:F6)</f>
        <v>3.0085568436210019E-5</v>
      </c>
      <c r="O3" s="1">
        <f>SLOPE(L3:L6,F3:F6)</f>
        <v>-2.0384722955737586E-3</v>
      </c>
      <c r="P3" s="1">
        <f>SLOPE(M3:M6,F3:F6)</f>
        <v>-4.3336333006097523E-3</v>
      </c>
      <c r="Q3" s="1">
        <f>(N3*41.35/0.31*60)/1000</f>
        <v>2.4078159771044215E-4</v>
      </c>
      <c r="R3" s="1">
        <f>O3*41.35/0.31*60/1000</f>
        <v>-1.6314354081672568E-2</v>
      </c>
      <c r="S3" s="1">
        <f>(P3*41.35/0.31*60)/1000</f>
        <v>-3.4683045867138051E-2</v>
      </c>
    </row>
    <row r="4" spans="1:19" x14ac:dyDescent="0.3">
      <c r="A4" s="1">
        <v>2</v>
      </c>
      <c r="B4" s="1" t="s">
        <v>130</v>
      </c>
      <c r="C4" s="1" t="s">
        <v>15</v>
      </c>
      <c r="D4" s="1">
        <v>11</v>
      </c>
      <c r="E4" s="1">
        <v>102</v>
      </c>
      <c r="F4" s="1">
        <v>15</v>
      </c>
      <c r="G4" s="1">
        <v>0.40819200183267973</v>
      </c>
      <c r="H4" s="1">
        <v>1.7942542125809715</v>
      </c>
      <c r="I4" s="1">
        <v>462.61139209747608</v>
      </c>
      <c r="J4" s="1" t="s">
        <v>129</v>
      </c>
      <c r="K4" s="1">
        <f t="shared" si="0"/>
        <v>0.4905248452301057</v>
      </c>
      <c r="L4" s="1">
        <f t="shared" si="1"/>
        <v>0.92406752492335531</v>
      </c>
      <c r="M4" s="1">
        <f t="shared" si="2"/>
        <v>237.96152960716924</v>
      </c>
    </row>
    <row r="5" spans="1:19" x14ac:dyDescent="0.3">
      <c r="A5" s="1">
        <v>3</v>
      </c>
      <c r="C5" s="1" t="s">
        <v>15</v>
      </c>
      <c r="D5" s="1">
        <v>11</v>
      </c>
      <c r="E5" s="1">
        <v>103</v>
      </c>
      <c r="F5" s="1">
        <v>30</v>
      </c>
      <c r="G5" s="1">
        <v>0.4064894368143</v>
      </c>
      <c r="H5" s="1">
        <v>1.7929109711774491</v>
      </c>
      <c r="I5" s="1">
        <v>440.04797273204201</v>
      </c>
      <c r="J5" s="1" t="s">
        <v>129</v>
      </c>
      <c r="K5" s="1">
        <f t="shared" si="0"/>
        <v>0.48847887069266921</v>
      </c>
      <c r="L5" s="1">
        <f t="shared" si="1"/>
        <v>0.9233757356827762</v>
      </c>
      <c r="M5" s="1">
        <f t="shared" si="2"/>
        <v>226.35518813550183</v>
      </c>
    </row>
    <row r="6" spans="1:19" x14ac:dyDescent="0.3">
      <c r="A6" s="1">
        <v>4</v>
      </c>
      <c r="C6" s="1" t="s">
        <v>15</v>
      </c>
      <c r="D6" s="1">
        <v>11</v>
      </c>
      <c r="E6" s="1">
        <v>104</v>
      </c>
      <c r="F6" s="1">
        <v>45</v>
      </c>
      <c r="G6" s="1">
        <v>0.40698561290537061</v>
      </c>
      <c r="H6" s="1">
        <v>1.8117163508267649</v>
      </c>
      <c r="I6" s="1">
        <v>443.33783026105999</v>
      </c>
      <c r="J6" s="1" t="s">
        <v>129</v>
      </c>
      <c r="K6" s="1">
        <f t="shared" si="0"/>
        <v>0.48907512612929349</v>
      </c>
      <c r="L6" s="1">
        <f t="shared" si="1"/>
        <v>0.93306078505088685</v>
      </c>
      <c r="M6" s="1">
        <f t="shared" si="2"/>
        <v>228.04744981164717</v>
      </c>
    </row>
    <row r="7" spans="1:19" x14ac:dyDescent="0.3">
      <c r="A7" s="1">
        <v>5</v>
      </c>
      <c r="C7" s="1" t="s">
        <v>15</v>
      </c>
      <c r="D7" s="1">
        <v>11</v>
      </c>
      <c r="E7" s="1">
        <v>105</v>
      </c>
      <c r="F7" s="1">
        <v>0</v>
      </c>
      <c r="G7" s="1">
        <v>0.44268110463357213</v>
      </c>
      <c r="H7" s="1">
        <v>1.8197757992479</v>
      </c>
      <c r="I7" s="1">
        <v>459.42179878403778</v>
      </c>
      <c r="J7" s="1" t="s">
        <v>16</v>
      </c>
      <c r="K7" s="1">
        <f t="shared" si="0"/>
        <v>0.5319704437170345</v>
      </c>
      <c r="L7" s="1">
        <f t="shared" si="1"/>
        <v>0.93721152049436274</v>
      </c>
      <c r="M7" s="1">
        <f t="shared" si="2"/>
        <v>236.3208425928498</v>
      </c>
      <c r="N7" s="1">
        <f>SLOPE(K7:K10,F7:F10)</f>
        <v>-2.8947616883959377E-4</v>
      </c>
      <c r="O7" s="1">
        <f>SLOPE(L7:L10,F7:F10)</f>
        <v>-2.7671569623169596E-5</v>
      </c>
      <c r="P7" s="1">
        <f>SLOPE(M7:M10,F7:F10)</f>
        <v>-0.28260531692858443</v>
      </c>
      <c r="Q7" s="1">
        <f>(N7*41.35/0.31*60)/1000</f>
        <v>-2.3167431448097814E-3</v>
      </c>
      <c r="R7" s="1">
        <f>O7*41.35/0.31*60/1000</f>
        <v>-2.2146182011317344E-4</v>
      </c>
      <c r="S7" s="1">
        <f>(P7*41.35/0.31*60)/1000</f>
        <v>-2.2617541654832838</v>
      </c>
    </row>
    <row r="8" spans="1:19" x14ac:dyDescent="0.3">
      <c r="A8" s="1">
        <v>6</v>
      </c>
      <c r="C8" s="1" t="s">
        <v>15</v>
      </c>
      <c r="D8" s="1">
        <v>11</v>
      </c>
      <c r="E8" s="1">
        <v>106</v>
      </c>
      <c r="F8" s="1">
        <v>15</v>
      </c>
      <c r="G8" s="1">
        <v>0.44115366058851146</v>
      </c>
      <c r="H8" s="1">
        <v>1.8681324897747118</v>
      </c>
      <c r="I8" s="1">
        <v>437.03309725961373</v>
      </c>
      <c r="J8" s="1" t="s">
        <v>16</v>
      </c>
      <c r="K8" s="1">
        <f t="shared" si="0"/>
        <v>0.53013491227487719</v>
      </c>
      <c r="L8" s="1">
        <f t="shared" si="1"/>
        <v>0.96211593315521871</v>
      </c>
      <c r="M8" s="1">
        <f t="shared" si="2"/>
        <v>224.80437379921548</v>
      </c>
    </row>
    <row r="9" spans="1:19" x14ac:dyDescent="0.3">
      <c r="A9" s="1">
        <v>7</v>
      </c>
      <c r="C9" s="1" t="s">
        <v>15</v>
      </c>
      <c r="D9" s="1">
        <v>11</v>
      </c>
      <c r="E9" s="1">
        <v>107</v>
      </c>
      <c r="F9" s="1">
        <v>30</v>
      </c>
      <c r="G9" s="1">
        <v>0.44150390253514954</v>
      </c>
      <c r="H9" s="1">
        <v>1.8036569024056297</v>
      </c>
      <c r="I9" s="1">
        <v>431.93848385016298</v>
      </c>
      <c r="J9" s="1" t="s">
        <v>16</v>
      </c>
      <c r="K9" s="1">
        <f t="shared" si="0"/>
        <v>0.53055579846543544</v>
      </c>
      <c r="L9" s="1">
        <f t="shared" si="1"/>
        <v>0.92891004960741097</v>
      </c>
      <c r="M9" s="1">
        <f t="shared" si="2"/>
        <v>222.18376821020598</v>
      </c>
    </row>
    <row r="10" spans="1:19" x14ac:dyDescent="0.3">
      <c r="A10" s="1">
        <v>8</v>
      </c>
      <c r="C10" s="1" t="s">
        <v>15</v>
      </c>
      <c r="D10" s="1">
        <v>11</v>
      </c>
      <c r="E10" s="1">
        <v>108</v>
      </c>
      <c r="F10" s="1">
        <v>45</v>
      </c>
      <c r="G10" s="1">
        <v>0.43051992593085969</v>
      </c>
      <c r="H10" s="1">
        <v>1.838581178897216</v>
      </c>
      <c r="I10" s="1">
        <v>433.64992452005635</v>
      </c>
      <c r="J10" s="1" t="s">
        <v>16</v>
      </c>
      <c r="K10" s="1">
        <f t="shared" si="0"/>
        <v>0.51735633987820207</v>
      </c>
      <c r="L10" s="1">
        <f t="shared" si="1"/>
        <v>0.9468965698624735</v>
      </c>
      <c r="M10" s="1">
        <f t="shared" si="2"/>
        <v>223.06411194275708</v>
      </c>
    </row>
    <row r="11" spans="1:19" x14ac:dyDescent="0.3">
      <c r="A11" s="1">
        <v>9</v>
      </c>
      <c r="C11" s="1" t="s">
        <v>15</v>
      </c>
      <c r="D11" s="1">
        <v>11</v>
      </c>
      <c r="E11" s="1">
        <v>109</v>
      </c>
      <c r="F11" s="1">
        <v>0</v>
      </c>
      <c r="G11" s="1">
        <v>0.41954567826953204</v>
      </c>
      <c r="H11" s="1">
        <v>1.8479838687218735</v>
      </c>
      <c r="I11" s="1">
        <v>427.05531873693445</v>
      </c>
      <c r="J11" s="1" t="s">
        <v>16</v>
      </c>
      <c r="K11" s="1">
        <f t="shared" si="0"/>
        <v>0.50416857257403969</v>
      </c>
      <c r="L11" s="1">
        <f t="shared" si="1"/>
        <v>0.95173909454652872</v>
      </c>
      <c r="M11" s="1">
        <f t="shared" si="2"/>
        <v>219.67192898722513</v>
      </c>
      <c r="N11" s="1">
        <f>SLOPE(K11:K14,F11:F14)</f>
        <v>-1.9251646123689497E-5</v>
      </c>
      <c r="O11" s="1">
        <f>SLOPE(L11:L14,F11:F14)</f>
        <v>8.2553516042466787E-4</v>
      </c>
      <c r="P11" s="1">
        <f>SLOPE(M11:M14,F11:F14)</f>
        <v>9.4124608899095963E-2</v>
      </c>
      <c r="Q11" s="1">
        <f>(N11*41.35/0.31*60)/1000</f>
        <v>-1.5407527107378594E-4</v>
      </c>
      <c r="R11" s="1">
        <f>O11*41.35/0.31*60/1000</f>
        <v>6.6069443000438743E-3</v>
      </c>
      <c r="S11" s="1">
        <f>(P11*41.35/0.31*60)/1000</f>
        <v>0.75330049896341</v>
      </c>
    </row>
    <row r="12" spans="1:19" x14ac:dyDescent="0.3">
      <c r="A12" s="1">
        <v>10</v>
      </c>
      <c r="C12" s="1" t="s">
        <v>15</v>
      </c>
      <c r="D12" s="1">
        <v>11</v>
      </c>
      <c r="E12" s="1">
        <v>110</v>
      </c>
      <c r="F12" s="1">
        <v>15</v>
      </c>
      <c r="G12" s="1">
        <v>0.43029616024272976</v>
      </c>
      <c r="H12" s="1">
        <v>1.8036569024056297</v>
      </c>
      <c r="I12" s="1">
        <v>444.81598290460482</v>
      </c>
      <c r="J12" s="1" t="s">
        <v>16</v>
      </c>
      <c r="K12" s="1">
        <f t="shared" si="0"/>
        <v>0.5170874403675676</v>
      </c>
      <c r="L12" s="1">
        <f t="shared" si="1"/>
        <v>0.92891004960741097</v>
      </c>
      <c r="M12" s="1">
        <f t="shared" si="2"/>
        <v>228.80779309341548</v>
      </c>
    </row>
    <row r="13" spans="1:19" x14ac:dyDescent="0.3">
      <c r="A13" s="1">
        <v>11</v>
      </c>
      <c r="C13" s="1" t="s">
        <v>15</v>
      </c>
      <c r="D13" s="1">
        <v>11</v>
      </c>
      <c r="E13" s="1">
        <v>111</v>
      </c>
      <c r="F13" s="1">
        <v>30</v>
      </c>
      <c r="G13" s="1">
        <v>0.42911895814430717</v>
      </c>
      <c r="H13" s="1">
        <v>1.8829081452134597</v>
      </c>
      <c r="I13" s="1">
        <v>442.89607208350628</v>
      </c>
      <c r="J13" s="1" t="s">
        <v>16</v>
      </c>
      <c r="K13" s="1">
        <f t="shared" si="0"/>
        <v>0.51567279511596842</v>
      </c>
      <c r="L13" s="1">
        <f t="shared" si="1"/>
        <v>0.96972561480159125</v>
      </c>
      <c r="M13" s="1">
        <f t="shared" si="2"/>
        <v>227.82021491548403</v>
      </c>
    </row>
    <row r="14" spans="1:19" x14ac:dyDescent="0.3">
      <c r="A14" s="1">
        <v>12</v>
      </c>
      <c r="C14" s="1" t="s">
        <v>15</v>
      </c>
      <c r="D14" s="1">
        <v>11</v>
      </c>
      <c r="E14" s="1">
        <v>112</v>
      </c>
      <c r="F14" s="1">
        <v>45</v>
      </c>
      <c r="G14" s="1">
        <v>0.41913706266512091</v>
      </c>
      <c r="H14" s="1">
        <v>1.9017135248627757</v>
      </c>
      <c r="I14" s="1">
        <v>436.84448140852339</v>
      </c>
      <c r="J14" s="1" t="s">
        <v>16</v>
      </c>
      <c r="K14" s="1">
        <f t="shared" si="0"/>
        <v>0.50367753868505494</v>
      </c>
      <c r="L14" s="1">
        <f t="shared" si="1"/>
        <v>0.97941066416970202</v>
      </c>
      <c r="M14" s="1">
        <f t="shared" si="2"/>
        <v>224.70735215815708</v>
      </c>
    </row>
    <row r="15" spans="1:19" x14ac:dyDescent="0.3">
      <c r="A15" s="1">
        <v>13</v>
      </c>
      <c r="C15" s="1" t="s">
        <v>15</v>
      </c>
      <c r="D15" s="1">
        <v>11</v>
      </c>
      <c r="E15" s="1">
        <v>113</v>
      </c>
      <c r="F15" s="1">
        <v>0</v>
      </c>
      <c r="G15" s="1">
        <v>0.41928299680955344</v>
      </c>
      <c r="H15" s="1">
        <v>1.8399244203007383</v>
      </c>
      <c r="I15" s="1">
        <v>440.09165219229453</v>
      </c>
      <c r="J15" s="1" t="s">
        <v>16</v>
      </c>
      <c r="K15" s="1">
        <f t="shared" si="0"/>
        <v>0.50385290793112092</v>
      </c>
      <c r="L15" s="1">
        <f t="shared" si="1"/>
        <v>0.94758835910305284</v>
      </c>
      <c r="M15" s="1">
        <f t="shared" si="2"/>
        <v>226.37765630501013</v>
      </c>
      <c r="N15" s="1">
        <f>SLOPE(K15:K18,F15:F18)</f>
        <v>-2.7154953479729109E-4</v>
      </c>
      <c r="O15" s="1">
        <f>SLOPE(L15:L18,F15:F18)</f>
        <v>1.7755923841536124E-3</v>
      </c>
      <c r="P15" s="1">
        <f>SLOPE(M15:M18,F15:F18)</f>
        <v>-0.17582023493839111</v>
      </c>
      <c r="Q15" s="1">
        <f>(N15*41.35/0.31*60)/1000</f>
        <v>-2.1732722446196106E-3</v>
      </c>
      <c r="R15" s="1">
        <f>O15*41.35/0.31*60/1000</f>
        <v>1.4210466790597138E-2</v>
      </c>
      <c r="S15" s="1">
        <f>(P15*41.35/0.31*60)/1000</f>
        <v>-1.407129041555317</v>
      </c>
    </row>
    <row r="16" spans="1:19" x14ac:dyDescent="0.3">
      <c r="A16" s="1">
        <v>14</v>
      </c>
      <c r="C16" s="1" t="s">
        <v>15</v>
      </c>
      <c r="D16" s="1">
        <v>11</v>
      </c>
      <c r="E16" s="1">
        <v>114</v>
      </c>
      <c r="F16" s="1">
        <v>15</v>
      </c>
      <c r="G16" s="1">
        <v>0.41734693716008159</v>
      </c>
      <c r="H16" s="1">
        <v>1.9379810427578847</v>
      </c>
      <c r="I16" s="1">
        <v>435.15885132877912</v>
      </c>
      <c r="J16" s="1" t="s">
        <v>16</v>
      </c>
      <c r="K16" s="1">
        <f t="shared" si="0"/>
        <v>0.50152634259997875</v>
      </c>
      <c r="L16" s="1">
        <f t="shared" si="1"/>
        <v>0.9980889736653441</v>
      </c>
      <c r="M16" s="1">
        <f t="shared" si="2"/>
        <v>223.84028507122446</v>
      </c>
    </row>
    <row r="17" spans="1:19" x14ac:dyDescent="0.3">
      <c r="A17" s="1">
        <v>15</v>
      </c>
      <c r="C17" s="1" t="s">
        <v>15</v>
      </c>
      <c r="D17" s="1">
        <v>11</v>
      </c>
      <c r="E17" s="1">
        <v>115</v>
      </c>
      <c r="F17" s="1">
        <v>30</v>
      </c>
      <c r="G17" s="1">
        <v>0.40805579663120928</v>
      </c>
      <c r="H17" s="1">
        <v>1.8909675936345953</v>
      </c>
      <c r="I17" s="1">
        <v>424.62912326290916</v>
      </c>
      <c r="J17" s="1" t="s">
        <v>16</v>
      </c>
      <c r="K17" s="1">
        <f t="shared" si="0"/>
        <v>0.49036116726711076</v>
      </c>
      <c r="L17" s="1">
        <f t="shared" si="1"/>
        <v>0.97387635024506736</v>
      </c>
      <c r="M17" s="1">
        <f t="shared" si="2"/>
        <v>218.42392429908421</v>
      </c>
    </row>
    <row r="18" spans="1:19" x14ac:dyDescent="0.3">
      <c r="A18" s="1">
        <v>16</v>
      </c>
      <c r="C18" s="1" t="s">
        <v>15</v>
      </c>
      <c r="D18" s="1">
        <v>11</v>
      </c>
      <c r="E18" s="1">
        <v>116</v>
      </c>
      <c r="F18" s="1">
        <v>45</v>
      </c>
      <c r="G18" s="1">
        <v>0.41108149789244419</v>
      </c>
      <c r="H18" s="1">
        <v>2.0279782167938953</v>
      </c>
      <c r="I18" s="1">
        <v>426.51131091378966</v>
      </c>
      <c r="J18" s="1" t="s">
        <v>16</v>
      </c>
      <c r="K18" s="1">
        <f t="shared" si="0"/>
        <v>0.49399715630221236</v>
      </c>
      <c r="L18" s="1">
        <f t="shared" si="1"/>
        <v>1.044438852784159</v>
      </c>
      <c r="M18" s="1">
        <f t="shared" si="2"/>
        <v>219.392098148804</v>
      </c>
    </row>
    <row r="19" spans="1:19" x14ac:dyDescent="0.3">
      <c r="A19" s="1">
        <v>17</v>
      </c>
      <c r="C19" s="1" t="s">
        <v>15</v>
      </c>
      <c r="D19" s="1">
        <v>11</v>
      </c>
      <c r="E19" s="1">
        <v>117</v>
      </c>
      <c r="F19" s="1">
        <v>0</v>
      </c>
      <c r="G19" s="1">
        <v>0.41520656970840419</v>
      </c>
      <c r="H19" s="1">
        <v>1.7996271781950619</v>
      </c>
      <c r="I19" s="1">
        <v>429.88952007831836</v>
      </c>
      <c r="J19" s="1" t="s">
        <v>16</v>
      </c>
      <c r="K19" s="1">
        <f t="shared" si="0"/>
        <v>0.49895426032434415</v>
      </c>
      <c r="L19" s="1">
        <f t="shared" si="1"/>
        <v>0.92683468188567286</v>
      </c>
      <c r="M19" s="1">
        <f t="shared" si="2"/>
        <v>221.1298068041819</v>
      </c>
      <c r="N19" s="1">
        <f>SLOPE(K19:K22,F19:F22)</f>
        <v>-1.3187767304162194E-4</v>
      </c>
      <c r="O19" s="1">
        <f>SLOPE(L19:L22,F19:F22)</f>
        <v>6.4105802960351323E-4</v>
      </c>
      <c r="P19" s="1">
        <f>SLOPE(M19:M22,F19:F22)</f>
        <v>-5.843766633013369E-2</v>
      </c>
      <c r="Q19" s="1">
        <f>(N19*41.35/0.31*60)/1000</f>
        <v>-1.0554467961814968E-3</v>
      </c>
      <c r="R19" s="1">
        <f>O19*41.35/0.31*60/1000</f>
        <v>5.1305321659558594E-3</v>
      </c>
      <c r="S19" s="1">
        <f>(P19*41.35/0.31*60)/1000</f>
        <v>-0.46768983924213448</v>
      </c>
    </row>
    <row r="20" spans="1:19" x14ac:dyDescent="0.3">
      <c r="A20" s="1">
        <v>18</v>
      </c>
      <c r="C20" s="1" t="s">
        <v>15</v>
      </c>
      <c r="D20" s="1">
        <v>11</v>
      </c>
      <c r="E20" s="1">
        <v>118</v>
      </c>
      <c r="F20" s="1">
        <v>15</v>
      </c>
      <c r="G20" s="1">
        <v>0.4108771900902386</v>
      </c>
      <c r="H20" s="1">
        <v>1.8358946960901705</v>
      </c>
      <c r="I20" s="1">
        <v>425.75784022443401</v>
      </c>
      <c r="J20" s="1" t="s">
        <v>16</v>
      </c>
      <c r="K20" s="1">
        <f t="shared" si="0"/>
        <v>0.49375163935771987</v>
      </c>
      <c r="L20" s="1">
        <f t="shared" si="1"/>
        <v>0.94551299138131473</v>
      </c>
      <c r="M20" s="1">
        <f t="shared" si="2"/>
        <v>219.00452222478643</v>
      </c>
    </row>
    <row r="21" spans="1:19" x14ac:dyDescent="0.3">
      <c r="A21" s="1">
        <v>19</v>
      </c>
      <c r="C21" s="1" t="s">
        <v>15</v>
      </c>
      <c r="D21" s="1">
        <v>11</v>
      </c>
      <c r="E21" s="1">
        <v>119</v>
      </c>
      <c r="F21" s="1">
        <v>30</v>
      </c>
      <c r="G21" s="1">
        <v>0.41204466324569899</v>
      </c>
      <c r="H21" s="1">
        <v>1.8533568343359639</v>
      </c>
      <c r="I21" s="1">
        <v>433.54866758947105</v>
      </c>
      <c r="J21" s="1" t="s">
        <v>16</v>
      </c>
      <c r="K21" s="1">
        <f t="shared" si="0"/>
        <v>0.49515459332624778</v>
      </c>
      <c r="L21" s="1">
        <f t="shared" si="1"/>
        <v>0.95450625150884616</v>
      </c>
      <c r="M21" s="1">
        <f t="shared" si="2"/>
        <v>223.01202664071522</v>
      </c>
    </row>
    <row r="22" spans="1:19" x14ac:dyDescent="0.3">
      <c r="A22" s="1">
        <v>20</v>
      </c>
      <c r="C22" s="1" t="s">
        <v>15</v>
      </c>
      <c r="D22" s="1">
        <v>11</v>
      </c>
      <c r="E22" s="1">
        <v>120</v>
      </c>
      <c r="F22" s="1">
        <v>45</v>
      </c>
      <c r="G22" s="1">
        <v>0.4093302881592536</v>
      </c>
      <c r="H22" s="1">
        <v>1.8560433171430089</v>
      </c>
      <c r="I22" s="1">
        <v>421.61226236046934</v>
      </c>
      <c r="J22" s="1" t="s">
        <v>16</v>
      </c>
      <c r="K22" s="1">
        <f t="shared" si="0"/>
        <v>0.49189272534942041</v>
      </c>
      <c r="L22" s="1">
        <f t="shared" si="1"/>
        <v>0.95588982999000471</v>
      </c>
      <c r="M22" s="1">
        <f t="shared" si="2"/>
        <v>216.87208868236561</v>
      </c>
    </row>
    <row r="23" spans="1:19" x14ac:dyDescent="0.3">
      <c r="A23" s="1">
        <v>21</v>
      </c>
      <c r="C23" s="1" t="s">
        <v>15</v>
      </c>
      <c r="D23" s="1">
        <v>11</v>
      </c>
      <c r="E23" s="1">
        <v>121</v>
      </c>
      <c r="F23" s="1">
        <v>0</v>
      </c>
      <c r="G23" s="1">
        <v>0.26367828307260771</v>
      </c>
      <c r="H23" s="1">
        <v>1.7378380736330246</v>
      </c>
      <c r="I23" s="1">
        <v>284.30488634172644</v>
      </c>
      <c r="J23" s="1" t="s">
        <v>16</v>
      </c>
      <c r="K23" s="1">
        <f t="shared" si="0"/>
        <v>0.31686252649249219</v>
      </c>
      <c r="L23" s="1">
        <f t="shared" si="1"/>
        <v>0.89501237681902346</v>
      </c>
      <c r="M23" s="1">
        <f t="shared" si="2"/>
        <v>146.24288719291729</v>
      </c>
      <c r="N23" s="1">
        <f>SLOPE(K23:K26,F23:F26)</f>
        <v>2.1293022089783842E-2</v>
      </c>
      <c r="O23" s="1">
        <f>SLOPE(L23:L26,F23:F26)</f>
        <v>1.5182467866581072E-2</v>
      </c>
      <c r="P23" s="1">
        <f>SLOPE(M23:M26,F23:F26)</f>
        <v>7.7002570111916384</v>
      </c>
      <c r="Q23" s="1">
        <f>(N23*41.35/0.31*60)/1000</f>
        <v>0.17041286388630228</v>
      </c>
      <c r="R23" s="1">
        <f>O23*41.35/0.31*60/1000</f>
        <v>0.121508718635444</v>
      </c>
      <c r="S23" s="1">
        <f>(P23*41.35/0.31*60)/1000</f>
        <v>61.626895628278895</v>
      </c>
    </row>
    <row r="24" spans="1:19" x14ac:dyDescent="0.3">
      <c r="A24" s="1">
        <v>22</v>
      </c>
      <c r="C24" s="1" t="s">
        <v>15</v>
      </c>
      <c r="D24" s="1">
        <v>11</v>
      </c>
      <c r="E24" s="1">
        <v>122</v>
      </c>
      <c r="F24" s="1">
        <v>15</v>
      </c>
      <c r="G24" s="1">
        <v>0.40982646425032432</v>
      </c>
      <c r="H24" s="1">
        <v>1.8278352476690354</v>
      </c>
      <c r="I24" s="1">
        <v>428.1274509431322</v>
      </c>
      <c r="J24" s="1" t="s">
        <v>16</v>
      </c>
      <c r="K24" s="1">
        <f t="shared" si="0"/>
        <v>0.49248898078604486</v>
      </c>
      <c r="L24" s="1">
        <f t="shared" si="1"/>
        <v>0.94136225593783873</v>
      </c>
      <c r="M24" s="1">
        <f t="shared" si="2"/>
        <v>220.22342042060981</v>
      </c>
    </row>
    <row r="25" spans="1:19" x14ac:dyDescent="0.3">
      <c r="A25" s="1">
        <v>23</v>
      </c>
      <c r="C25" s="1" t="s">
        <v>15</v>
      </c>
      <c r="D25" s="1">
        <v>11</v>
      </c>
      <c r="E25" s="1">
        <v>123</v>
      </c>
      <c r="F25" s="1">
        <v>30</v>
      </c>
      <c r="G25" s="1">
        <v>0.40987510896513513</v>
      </c>
      <c r="H25" s="1">
        <v>1.8291784890725578</v>
      </c>
      <c r="I25" s="1">
        <v>428.51063893534734</v>
      </c>
      <c r="J25" s="1" t="s">
        <v>16</v>
      </c>
      <c r="K25" s="1">
        <f t="shared" si="0"/>
        <v>0.49254743720140015</v>
      </c>
      <c r="L25" s="1">
        <f t="shared" si="1"/>
        <v>0.94205404517841806</v>
      </c>
      <c r="M25" s="1">
        <f t="shared" si="2"/>
        <v>220.42052754402326</v>
      </c>
    </row>
    <row r="26" spans="1:19" x14ac:dyDescent="0.3">
      <c r="A26" s="1">
        <v>24</v>
      </c>
      <c r="C26" s="1" t="s">
        <v>15</v>
      </c>
      <c r="D26" s="1">
        <v>11</v>
      </c>
      <c r="E26" s="1">
        <v>124</v>
      </c>
      <c r="F26" s="1">
        <v>45</v>
      </c>
      <c r="G26" s="1">
        <v>1.1496152870937253</v>
      </c>
      <c r="H26" s="1">
        <v>3.2113738932972624</v>
      </c>
      <c r="I26" s="1">
        <v>1032.6650788478278</v>
      </c>
      <c r="J26" s="1" t="s">
        <v>16</v>
      </c>
      <c r="K26" s="1">
        <f t="shared" si="0"/>
        <v>1.3814941455098992</v>
      </c>
      <c r="L26" s="1">
        <f t="shared" si="1"/>
        <v>1.6539051737345507</v>
      </c>
      <c r="M26" s="1">
        <f t="shared" si="2"/>
        <v>531.19003537802803</v>
      </c>
    </row>
    <row r="27" spans="1:19" x14ac:dyDescent="0.3">
      <c r="A27" s="1">
        <v>25</v>
      </c>
      <c r="C27" s="1" t="s">
        <v>15</v>
      </c>
      <c r="D27" s="1">
        <v>11</v>
      </c>
      <c r="E27" s="1">
        <v>125</v>
      </c>
      <c r="F27" s="1">
        <v>0</v>
      </c>
      <c r="G27" s="1">
        <v>0.41994456493098103</v>
      </c>
      <c r="H27" s="1">
        <v>1.8452973859148287</v>
      </c>
      <c r="I27" s="1">
        <v>437.67339843831519</v>
      </c>
      <c r="J27" s="1" t="s">
        <v>16</v>
      </c>
      <c r="K27" s="1">
        <f t="shared" si="0"/>
        <v>0.50464791517995344</v>
      </c>
      <c r="L27" s="1">
        <f t="shared" si="1"/>
        <v>0.95035551606537017</v>
      </c>
      <c r="M27" s="1">
        <f t="shared" si="2"/>
        <v>225.133736738598</v>
      </c>
      <c r="N27" s="1">
        <f>SLOPE(K27:K30,F27:F30)</f>
        <v>-3.5346645818189583E-4</v>
      </c>
      <c r="O27" s="1">
        <f>SLOPE(L27:L30,F27:F30)</f>
        <v>1.2913399157480799E-4</v>
      </c>
      <c r="P27" s="1">
        <f>SLOPE(M27:M30,F27:F30)</f>
        <v>-0.14852821752206313</v>
      </c>
      <c r="Q27" s="1">
        <f>(N27*41.35/0.31*60)/1000</f>
        <v>-2.8288718798363988E-3</v>
      </c>
      <c r="R27" s="1">
        <f>O27*41.35/0.31*60/1000</f>
        <v>1.0334884938616085E-3</v>
      </c>
      <c r="S27" s="1">
        <f>(P27*41.35/0.31*60)/1000</f>
        <v>-1.1887048634588342</v>
      </c>
    </row>
    <row r="28" spans="1:19" x14ac:dyDescent="0.3">
      <c r="A28" s="1">
        <v>26</v>
      </c>
      <c r="C28" s="1" t="s">
        <v>15</v>
      </c>
      <c r="D28" s="1">
        <v>11</v>
      </c>
      <c r="E28" s="1">
        <v>126</v>
      </c>
      <c r="F28" s="1">
        <v>15</v>
      </c>
      <c r="G28" s="1">
        <v>0.4089411304407668</v>
      </c>
      <c r="H28" s="1">
        <v>1.8305217304760806</v>
      </c>
      <c r="I28" s="1">
        <v>428.47887205516372</v>
      </c>
      <c r="J28" s="1" t="s">
        <v>16</v>
      </c>
      <c r="K28" s="1">
        <f t="shared" si="0"/>
        <v>0.49142507402657781</v>
      </c>
      <c r="L28" s="1">
        <f t="shared" si="1"/>
        <v>0.94274583441899751</v>
      </c>
      <c r="M28" s="1">
        <f t="shared" si="2"/>
        <v>220.40418705710815</v>
      </c>
    </row>
    <row r="29" spans="1:19" x14ac:dyDescent="0.3">
      <c r="A29" s="1">
        <v>27</v>
      </c>
      <c r="C29" s="1" t="s">
        <v>15</v>
      </c>
      <c r="D29" s="1">
        <v>11</v>
      </c>
      <c r="E29" s="1">
        <v>127</v>
      </c>
      <c r="F29" s="1">
        <v>30</v>
      </c>
      <c r="G29" s="1">
        <v>0.40822118866156626</v>
      </c>
      <c r="H29" s="1">
        <v>1.7955974539844941</v>
      </c>
      <c r="I29" s="1">
        <v>423.34951362051203</v>
      </c>
      <c r="J29" s="1" t="s">
        <v>16</v>
      </c>
      <c r="K29" s="1">
        <f t="shared" si="0"/>
        <v>0.49055991907931895</v>
      </c>
      <c r="L29" s="1">
        <f t="shared" si="1"/>
        <v>0.92475931416393475</v>
      </c>
      <c r="M29" s="1">
        <f t="shared" si="2"/>
        <v>217.76570906053527</v>
      </c>
    </row>
    <row r="30" spans="1:19" x14ac:dyDescent="0.3">
      <c r="A30" s="1">
        <v>28</v>
      </c>
      <c r="C30" s="1" t="s">
        <v>15</v>
      </c>
      <c r="D30" s="1">
        <v>11</v>
      </c>
      <c r="E30" s="1">
        <v>128</v>
      </c>
      <c r="F30" s="1">
        <v>45</v>
      </c>
      <c r="G30" s="1">
        <v>0.40547762674623428</v>
      </c>
      <c r="H30" s="1">
        <v>1.8694757311782344</v>
      </c>
      <c r="I30" s="1">
        <v>424.94579934973984</v>
      </c>
      <c r="J30" s="1" t="s">
        <v>16</v>
      </c>
      <c r="K30" s="1">
        <f t="shared" si="0"/>
        <v>0.48726297725327827</v>
      </c>
      <c r="L30" s="1">
        <f t="shared" si="1"/>
        <v>0.96280772239579815</v>
      </c>
      <c r="M30" s="1">
        <f t="shared" si="2"/>
        <v>218.58681852801914</v>
      </c>
    </row>
    <row r="31" spans="1:19" x14ac:dyDescent="0.3">
      <c r="A31" s="1">
        <v>29</v>
      </c>
      <c r="C31" s="1" t="s">
        <v>15</v>
      </c>
      <c r="D31" s="1">
        <v>11</v>
      </c>
      <c r="E31" s="1">
        <v>129</v>
      </c>
      <c r="F31" s="1">
        <v>0</v>
      </c>
      <c r="G31" s="1">
        <v>0.40682994981797593</v>
      </c>
      <c r="H31" s="1">
        <v>1.8372379374936934</v>
      </c>
      <c r="I31" s="1">
        <v>507.94670097954929</v>
      </c>
      <c r="J31" s="1" t="s">
        <v>129</v>
      </c>
      <c r="K31" s="1">
        <f t="shared" si="0"/>
        <v>0.48888806560015646</v>
      </c>
      <c r="L31" s="1">
        <f t="shared" si="1"/>
        <v>0.94620478062189417</v>
      </c>
      <c r="M31" s="1">
        <f t="shared" si="2"/>
        <v>261.28144699588432</v>
      </c>
      <c r="N31" s="1">
        <f>SLOPE(K31:K34,F31:F34)</f>
        <v>-2.8370846919120173E-5</v>
      </c>
      <c r="O31" s="1">
        <f>SLOPE(L31:L34,F31:F34)</f>
        <v>3.3667076374860772E-4</v>
      </c>
      <c r="P31" s="1">
        <f>SLOPE(M31:M34,F31:F34)</f>
        <v>1.1925661820133318</v>
      </c>
      <c r="Q31" s="1">
        <f>(N31*41.35/0.31*60)/1000</f>
        <v>-2.270582942139908E-4</v>
      </c>
      <c r="R31" s="1">
        <f>O31*41.35/0.31*60/1000</f>
        <v>2.6944521447106315E-3</v>
      </c>
      <c r="S31" s="1">
        <f>(P31*41.35/0.31*60)/1000</f>
        <v>9.5443764437905685</v>
      </c>
    </row>
    <row r="32" spans="1:19" x14ac:dyDescent="0.3">
      <c r="A32" s="1">
        <v>30</v>
      </c>
      <c r="C32" s="1" t="s">
        <v>15</v>
      </c>
      <c r="D32" s="1">
        <v>11</v>
      </c>
      <c r="E32" s="1">
        <v>130</v>
      </c>
      <c r="F32" s="1">
        <v>15</v>
      </c>
      <c r="G32" s="1">
        <v>0.40449500350705514</v>
      </c>
      <c r="H32" s="1">
        <v>1.8439541445113061</v>
      </c>
      <c r="I32" s="1">
        <v>546.59805972798404</v>
      </c>
      <c r="J32" s="1" t="s">
        <v>129</v>
      </c>
      <c r="K32" s="1">
        <f t="shared" si="0"/>
        <v>0.4860821576631007</v>
      </c>
      <c r="L32" s="1">
        <f t="shared" si="1"/>
        <v>0.94966372682479083</v>
      </c>
      <c r="M32" s="1">
        <f t="shared" si="2"/>
        <v>281.16322380961867</v>
      </c>
    </row>
    <row r="33" spans="1:19" x14ac:dyDescent="0.3">
      <c r="A33" s="1">
        <v>31</v>
      </c>
      <c r="C33" s="1" t="s">
        <v>15</v>
      </c>
      <c r="D33" s="1">
        <v>11</v>
      </c>
      <c r="E33" s="1">
        <v>131</v>
      </c>
      <c r="F33" s="1">
        <v>30</v>
      </c>
      <c r="G33" s="1">
        <v>0.4041058457885684</v>
      </c>
      <c r="H33" s="1">
        <v>1.861416282757099</v>
      </c>
      <c r="I33" s="1">
        <v>543.3508889442129</v>
      </c>
      <c r="J33" s="1" t="s">
        <v>129</v>
      </c>
      <c r="K33" s="1">
        <f t="shared" si="0"/>
        <v>0.48561450634025805</v>
      </c>
      <c r="L33" s="1">
        <f t="shared" si="1"/>
        <v>0.95865698695232204</v>
      </c>
      <c r="M33" s="1">
        <f t="shared" si="2"/>
        <v>279.49291966276564</v>
      </c>
    </row>
    <row r="34" spans="1:19" x14ac:dyDescent="0.3">
      <c r="A34" s="1">
        <v>32</v>
      </c>
      <c r="C34" s="1" t="s">
        <v>15</v>
      </c>
      <c r="D34" s="1">
        <v>11</v>
      </c>
      <c r="E34" s="1">
        <v>132</v>
      </c>
      <c r="F34" s="1">
        <v>45</v>
      </c>
      <c r="G34" s="1">
        <v>0.4057792239780616</v>
      </c>
      <c r="H34" s="1">
        <v>1.8641027655641444</v>
      </c>
      <c r="I34" s="1">
        <v>624.9500769859194</v>
      </c>
      <c r="J34" s="1" t="s">
        <v>129</v>
      </c>
      <c r="K34" s="1">
        <f t="shared" si="0"/>
        <v>0.48762540702848134</v>
      </c>
      <c r="L34" s="1">
        <f t="shared" si="1"/>
        <v>0.96004056543348082</v>
      </c>
      <c r="M34" s="1">
        <f t="shared" si="2"/>
        <v>321.46652414550192</v>
      </c>
    </row>
    <row r="35" spans="1:19" x14ac:dyDescent="0.3">
      <c r="A35" s="1">
        <v>33</v>
      </c>
      <c r="B35" s="1" t="s">
        <v>131</v>
      </c>
      <c r="C35" s="1" t="s">
        <v>15</v>
      </c>
      <c r="D35" s="1">
        <v>15.4</v>
      </c>
      <c r="E35" s="1">
        <v>101</v>
      </c>
      <c r="F35" s="1">
        <v>0</v>
      </c>
      <c r="G35" s="1">
        <v>0.40992375367994599</v>
      </c>
      <c r="H35" s="1">
        <v>1.9205189045120914</v>
      </c>
      <c r="I35" s="1">
        <v>466.68648719603328</v>
      </c>
      <c r="J35" s="1" t="s">
        <v>129</v>
      </c>
      <c r="K35" s="1">
        <f t="shared" si="0"/>
        <v>0.48509431527014757</v>
      </c>
      <c r="L35" s="1">
        <f t="shared" si="1"/>
        <v>0.97401333218426445</v>
      </c>
      <c r="M35" s="1">
        <f t="shared" si="2"/>
        <v>236.39715003056779</v>
      </c>
      <c r="N35" s="1">
        <f>SLOPE(K35:K38,F35:F38)</f>
        <v>-3.9911756576327397E-6</v>
      </c>
      <c r="O35" s="1">
        <f>SLOPE(L35:L38,F35:F38)</f>
        <v>-1.5895608952513443E-4</v>
      </c>
      <c r="P35" s="1">
        <f>SLOPE(M35:M38,F35:F38)</f>
        <v>-9.9648829372894168E-2</v>
      </c>
      <c r="Q35" s="1">
        <f>(N35*41.35/0.31*60)/1000</f>
        <v>-3.1942280021247834E-5</v>
      </c>
      <c r="R35" s="1">
        <f>O35*41.35/0.31*60/1000</f>
        <v>-1.2721614777801888E-3</v>
      </c>
      <c r="S35" s="1">
        <f>(P35*41.35/0.31*60)/1000</f>
        <v>-0.79751208281984021</v>
      </c>
    </row>
    <row r="36" spans="1:19" x14ac:dyDescent="0.3">
      <c r="A36" s="1">
        <v>34</v>
      </c>
      <c r="B36" s="1" t="s">
        <v>132</v>
      </c>
      <c r="C36" s="1" t="s">
        <v>15</v>
      </c>
      <c r="D36" s="1">
        <v>15.4</v>
      </c>
      <c r="E36" s="1">
        <v>102</v>
      </c>
      <c r="F36" s="1">
        <v>15</v>
      </c>
      <c r="G36" s="1">
        <v>0.41127607675168759</v>
      </c>
      <c r="H36" s="1">
        <v>1.903056766266298</v>
      </c>
      <c r="I36" s="1">
        <v>520.63459146789512</v>
      </c>
      <c r="J36" s="1" t="s">
        <v>129</v>
      </c>
      <c r="K36" s="1">
        <f t="shared" si="0"/>
        <v>0.48669462320210188</v>
      </c>
      <c r="L36" s="1">
        <f t="shared" si="1"/>
        <v>0.9651572071964355</v>
      </c>
      <c r="M36" s="1">
        <f t="shared" si="2"/>
        <v>263.72422816399364</v>
      </c>
    </row>
    <row r="37" spans="1:19" x14ac:dyDescent="0.3">
      <c r="A37" s="1">
        <v>35</v>
      </c>
      <c r="C37" s="1" t="s">
        <v>15</v>
      </c>
      <c r="D37" s="1">
        <v>15.4</v>
      </c>
      <c r="E37" s="1">
        <v>103</v>
      </c>
      <c r="F37" s="1">
        <v>30</v>
      </c>
      <c r="G37" s="1">
        <v>0.40855197272228</v>
      </c>
      <c r="H37" s="1">
        <v>1.9245486287226592</v>
      </c>
      <c r="I37" s="1">
        <v>460.24277409378362</v>
      </c>
      <c r="J37" s="1" t="s">
        <v>129</v>
      </c>
      <c r="K37" s="1">
        <f t="shared" si="0"/>
        <v>0.48347098132478372</v>
      </c>
      <c r="L37" s="1">
        <f t="shared" si="1"/>
        <v>0.97605705333530191</v>
      </c>
      <c r="M37" s="1">
        <f t="shared" si="2"/>
        <v>233.133127062732</v>
      </c>
    </row>
    <row r="38" spans="1:19" x14ac:dyDescent="0.3">
      <c r="A38" s="1">
        <v>36</v>
      </c>
      <c r="C38" s="1" t="s">
        <v>15</v>
      </c>
      <c r="D38" s="1">
        <v>15.4</v>
      </c>
      <c r="E38" s="1">
        <v>104</v>
      </c>
      <c r="F38" s="1">
        <v>45</v>
      </c>
      <c r="G38" s="1">
        <v>0.41066315334507086</v>
      </c>
      <c r="H38" s="1">
        <v>1.8976838006522081</v>
      </c>
      <c r="I38" s="1">
        <v>476.98094180554318</v>
      </c>
      <c r="J38" s="1" t="s">
        <v>129</v>
      </c>
      <c r="K38" s="1">
        <f t="shared" si="0"/>
        <v>0.48596930377970532</v>
      </c>
      <c r="L38" s="1">
        <f t="shared" si="1"/>
        <v>0.96243224566171892</v>
      </c>
      <c r="M38" s="1">
        <f t="shared" si="2"/>
        <v>241.61174226234363</v>
      </c>
    </row>
    <row r="39" spans="1:19" x14ac:dyDescent="0.3">
      <c r="A39" s="1">
        <v>37</v>
      </c>
      <c r="C39" s="1" t="s">
        <v>15</v>
      </c>
      <c r="D39" s="1">
        <v>15.4</v>
      </c>
      <c r="E39" s="1">
        <v>105</v>
      </c>
      <c r="F39" s="1">
        <v>0</v>
      </c>
      <c r="G39" s="1">
        <v>0.41308566014265125</v>
      </c>
      <c r="H39" s="1">
        <v>1.8829081452134597</v>
      </c>
      <c r="I39" s="1">
        <v>439.02448356112546</v>
      </c>
      <c r="J39" s="1" t="s">
        <v>16</v>
      </c>
      <c r="K39" s="1">
        <f t="shared" si="0"/>
        <v>0.48883604244917755</v>
      </c>
      <c r="L39" s="1">
        <f t="shared" si="1"/>
        <v>0.95493860144124831</v>
      </c>
      <c r="M39" s="1">
        <f t="shared" si="2"/>
        <v>222.38513339233893</v>
      </c>
      <c r="N39" s="1">
        <f>SLOPE(K39:K42,F39:F42)</f>
        <v>1.7799875899258326E-3</v>
      </c>
      <c r="O39" s="1">
        <f>SLOPE(L39:L42,F39:F42)</f>
        <v>-1.5895608952513297E-4</v>
      </c>
      <c r="P39" s="1">
        <f>SLOPE(M39:M42,F39:F42)</f>
        <v>0.38136084711963142</v>
      </c>
      <c r="Q39" s="1">
        <f>(N39*41.35/0.31*60)/1000</f>
        <v>1.4245642614858035E-2</v>
      </c>
      <c r="R39" s="1">
        <f>O39*41.35/0.31*60/1000</f>
        <v>-1.2721614777801771E-3</v>
      </c>
      <c r="S39" s="1">
        <f>(P39*41.35/0.31*60)/1000</f>
        <v>3.0521169732380828</v>
      </c>
    </row>
    <row r="40" spans="1:19" x14ac:dyDescent="0.3">
      <c r="A40" s="1">
        <v>38</v>
      </c>
      <c r="C40" s="1" t="s">
        <v>15</v>
      </c>
      <c r="D40" s="1">
        <v>15.4</v>
      </c>
      <c r="E40" s="1">
        <v>106</v>
      </c>
      <c r="F40" s="1">
        <v>15</v>
      </c>
      <c r="G40" s="1">
        <v>0.45203061882021733</v>
      </c>
      <c r="H40" s="1">
        <v>1.8949973178451629</v>
      </c>
      <c r="I40" s="1">
        <v>466.7867514116129</v>
      </c>
      <c r="J40" s="1" t="s">
        <v>16</v>
      </c>
      <c r="K40" s="1">
        <f t="shared" si="0"/>
        <v>0.5349226082881221</v>
      </c>
      <c r="L40" s="1">
        <f t="shared" si="1"/>
        <v>0.96106976489436069</v>
      </c>
      <c r="M40" s="1">
        <f t="shared" si="2"/>
        <v>236.44793824806149</v>
      </c>
    </row>
    <row r="41" spans="1:19" x14ac:dyDescent="0.3">
      <c r="A41" s="1">
        <v>39</v>
      </c>
      <c r="C41" s="1" t="s">
        <v>15</v>
      </c>
      <c r="D41" s="1">
        <v>15.4</v>
      </c>
      <c r="E41" s="1">
        <v>107</v>
      </c>
      <c r="F41" s="1">
        <v>30</v>
      </c>
      <c r="G41" s="1">
        <v>0.45869494474930372</v>
      </c>
      <c r="H41" s="1">
        <v>1.876191938195847</v>
      </c>
      <c r="I41" s="1">
        <v>461.24938710960265</v>
      </c>
      <c r="J41" s="1" t="s">
        <v>16</v>
      </c>
      <c r="K41" s="1">
        <f t="shared" si="0"/>
        <v>0.5428090178808469</v>
      </c>
      <c r="L41" s="1">
        <f t="shared" si="1"/>
        <v>0.95153239952285251</v>
      </c>
      <c r="M41" s="1">
        <f t="shared" si="2"/>
        <v>233.64302065222296</v>
      </c>
    </row>
    <row r="42" spans="1:19" x14ac:dyDescent="0.3">
      <c r="A42" s="1">
        <v>40</v>
      </c>
      <c r="C42" s="1" t="s">
        <v>15</v>
      </c>
      <c r="D42" s="1">
        <v>15.4</v>
      </c>
      <c r="E42" s="1">
        <v>108</v>
      </c>
      <c r="F42" s="1">
        <v>45</v>
      </c>
      <c r="G42" s="1">
        <v>0.48607219024484999</v>
      </c>
      <c r="H42" s="1">
        <v>1.8735054553888022</v>
      </c>
      <c r="I42" s="1">
        <v>478.51369377440369</v>
      </c>
      <c r="J42" s="1" t="s">
        <v>16</v>
      </c>
      <c r="K42" s="1">
        <f t="shared" si="0"/>
        <v>0.57520661874789425</v>
      </c>
      <c r="L42" s="1">
        <f t="shared" si="1"/>
        <v>0.95016991875549439</v>
      </c>
      <c r="M42" s="1">
        <f t="shared" si="2"/>
        <v>242.38814828026668</v>
      </c>
    </row>
    <row r="43" spans="1:19" x14ac:dyDescent="0.3">
      <c r="A43" s="1">
        <v>41</v>
      </c>
      <c r="C43" s="1" t="s">
        <v>15</v>
      </c>
      <c r="D43" s="1">
        <v>15.4</v>
      </c>
      <c r="E43" s="1">
        <v>109</v>
      </c>
      <c r="F43" s="1">
        <v>0</v>
      </c>
      <c r="G43" s="1">
        <v>0.42577220176532077</v>
      </c>
      <c r="H43" s="1">
        <v>1.8855946280205051</v>
      </c>
      <c r="I43" s="1">
        <v>444.63431605855465</v>
      </c>
      <c r="J43" s="1" t="s">
        <v>16</v>
      </c>
      <c r="K43" s="1">
        <f t="shared" si="0"/>
        <v>0.50384900319211634</v>
      </c>
      <c r="L43" s="1">
        <f t="shared" si="1"/>
        <v>0.95630108220860666</v>
      </c>
      <c r="M43" s="1">
        <f t="shared" si="2"/>
        <v>225.22675930379165</v>
      </c>
      <c r="N43" s="1">
        <f>SLOPE(K43:K46,F43:F46)</f>
        <v>7.7781873297004815E-4</v>
      </c>
      <c r="O43" s="1">
        <f>SLOPE(L43:L46,F43:F46)</f>
        <v>-9.0832051157218409E-5</v>
      </c>
      <c r="P43" s="1">
        <f>SLOPE(M43:M46,F43:F46)</f>
        <v>0.16046730077686525</v>
      </c>
      <c r="Q43" s="1">
        <f>(N43*41.35/0.31*60)/1000</f>
        <v>6.225058956447386E-3</v>
      </c>
      <c r="R43" s="1">
        <f>O43*41.35/0.31*60/1000</f>
        <v>-7.269494158743836E-4</v>
      </c>
      <c r="S43" s="1">
        <f>(P43*41.35/0.31*60)/1000</f>
        <v>1.2842560426690408</v>
      </c>
    </row>
    <row r="44" spans="1:19" x14ac:dyDescent="0.3">
      <c r="A44" s="1">
        <v>42</v>
      </c>
      <c r="C44" s="1" t="s">
        <v>15</v>
      </c>
      <c r="D44" s="1">
        <v>15.4</v>
      </c>
      <c r="E44" s="1">
        <v>110</v>
      </c>
      <c r="F44" s="1">
        <v>15</v>
      </c>
      <c r="G44" s="1">
        <v>0.46885196120180922</v>
      </c>
      <c r="H44" s="1">
        <v>1.9017135248627757</v>
      </c>
      <c r="I44" s="1">
        <v>462.66797685280324</v>
      </c>
      <c r="J44" s="1" t="s">
        <v>16</v>
      </c>
      <c r="K44" s="1">
        <f t="shared" si="0"/>
        <v>0.55482859688056174</v>
      </c>
      <c r="L44" s="1">
        <f t="shared" si="1"/>
        <v>0.96447596681275638</v>
      </c>
      <c r="M44" s="1">
        <f t="shared" si="2"/>
        <v>234.36159850171259</v>
      </c>
    </row>
    <row r="45" spans="1:19" x14ac:dyDescent="0.3">
      <c r="A45" s="1">
        <v>43</v>
      </c>
      <c r="C45" s="1" t="s">
        <v>15</v>
      </c>
      <c r="D45" s="1">
        <v>15.4</v>
      </c>
      <c r="E45" s="1">
        <v>111</v>
      </c>
      <c r="F45" s="1">
        <v>30</v>
      </c>
      <c r="G45" s="1">
        <v>0.4589284393803959</v>
      </c>
      <c r="H45" s="1">
        <v>1.8949973178451629</v>
      </c>
      <c r="I45" s="1">
        <v>458.67329166971081</v>
      </c>
      <c r="J45" s="1" t="s">
        <v>16</v>
      </c>
      <c r="K45" s="1">
        <f t="shared" si="0"/>
        <v>0.54308533004175996</v>
      </c>
      <c r="L45" s="1">
        <f t="shared" si="1"/>
        <v>0.96106976489436069</v>
      </c>
      <c r="M45" s="1">
        <f t="shared" si="2"/>
        <v>232.33811546018259</v>
      </c>
    </row>
    <row r="46" spans="1:19" x14ac:dyDescent="0.3">
      <c r="A46" s="1">
        <v>44</v>
      </c>
      <c r="C46" s="1" t="s">
        <v>15</v>
      </c>
      <c r="D46" s="1">
        <v>15.4</v>
      </c>
      <c r="E46" s="1">
        <v>112</v>
      </c>
      <c r="F46" s="1">
        <v>45</v>
      </c>
      <c r="G46" s="1">
        <v>0.46194441169866857</v>
      </c>
      <c r="H46" s="1">
        <v>1.8788784210028924</v>
      </c>
      <c r="I46" s="1">
        <v>461.80530751281628</v>
      </c>
      <c r="J46" s="1" t="s">
        <v>16</v>
      </c>
      <c r="K46" s="1">
        <f t="shared" si="0"/>
        <v>0.54665436212021934</v>
      </c>
      <c r="L46" s="1">
        <f t="shared" si="1"/>
        <v>0.95289488029021097</v>
      </c>
      <c r="M46" s="1">
        <f t="shared" si="2"/>
        <v>233.92461868981158</v>
      </c>
    </row>
    <row r="47" spans="1:19" x14ac:dyDescent="0.3">
      <c r="A47" s="1">
        <v>45</v>
      </c>
      <c r="C47" s="1" t="s">
        <v>15</v>
      </c>
      <c r="D47" s="1">
        <v>15.4</v>
      </c>
      <c r="E47" s="1">
        <v>113</v>
      </c>
      <c r="F47" s="1">
        <v>0</v>
      </c>
      <c r="G47" s="1">
        <v>0.41088691903320079</v>
      </c>
      <c r="H47" s="1">
        <v>1.8976838006522081</v>
      </c>
      <c r="I47" s="1">
        <v>442.4265178857919</v>
      </c>
      <c r="J47" s="1" t="s">
        <v>16</v>
      </c>
      <c r="K47" s="1">
        <f t="shared" si="0"/>
        <v>0.48623410293391361</v>
      </c>
      <c r="L47" s="1">
        <f t="shared" si="1"/>
        <v>0.96243224566171892</v>
      </c>
      <c r="M47" s="1">
        <f t="shared" si="2"/>
        <v>224.10841281165386</v>
      </c>
      <c r="N47" s="1">
        <f>SLOPE(K47:K50,F47:F50)</f>
        <v>6.3582498361198754E-4</v>
      </c>
      <c r="O47" s="1">
        <f>SLOPE(L47:L50,F47:F50)</f>
        <v>-5.0865948648042513E-4</v>
      </c>
      <c r="P47" s="1">
        <f>SLOPE(M47:M50,F47:F50)</f>
        <v>0.10266259884661054</v>
      </c>
      <c r="Q47" s="1">
        <f>(N47*41.35/0.31*60)/1000</f>
        <v>5.0886509172301331E-3</v>
      </c>
      <c r="R47" s="1">
        <f>O47*41.35/0.31*60/1000</f>
        <v>-4.0709167288965637E-3</v>
      </c>
      <c r="S47" s="1">
        <f>(P47*41.35/0.31*60)/1000</f>
        <v>0.82163196044658293</v>
      </c>
    </row>
    <row r="48" spans="1:19" x14ac:dyDescent="0.3">
      <c r="A48" s="1">
        <v>46</v>
      </c>
      <c r="C48" s="1" t="s">
        <v>15</v>
      </c>
      <c r="D48" s="1">
        <v>15.4</v>
      </c>
      <c r="E48" s="1">
        <v>114</v>
      </c>
      <c r="F48" s="1">
        <v>15</v>
      </c>
      <c r="G48" s="1">
        <v>0.44274920723430727</v>
      </c>
      <c r="H48" s="1">
        <v>1.8949973178451629</v>
      </c>
      <c r="I48" s="1">
        <v>453.39502598419836</v>
      </c>
      <c r="J48" s="1" t="s">
        <v>16</v>
      </c>
      <c r="K48" s="1">
        <f t="shared" si="0"/>
        <v>0.52393919989183113</v>
      </c>
      <c r="L48" s="1">
        <f t="shared" si="1"/>
        <v>0.96106976489436069</v>
      </c>
      <c r="M48" s="1">
        <f t="shared" si="2"/>
        <v>229.66444266400595</v>
      </c>
    </row>
    <row r="49" spans="1:19" x14ac:dyDescent="0.3">
      <c r="A49" s="1">
        <v>47</v>
      </c>
      <c r="C49" s="1" t="s">
        <v>15</v>
      </c>
      <c r="D49" s="1">
        <v>15.4</v>
      </c>
      <c r="E49" s="1">
        <v>115</v>
      </c>
      <c r="F49" s="1">
        <v>30</v>
      </c>
      <c r="G49" s="1">
        <v>0.43832253818651995</v>
      </c>
      <c r="H49" s="1">
        <v>1.9178324217050464</v>
      </c>
      <c r="I49" s="1">
        <v>454.08595562819249</v>
      </c>
      <c r="J49" s="1" t="s">
        <v>16</v>
      </c>
      <c r="K49" s="1">
        <f t="shared" si="0"/>
        <v>0.51870078184118906</v>
      </c>
      <c r="L49" s="1">
        <f t="shared" si="1"/>
        <v>0.97265085141690621</v>
      </c>
      <c r="M49" s="1">
        <f t="shared" si="2"/>
        <v>230.01442879643758</v>
      </c>
    </row>
    <row r="50" spans="1:19" x14ac:dyDescent="0.3">
      <c r="A50" s="1">
        <v>48</v>
      </c>
      <c r="C50" s="1" t="s">
        <v>15</v>
      </c>
      <c r="D50" s="1">
        <v>15.4</v>
      </c>
      <c r="E50" s="1">
        <v>116</v>
      </c>
      <c r="F50" s="1">
        <v>45</v>
      </c>
      <c r="G50" s="1">
        <v>0.4392273298820018</v>
      </c>
      <c r="H50" s="1">
        <v>1.8399244203007383</v>
      </c>
      <c r="I50" s="1">
        <v>452.32984278304076</v>
      </c>
      <c r="J50" s="1" t="s">
        <v>16</v>
      </c>
      <c r="K50" s="1">
        <f t="shared" si="0"/>
        <v>0.51977149146472701</v>
      </c>
      <c r="L50" s="1">
        <f t="shared" si="1"/>
        <v>0.93313890916351583</v>
      </c>
      <c r="M50" s="1">
        <f t="shared" si="2"/>
        <v>229.12488070984051</v>
      </c>
    </row>
    <row r="51" spans="1:19" x14ac:dyDescent="0.3">
      <c r="A51" s="1">
        <v>49</v>
      </c>
      <c r="C51" s="1" t="s">
        <v>15</v>
      </c>
      <c r="D51" s="1">
        <v>15.4</v>
      </c>
      <c r="E51" s="1">
        <v>117</v>
      </c>
      <c r="F51" s="1">
        <v>0</v>
      </c>
      <c r="G51" s="1">
        <v>0.41637404286386459</v>
      </c>
      <c r="H51" s="1">
        <v>1.8788784210028924</v>
      </c>
      <c r="I51" s="1">
        <v>448.48704299582647</v>
      </c>
      <c r="J51" s="1" t="s">
        <v>16</v>
      </c>
      <c r="K51" s="1">
        <f t="shared" si="0"/>
        <v>0.49272743871536867</v>
      </c>
      <c r="L51" s="1">
        <f t="shared" si="1"/>
        <v>0.95289488029021097</v>
      </c>
      <c r="M51" s="1">
        <f t="shared" si="2"/>
        <v>227.17833427500889</v>
      </c>
      <c r="N51" s="1">
        <f>SLOPE(K51:K54,F51:F54)</f>
        <v>1.6164261413409691E-4</v>
      </c>
      <c r="O51" s="1">
        <f>SLOPE(L51:L54,F51:F54)</f>
        <v>1.1354006394652375E-4</v>
      </c>
      <c r="P51" s="1">
        <f>SLOPE(M51:M54,F51:F54)</f>
        <v>1.5009074832748179</v>
      </c>
      <c r="Q51" s="1">
        <f>(N51*41.35/0.31*60)/1000</f>
        <v>1.2936623408603047E-3</v>
      </c>
      <c r="R51" s="1">
        <f>O51*41.35/0.31*60/1000</f>
        <v>9.0868676984298539E-4</v>
      </c>
      <c r="S51" s="1">
        <f>(P51*41.35/0.31*60)/1000</f>
        <v>12.012101503241364</v>
      </c>
    </row>
    <row r="52" spans="1:19" x14ac:dyDescent="0.3">
      <c r="A52" s="1">
        <v>50</v>
      </c>
      <c r="C52" s="1" t="s">
        <v>15</v>
      </c>
      <c r="D52" s="1">
        <v>15.4</v>
      </c>
      <c r="E52" s="1">
        <v>118</v>
      </c>
      <c r="F52" s="1">
        <v>15</v>
      </c>
      <c r="G52" s="1">
        <v>0.41870898917478538</v>
      </c>
      <c r="H52" s="1">
        <v>1.8949973178451629</v>
      </c>
      <c r="I52" s="1">
        <v>450.57372993788908</v>
      </c>
      <c r="J52" s="1" t="s">
        <v>16</v>
      </c>
      <c r="K52" s="1">
        <f t="shared" si="0"/>
        <v>0.49549056032449856</v>
      </c>
      <c r="L52" s="1">
        <f t="shared" si="1"/>
        <v>0.96106976489436069</v>
      </c>
      <c r="M52" s="1">
        <f t="shared" si="2"/>
        <v>228.23533262324347</v>
      </c>
    </row>
    <row r="53" spans="1:19" x14ac:dyDescent="0.3">
      <c r="A53" s="1">
        <v>51</v>
      </c>
      <c r="C53" s="1" t="s">
        <v>15</v>
      </c>
      <c r="D53" s="1">
        <v>15.4</v>
      </c>
      <c r="E53" s="1">
        <v>119</v>
      </c>
      <c r="F53" s="1">
        <v>30</v>
      </c>
      <c r="G53" s="1">
        <v>0.41514819605063125</v>
      </c>
      <c r="H53" s="1">
        <v>1.8802216624064148</v>
      </c>
      <c r="I53" s="1">
        <v>443.80440631375711</v>
      </c>
      <c r="J53" s="1" t="s">
        <v>16</v>
      </c>
      <c r="K53" s="1">
        <f t="shared" si="0"/>
        <v>0.4912767998705756</v>
      </c>
      <c r="L53" s="1">
        <f t="shared" si="1"/>
        <v>0.95357612067389008</v>
      </c>
      <c r="M53" s="1">
        <f t="shared" si="2"/>
        <v>224.80637366196285</v>
      </c>
    </row>
    <row r="54" spans="1:19" x14ac:dyDescent="0.3">
      <c r="A54" s="1">
        <v>52</v>
      </c>
      <c r="C54" s="1" t="s">
        <v>15</v>
      </c>
      <c r="D54" s="1">
        <v>15.4</v>
      </c>
      <c r="E54" s="1">
        <v>120</v>
      </c>
      <c r="F54" s="1">
        <v>45</v>
      </c>
      <c r="G54" s="1">
        <v>0.42439069186469264</v>
      </c>
      <c r="H54" s="1">
        <v>1.8949973178451629</v>
      </c>
      <c r="I54" s="1">
        <v>598.89527894530249</v>
      </c>
      <c r="J54" s="1" t="s">
        <v>16</v>
      </c>
      <c r="K54" s="1">
        <f t="shared" si="0"/>
        <v>0.50221415624004784</v>
      </c>
      <c r="L54" s="1">
        <f t="shared" si="1"/>
        <v>0.96106976489436069</v>
      </c>
      <c r="M54" s="1">
        <f t="shared" si="2"/>
        <v>303.36669475917665</v>
      </c>
    </row>
    <row r="55" spans="1:19" x14ac:dyDescent="0.3">
      <c r="A55" s="1">
        <v>53</v>
      </c>
      <c r="C55" s="1" t="s">
        <v>15</v>
      </c>
      <c r="D55" s="1">
        <v>15.4</v>
      </c>
      <c r="E55" s="1">
        <v>121</v>
      </c>
      <c r="F55" s="1">
        <v>0</v>
      </c>
      <c r="G55" s="1">
        <v>0.41066315334507086</v>
      </c>
      <c r="H55" s="1">
        <v>1.8560433171430089</v>
      </c>
      <c r="I55" s="1">
        <v>439.48013974875954</v>
      </c>
      <c r="J55" s="1" t="s">
        <v>16</v>
      </c>
      <c r="K55" s="1">
        <f t="shared" si="0"/>
        <v>0.48596930377970532</v>
      </c>
      <c r="L55" s="1">
        <f t="shared" si="1"/>
        <v>0.94131379376766555</v>
      </c>
      <c r="M55" s="1">
        <f t="shared" si="2"/>
        <v>222.61594321243393</v>
      </c>
      <c r="N55" s="1">
        <f>SLOPE(K55:K58,F55:F58)</f>
        <v>2.1797959360911518E-5</v>
      </c>
      <c r="O55" s="1">
        <f>SLOPE(L55:L58,F55:F58)</f>
        <v>-7.720724348363757E-5</v>
      </c>
      <c r="P55" s="1">
        <f>SLOPE(M55:M58,F55:F58)</f>
        <v>1.3680971326181937E-2</v>
      </c>
      <c r="Q55" s="1">
        <f>(N55*41.35/0.31*60)/1000</f>
        <v>1.7445399088523056E-4</v>
      </c>
      <c r="R55" s="1">
        <f>O55*41.35/0.31*60/1000</f>
        <v>-6.179070034932414E-4</v>
      </c>
      <c r="S55" s="1">
        <f>(P55*41.35/0.31*60)/1000</f>
        <v>0.10949190277502382</v>
      </c>
    </row>
    <row r="56" spans="1:19" x14ac:dyDescent="0.3">
      <c r="A56" s="1">
        <v>54</v>
      </c>
      <c r="C56" s="1" t="s">
        <v>15</v>
      </c>
      <c r="D56" s="1">
        <v>15.4</v>
      </c>
      <c r="E56" s="1">
        <v>122</v>
      </c>
      <c r="F56" s="1">
        <v>15</v>
      </c>
      <c r="G56" s="1">
        <v>0.41289108128340785</v>
      </c>
      <c r="H56" s="1">
        <v>1.8694757311782344</v>
      </c>
      <c r="I56" s="1">
        <v>447.86063982720532</v>
      </c>
      <c r="J56" s="1" t="s">
        <v>16</v>
      </c>
      <c r="K56" s="1">
        <f t="shared" si="0"/>
        <v>0.48860578231508345</v>
      </c>
      <c r="L56" s="1">
        <f t="shared" si="1"/>
        <v>0.94812619760445693</v>
      </c>
      <c r="M56" s="1">
        <f t="shared" si="2"/>
        <v>226.86103362908304</v>
      </c>
    </row>
    <row r="57" spans="1:19" x14ac:dyDescent="0.3">
      <c r="A57" s="1">
        <v>55</v>
      </c>
      <c r="C57" s="1" t="s">
        <v>15</v>
      </c>
      <c r="D57" s="1">
        <v>15.4</v>
      </c>
      <c r="E57" s="1">
        <v>123</v>
      </c>
      <c r="F57" s="1">
        <v>30</v>
      </c>
      <c r="G57" s="1">
        <v>0.41156794504055266</v>
      </c>
      <c r="H57" s="1">
        <v>1.8506703515289189</v>
      </c>
      <c r="I57" s="1">
        <v>445.19023646176828</v>
      </c>
      <c r="J57" s="1" t="s">
        <v>16</v>
      </c>
      <c r="K57" s="1">
        <f t="shared" si="0"/>
        <v>0.4870400134032431</v>
      </c>
      <c r="L57" s="1">
        <f t="shared" si="1"/>
        <v>0.93858883223294898</v>
      </c>
      <c r="M57" s="1">
        <f t="shared" si="2"/>
        <v>225.50835734138033</v>
      </c>
    </row>
    <row r="58" spans="1:19" x14ac:dyDescent="0.3">
      <c r="A58" s="1">
        <v>56</v>
      </c>
      <c r="C58" s="1" t="s">
        <v>15</v>
      </c>
      <c r="D58" s="1">
        <v>15.4</v>
      </c>
      <c r="E58" s="1">
        <v>124</v>
      </c>
      <c r="F58" s="1">
        <v>45</v>
      </c>
      <c r="G58" s="1">
        <v>0.41202520535977466</v>
      </c>
      <c r="H58" s="1">
        <v>1.8547000757394863</v>
      </c>
      <c r="I58" s="1">
        <v>441.72069751671165</v>
      </c>
      <c r="J58" s="1" t="s">
        <v>16</v>
      </c>
      <c r="K58" s="1">
        <f t="shared" si="0"/>
        <v>0.48758112471836434</v>
      </c>
      <c r="L58" s="1">
        <f t="shared" si="1"/>
        <v>0.94063255338398633</v>
      </c>
      <c r="M58" s="1">
        <f t="shared" si="2"/>
        <v>223.75088387464393</v>
      </c>
    </row>
    <row r="59" spans="1:19" x14ac:dyDescent="0.3">
      <c r="A59" s="1">
        <v>57</v>
      </c>
      <c r="C59" s="1" t="s">
        <v>15</v>
      </c>
      <c r="D59" s="1">
        <v>15.4</v>
      </c>
      <c r="E59" s="1">
        <v>125</v>
      </c>
      <c r="F59" s="1">
        <v>0</v>
      </c>
      <c r="G59" s="1">
        <v>0.4096513432770052</v>
      </c>
      <c r="H59" s="1">
        <v>1.8479838687218735</v>
      </c>
      <c r="I59" s="1">
        <v>440.0906594772888</v>
      </c>
      <c r="J59" s="1" t="s">
        <v>16</v>
      </c>
      <c r="K59" s="1">
        <f t="shared" si="0"/>
        <v>0.48477195108241572</v>
      </c>
      <c r="L59" s="1">
        <f t="shared" si="1"/>
        <v>0.93722635146559052</v>
      </c>
      <c r="M59" s="1">
        <f t="shared" si="2"/>
        <v>222.92519820014292</v>
      </c>
      <c r="N59" s="1">
        <f>SLOPE(K59:K62,F59:F62)</f>
        <v>-9.2334313771753982E-5</v>
      </c>
      <c r="O59" s="1">
        <f>SLOPE(L59:L62,F59:F62)</f>
        <v>8.1748846041498351E-5</v>
      </c>
      <c r="P59" s="1">
        <f>SLOPE(M59:M62,F59:F62)</f>
        <v>2.183719029633115</v>
      </c>
      <c r="Q59" s="1">
        <f>(N59*41.35/0.31*60)/1000</f>
        <v>-7.3897236279910202E-4</v>
      </c>
      <c r="R59" s="1">
        <f>O59*41.35/0.31*60/1000</f>
        <v>6.5425447428695937E-4</v>
      </c>
      <c r="S59" s="1">
        <f>(P59*41.35/0.31*60)/1000</f>
        <v>17.476796491999224</v>
      </c>
    </row>
    <row r="60" spans="1:19" x14ac:dyDescent="0.3">
      <c r="A60" s="1">
        <v>58</v>
      </c>
      <c r="C60" s="1" t="s">
        <v>15</v>
      </c>
      <c r="D60" s="1">
        <v>15.4</v>
      </c>
      <c r="E60" s="1">
        <v>126</v>
      </c>
      <c r="F60" s="1">
        <v>15</v>
      </c>
      <c r="G60" s="1">
        <v>0.41076044277469254</v>
      </c>
      <c r="H60" s="1">
        <v>1.8560433171430089</v>
      </c>
      <c r="I60" s="1">
        <v>437.74090305870544</v>
      </c>
      <c r="J60" s="1" t="s">
        <v>16</v>
      </c>
      <c r="K60" s="1">
        <f t="shared" si="0"/>
        <v>0.48608443384675232</v>
      </c>
      <c r="L60" s="1">
        <f t="shared" si="1"/>
        <v>0.94131379376766555</v>
      </c>
      <c r="M60" s="1">
        <f t="shared" si="2"/>
        <v>221.73494363769225</v>
      </c>
    </row>
    <row r="61" spans="1:19" x14ac:dyDescent="0.3">
      <c r="A61" s="1">
        <v>59</v>
      </c>
      <c r="C61" s="1" t="s">
        <v>15</v>
      </c>
      <c r="D61" s="1">
        <v>15.4</v>
      </c>
      <c r="E61" s="1">
        <v>127</v>
      </c>
      <c r="F61" s="1">
        <v>30</v>
      </c>
      <c r="G61" s="1">
        <v>0.40722883647942487</v>
      </c>
      <c r="H61" s="1">
        <v>1.8479838687218735</v>
      </c>
      <c r="I61" s="1">
        <v>443.20182830527381</v>
      </c>
      <c r="J61" s="1" t="s">
        <v>16</v>
      </c>
      <c r="K61" s="1">
        <f t="shared" si="0"/>
        <v>0.48190521241294354</v>
      </c>
      <c r="L61" s="1">
        <f t="shared" si="1"/>
        <v>0.93722635146559052</v>
      </c>
      <c r="M61" s="1">
        <f t="shared" si="2"/>
        <v>224.50114150336233</v>
      </c>
    </row>
    <row r="62" spans="1:19" x14ac:dyDescent="0.3">
      <c r="A62" s="1">
        <v>60</v>
      </c>
      <c r="C62" s="1" t="s">
        <v>15</v>
      </c>
      <c r="D62" s="1">
        <v>15.4</v>
      </c>
      <c r="E62" s="1">
        <v>128</v>
      </c>
      <c r="F62" s="1">
        <v>45</v>
      </c>
      <c r="G62" s="1">
        <v>0.40692723924759766</v>
      </c>
      <c r="H62" s="1">
        <v>1.8587297999500541</v>
      </c>
      <c r="I62" s="1">
        <v>653.82120749781677</v>
      </c>
      <c r="J62" s="1" t="s">
        <v>16</v>
      </c>
      <c r="K62" s="1">
        <f t="shared" si="0"/>
        <v>0.48154830920509761</v>
      </c>
      <c r="L62" s="1">
        <f t="shared" si="1"/>
        <v>0.94267627453502378</v>
      </c>
      <c r="M62" s="1">
        <f t="shared" si="2"/>
        <v>331.18908372657529</v>
      </c>
    </row>
    <row r="63" spans="1:19" x14ac:dyDescent="0.3">
      <c r="A63" s="1">
        <v>61</v>
      </c>
      <c r="C63" s="1" t="s">
        <v>15</v>
      </c>
      <c r="D63" s="1">
        <v>15.4</v>
      </c>
      <c r="E63" s="1">
        <v>129</v>
      </c>
      <c r="F63" s="1">
        <v>0</v>
      </c>
      <c r="G63" s="1">
        <v>0.40622675535432146</v>
      </c>
      <c r="H63" s="1">
        <v>1.8869378694240275</v>
      </c>
      <c r="I63" s="1">
        <v>626.34087070895919</v>
      </c>
      <c r="J63" s="1" t="s">
        <v>129</v>
      </c>
      <c r="K63" s="1">
        <f t="shared" si="0"/>
        <v>0.48071937272235871</v>
      </c>
      <c r="L63" s="1">
        <f t="shared" si="1"/>
        <v>0.95698232259228577</v>
      </c>
      <c r="M63" s="1">
        <f t="shared" si="2"/>
        <v>317.26908930420132</v>
      </c>
      <c r="N63" s="1">
        <f>SLOPE(K63:K66,F63:F66)</f>
        <v>8.2893648273894006E-5</v>
      </c>
      <c r="O63" s="1">
        <f>SLOPE(L63:L66,F63:F66)</f>
        <v>-6.8124038367916768E-5</v>
      </c>
      <c r="P63" s="1">
        <f>SLOPE(M63:M66,F63:F66)</f>
        <v>2.5283112187018864</v>
      </c>
      <c r="Q63" s="1">
        <f>(N63*41.35/0.31*60)/1000</f>
        <v>6.6341658505655171E-4</v>
      </c>
      <c r="R63" s="1">
        <f>O63*41.35/0.31*60/1000</f>
        <v>-5.4521206190581131E-4</v>
      </c>
      <c r="S63" s="1">
        <f>(P63*41.35/0.31*60)/1000</f>
        <v>20.234645592256065</v>
      </c>
    </row>
    <row r="64" spans="1:19" x14ac:dyDescent="0.3">
      <c r="A64" s="1">
        <v>62</v>
      </c>
      <c r="C64" s="1" t="s">
        <v>15</v>
      </c>
      <c r="D64" s="1">
        <v>15.4</v>
      </c>
      <c r="E64" s="1">
        <v>130</v>
      </c>
      <c r="F64" s="1">
        <v>15</v>
      </c>
      <c r="G64" s="1">
        <v>0.40716073387868967</v>
      </c>
      <c r="H64" s="1">
        <v>1.8627595241606216</v>
      </c>
      <c r="I64" s="1">
        <v>703.95530071763073</v>
      </c>
      <c r="J64" s="1" t="s">
        <v>129</v>
      </c>
      <c r="K64" s="1">
        <f t="shared" si="0"/>
        <v>0.48182462136601056</v>
      </c>
      <c r="L64" s="1">
        <f t="shared" si="1"/>
        <v>0.94471999568606124</v>
      </c>
      <c r="M64" s="1">
        <f t="shared" si="2"/>
        <v>356.58419818068751</v>
      </c>
    </row>
    <row r="65" spans="1:19" x14ac:dyDescent="0.3">
      <c r="A65" s="1">
        <v>63</v>
      </c>
      <c r="C65" s="1" t="s">
        <v>15</v>
      </c>
      <c r="D65" s="1">
        <v>15.4</v>
      </c>
      <c r="E65" s="1">
        <v>131</v>
      </c>
      <c r="F65" s="1">
        <v>30</v>
      </c>
      <c r="G65" s="1">
        <v>0.40567220560547768</v>
      </c>
      <c r="H65" s="1">
        <v>1.8748486967923246</v>
      </c>
      <c r="I65" s="1">
        <v>714.81461016540595</v>
      </c>
      <c r="J65" s="1" t="s">
        <v>129</v>
      </c>
      <c r="K65" s="1">
        <f t="shared" si="0"/>
        <v>0.4800631313401903</v>
      </c>
      <c r="L65" s="1">
        <f t="shared" si="1"/>
        <v>0.95085115913917351</v>
      </c>
      <c r="M65" s="1">
        <f t="shared" si="2"/>
        <v>362.08491413279899</v>
      </c>
    </row>
    <row r="66" spans="1:19" x14ac:dyDescent="0.3">
      <c r="A66" s="1">
        <v>64</v>
      </c>
      <c r="C66" s="1" t="s">
        <v>15</v>
      </c>
      <c r="D66" s="1">
        <v>15.4</v>
      </c>
      <c r="E66" s="1">
        <v>132</v>
      </c>
      <c r="F66" s="1">
        <v>45</v>
      </c>
      <c r="G66" s="1">
        <v>0.4102253509117732</v>
      </c>
      <c r="H66" s="1">
        <v>1.876191938195847</v>
      </c>
      <c r="I66" s="1">
        <v>872.28601338071257</v>
      </c>
      <c r="J66" s="1" t="s">
        <v>129</v>
      </c>
      <c r="K66" s="1">
        <f t="shared" si="0"/>
        <v>0.4854512184779935</v>
      </c>
      <c r="L66" s="1">
        <f t="shared" si="1"/>
        <v>0.95153239952285251</v>
      </c>
      <c r="M66" s="1">
        <f t="shared" si="2"/>
        <v>441.85107825525847</v>
      </c>
    </row>
    <row r="67" spans="1:19" x14ac:dyDescent="0.3">
      <c r="A67" s="1">
        <v>65</v>
      </c>
      <c r="C67" s="1" t="s">
        <v>15</v>
      </c>
      <c r="D67" s="1">
        <v>15.4</v>
      </c>
      <c r="E67" s="1" t="s">
        <v>54</v>
      </c>
      <c r="G67" s="1">
        <v>0.56895305533957552</v>
      </c>
      <c r="H67" s="1">
        <v>1.8949973178451629</v>
      </c>
      <c r="I67" s="1">
        <v>500.27599213020659</v>
      </c>
      <c r="K67" s="1">
        <f t="shared" ref="K67:K130" si="3">(G67*28*1)/(0.082*(D67+273.15))</f>
        <v>0.67328592286529854</v>
      </c>
      <c r="L67" s="1">
        <f t="shared" ref="L67:L130" si="4">(H67*12*1)/(0.082*(D67+273.15))</f>
        <v>0.96106976489436069</v>
      </c>
      <c r="M67" s="1">
        <f t="shared" ref="M67:M130" si="5">(I67*12*1)/(0.0821*(D67+273.15))</f>
        <v>253.41170574458584</v>
      </c>
    </row>
    <row r="68" spans="1:19" x14ac:dyDescent="0.3">
      <c r="A68" s="1">
        <v>66</v>
      </c>
      <c r="C68" s="1" t="s">
        <v>15</v>
      </c>
      <c r="D68" s="1">
        <v>15.4</v>
      </c>
      <c r="E68" s="1" t="s">
        <v>55</v>
      </c>
      <c r="G68" s="1">
        <v>0.39237274057619143</v>
      </c>
      <c r="H68" s="1">
        <v>1.87753517959937</v>
      </c>
      <c r="I68" s="1">
        <v>437.3239627562952</v>
      </c>
      <c r="K68" s="1">
        <f t="shared" si="3"/>
        <v>0.464324851174855</v>
      </c>
      <c r="L68" s="1">
        <f t="shared" si="4"/>
        <v>0.95221363990653196</v>
      </c>
      <c r="M68" s="1">
        <f t="shared" si="5"/>
        <v>221.52374510950074</v>
      </c>
    </row>
    <row r="69" spans="1:19" x14ac:dyDescent="0.3">
      <c r="A69" s="1">
        <v>67</v>
      </c>
      <c r="B69" s="1" t="s">
        <v>133</v>
      </c>
      <c r="C69" s="1" t="s">
        <v>15</v>
      </c>
      <c r="D69" s="1">
        <v>18.3</v>
      </c>
      <c r="E69" s="1">
        <v>101</v>
      </c>
      <c r="F69" s="1">
        <v>0</v>
      </c>
      <c r="G69" s="1">
        <v>0.43063426576897373</v>
      </c>
      <c r="H69" s="1">
        <v>2.0484810894882579</v>
      </c>
      <c r="I69" s="1">
        <v>558.25982888732904</v>
      </c>
      <c r="J69" s="1" t="s">
        <v>129</v>
      </c>
      <c r="K69" s="1">
        <f t="shared" si="3"/>
        <v>0.50453198438134239</v>
      </c>
      <c r="L69" s="1">
        <f t="shared" si="4"/>
        <v>1.0285734102347428</v>
      </c>
      <c r="M69" s="1">
        <f t="shared" si="5"/>
        <v>279.96929739341209</v>
      </c>
      <c r="N69" s="1">
        <f>SLOPE(K69:K72,F69:F72)</f>
        <v>6.3418607832676907E-3</v>
      </c>
      <c r="O69" s="1">
        <f>SLOPE(L69:L72,F69:F72)</f>
        <v>-6.3111221014790317E-5</v>
      </c>
      <c r="P69" s="1">
        <f>SLOPE(M69:M72,F69:F72)</f>
        <v>1.5790293399885125</v>
      </c>
      <c r="Q69" s="1">
        <f>(N69*41.35/0.31*60)/1000</f>
        <v>5.0755343881571428E-2</v>
      </c>
      <c r="R69" s="1">
        <f>O69*41.35/0.31*60/1000</f>
        <v>-5.0509335270224119E-4</v>
      </c>
      <c r="S69" s="1">
        <f>(P69*41.35/0.31*60)/1000</f>
        <v>12.63732836294032</v>
      </c>
    </row>
    <row r="70" spans="1:19" x14ac:dyDescent="0.3">
      <c r="A70" s="1">
        <v>68</v>
      </c>
      <c r="B70" s="1" t="s">
        <v>134</v>
      </c>
      <c r="C70" s="1" t="s">
        <v>15</v>
      </c>
      <c r="D70" s="1">
        <v>18.3</v>
      </c>
      <c r="E70" s="1">
        <v>102</v>
      </c>
      <c r="F70" s="1">
        <v>15</v>
      </c>
      <c r="G70" s="1">
        <v>0.44455769914098625</v>
      </c>
      <c r="H70" s="1">
        <v>2.049827775881035</v>
      </c>
      <c r="I70" s="1">
        <v>585.48624230453913</v>
      </c>
      <c r="J70" s="1" t="s">
        <v>129</v>
      </c>
      <c r="K70" s="1">
        <f t="shared" si="3"/>
        <v>0.52084470732743415</v>
      </c>
      <c r="L70" s="1">
        <f t="shared" si="4"/>
        <v>1.0292496018884727</v>
      </c>
      <c r="M70" s="1">
        <f t="shared" si="5"/>
        <v>293.62344093111113</v>
      </c>
    </row>
    <row r="71" spans="1:19" x14ac:dyDescent="0.3">
      <c r="A71" s="1">
        <v>69</v>
      </c>
      <c r="C71" s="1" t="s">
        <v>15</v>
      </c>
      <c r="D71" s="1">
        <v>18.3</v>
      </c>
      <c r="E71" s="1">
        <v>103</v>
      </c>
      <c r="F71" s="1">
        <v>30</v>
      </c>
      <c r="G71" s="1">
        <v>0.6144800194825849</v>
      </c>
      <c r="H71" s="1">
        <v>2.0713747581654705</v>
      </c>
      <c r="I71" s="1">
        <v>681.59250911886511</v>
      </c>
      <c r="J71" s="1" t="s">
        <v>129</v>
      </c>
      <c r="K71" s="1">
        <f t="shared" si="3"/>
        <v>0.71992604452557973</v>
      </c>
      <c r="L71" s="1">
        <f t="shared" si="4"/>
        <v>1.0400686683481517</v>
      </c>
      <c r="M71" s="1">
        <f t="shared" si="5"/>
        <v>341.82107687554003</v>
      </c>
    </row>
    <row r="72" spans="1:19" x14ac:dyDescent="0.3">
      <c r="A72" s="1">
        <v>70</v>
      </c>
      <c r="C72" s="1" t="s">
        <v>15</v>
      </c>
      <c r="D72" s="1">
        <v>18.3</v>
      </c>
      <c r="E72" s="1">
        <v>104</v>
      </c>
      <c r="F72" s="1">
        <v>45</v>
      </c>
      <c r="G72" s="1">
        <v>0.64464259352398179</v>
      </c>
      <c r="H72" s="1">
        <v>2.0350142255604862</v>
      </c>
      <c r="I72" s="1">
        <v>683.6539278807428</v>
      </c>
      <c r="J72" s="1" t="s">
        <v>129</v>
      </c>
      <c r="K72" s="1">
        <f t="shared" si="3"/>
        <v>0.75526457781201173</v>
      </c>
      <c r="L72" s="1">
        <f t="shared" si="4"/>
        <v>1.0218114936974436</v>
      </c>
      <c r="M72" s="1">
        <f t="shared" si="5"/>
        <v>342.85488574469474</v>
      </c>
    </row>
    <row r="73" spans="1:19" x14ac:dyDescent="0.3">
      <c r="A73" s="1">
        <v>71</v>
      </c>
      <c r="C73" s="1" t="s">
        <v>15</v>
      </c>
      <c r="D73" s="1">
        <v>18.3</v>
      </c>
      <c r="E73" s="1">
        <v>105</v>
      </c>
      <c r="F73" s="1">
        <v>0</v>
      </c>
      <c r="G73" s="1">
        <v>0.78442179954937141</v>
      </c>
      <c r="H73" s="1">
        <v>2.0228940480254911</v>
      </c>
      <c r="I73" s="1">
        <v>436.38340690749061</v>
      </c>
      <c r="J73" s="1" t="s">
        <v>16</v>
      </c>
      <c r="K73" s="1">
        <f t="shared" si="3"/>
        <v>0.91903018077745824</v>
      </c>
      <c r="L73" s="1">
        <f t="shared" si="4"/>
        <v>1.0157257688138739</v>
      </c>
      <c r="M73" s="1">
        <f t="shared" si="5"/>
        <v>218.8478366239234</v>
      </c>
      <c r="N73" s="1">
        <f>SLOPE(K73:K76,F73:F76)</f>
        <v>4.0549333013996693E-2</v>
      </c>
      <c r="O73" s="1">
        <f>SLOPE(L73:L76,F73:F76)</f>
        <v>1.3523833074598811E-4</v>
      </c>
      <c r="P73" s="1">
        <f>SLOPE(M73:M76,F73:F76)</f>
        <v>0.33426972353586032</v>
      </c>
      <c r="Q73" s="1">
        <f>(N73*41.35/0.31*60)/1000</f>
        <v>0.32452546841201874</v>
      </c>
      <c r="R73" s="1">
        <f>O73*41.35/0.31*60/1000</f>
        <v>1.0823428986477309E-3</v>
      </c>
      <c r="S73" s="1">
        <f>(P73*41.35/0.31*60)/1000</f>
        <v>2.6752360777176438</v>
      </c>
    </row>
    <row r="74" spans="1:19" x14ac:dyDescent="0.3">
      <c r="A74" s="1">
        <v>72</v>
      </c>
      <c r="C74" s="1" t="s">
        <v>15</v>
      </c>
      <c r="D74" s="1">
        <v>18.3</v>
      </c>
      <c r="E74" s="1">
        <v>106</v>
      </c>
      <c r="F74" s="1">
        <v>15</v>
      </c>
      <c r="G74" s="1">
        <v>1.9441241221281127</v>
      </c>
      <c r="H74" s="1">
        <v>1.9892268882060606</v>
      </c>
      <c r="I74" s="1">
        <v>461.53775073784379</v>
      </c>
      <c r="J74" s="1" t="s">
        <v>16</v>
      </c>
      <c r="K74" s="1">
        <f t="shared" si="3"/>
        <v>2.2777397880064418</v>
      </c>
      <c r="L74" s="1">
        <f t="shared" si="4"/>
        <v>0.99882097747062537</v>
      </c>
      <c r="M74" s="1">
        <f t="shared" si="5"/>
        <v>231.46282986571302</v>
      </c>
    </row>
    <row r="75" spans="1:19" x14ac:dyDescent="0.3">
      <c r="A75" s="1">
        <v>73</v>
      </c>
      <c r="C75" s="1" t="s">
        <v>15</v>
      </c>
      <c r="D75" s="1">
        <v>18.3</v>
      </c>
      <c r="E75" s="1">
        <v>107</v>
      </c>
      <c r="F75" s="1">
        <v>30</v>
      </c>
      <c r="G75" s="1">
        <v>2.0499461077004457</v>
      </c>
      <c r="H75" s="1">
        <v>2.0053871249193875</v>
      </c>
      <c r="I75" s="1">
        <v>466.23282804002571</v>
      </c>
      <c r="J75" s="1" t="s">
        <v>16</v>
      </c>
      <c r="K75" s="1">
        <f t="shared" si="3"/>
        <v>2.4017210422074857</v>
      </c>
      <c r="L75" s="1">
        <f t="shared" si="4"/>
        <v>1.0069352773153848</v>
      </c>
      <c r="M75" s="1">
        <f t="shared" si="5"/>
        <v>233.81742789602362</v>
      </c>
    </row>
    <row r="76" spans="1:19" x14ac:dyDescent="0.3">
      <c r="A76" s="1">
        <v>74</v>
      </c>
      <c r="C76" s="1" t="s">
        <v>15</v>
      </c>
      <c r="D76" s="1">
        <v>18.3</v>
      </c>
      <c r="E76" s="1">
        <v>108</v>
      </c>
      <c r="F76" s="1">
        <v>45</v>
      </c>
      <c r="G76" s="1">
        <v>2.4796557593018176</v>
      </c>
      <c r="H76" s="1">
        <v>2.0309741663821543</v>
      </c>
      <c r="I76" s="1">
        <v>468.14513525219502</v>
      </c>
      <c r="J76" s="1" t="s">
        <v>16</v>
      </c>
      <c r="K76" s="1">
        <f t="shared" si="3"/>
        <v>2.9051697467436113</v>
      </c>
      <c r="L76" s="1">
        <f t="shared" si="4"/>
        <v>1.0197829187362535</v>
      </c>
      <c r="M76" s="1">
        <f t="shared" si="5"/>
        <v>234.77645679061288</v>
      </c>
    </row>
    <row r="77" spans="1:19" x14ac:dyDescent="0.3">
      <c r="A77" s="1">
        <v>75</v>
      </c>
      <c r="C77" s="1" t="s">
        <v>15</v>
      </c>
      <c r="D77" s="1">
        <v>18.3</v>
      </c>
      <c r="E77" s="1">
        <v>109</v>
      </c>
      <c r="F77" s="1">
        <v>0</v>
      </c>
      <c r="G77" s="1">
        <v>0.60376744076659195</v>
      </c>
      <c r="H77" s="1">
        <v>1.9946136337771696</v>
      </c>
      <c r="I77" s="1">
        <v>467.78881674380102</v>
      </c>
      <c r="J77" s="1" t="s">
        <v>16</v>
      </c>
      <c r="K77" s="1">
        <f t="shared" si="3"/>
        <v>0.70737516544546297</v>
      </c>
      <c r="L77" s="1">
        <f t="shared" si="4"/>
        <v>1.0015257440855452</v>
      </c>
      <c r="M77" s="1">
        <f t="shared" si="5"/>
        <v>234.59776178645654</v>
      </c>
      <c r="N77" s="1">
        <f>SLOPE(K77:K80,F77:F80)</f>
        <v>7.0139008904761217E-3</v>
      </c>
      <c r="O77" s="1">
        <f>SLOPE(L77:L80,F77:F80)</f>
        <v>9.0158887163991345E-5</v>
      </c>
      <c r="P77" s="1">
        <f>SLOPE(M77:M80,F77:F80)</f>
        <v>0.13404067648730061</v>
      </c>
      <c r="Q77" s="1">
        <f>(N77*41.35/0.31*60)/1000</f>
        <v>5.6133832610552443E-2</v>
      </c>
      <c r="R77" s="1">
        <f>O77*41.35/0.31*60/1000</f>
        <v>7.2156193243181461E-4</v>
      </c>
      <c r="S77" s="1">
        <f>(P77*41.35/0.31*60)/1000</f>
        <v>1.0727578011773962</v>
      </c>
    </row>
    <row r="78" spans="1:19" x14ac:dyDescent="0.3">
      <c r="A78" s="1">
        <v>76</v>
      </c>
      <c r="C78" s="1" t="s">
        <v>15</v>
      </c>
      <c r="D78" s="1">
        <v>18.3</v>
      </c>
      <c r="E78" s="1">
        <v>110</v>
      </c>
      <c r="F78" s="1">
        <v>15</v>
      </c>
      <c r="G78" s="1">
        <v>0.66057037859035816</v>
      </c>
      <c r="H78" s="1">
        <v>1.9717199650999573</v>
      </c>
      <c r="I78" s="1">
        <v>446.32546789713865</v>
      </c>
      <c r="J78" s="1" t="s">
        <v>16</v>
      </c>
      <c r="K78" s="1">
        <f t="shared" si="3"/>
        <v>0.77392560329262139</v>
      </c>
      <c r="L78" s="1">
        <f t="shared" si="4"/>
        <v>0.99003048597213616</v>
      </c>
      <c r="M78" s="1">
        <f t="shared" si="5"/>
        <v>223.83381570728673</v>
      </c>
    </row>
    <row r="79" spans="1:19" x14ac:dyDescent="0.3">
      <c r="A79" s="1">
        <v>77</v>
      </c>
      <c r="C79" s="1" t="s">
        <v>15</v>
      </c>
      <c r="D79" s="1">
        <v>18.3</v>
      </c>
      <c r="E79" s="1">
        <v>111</v>
      </c>
      <c r="F79" s="1">
        <v>30</v>
      </c>
      <c r="G79" s="1">
        <v>0.60376744076659195</v>
      </c>
      <c r="H79" s="1">
        <v>1.9946136337771696</v>
      </c>
      <c r="I79" s="1">
        <v>467.78881674380102</v>
      </c>
      <c r="J79" s="1" t="s">
        <v>16</v>
      </c>
      <c r="K79" s="1">
        <f t="shared" si="3"/>
        <v>0.70737516544546297</v>
      </c>
      <c r="L79" s="1">
        <f t="shared" si="4"/>
        <v>1.0015257440855452</v>
      </c>
      <c r="M79" s="1">
        <f t="shared" si="5"/>
        <v>234.59776178645654</v>
      </c>
    </row>
    <row r="80" spans="1:19" x14ac:dyDescent="0.3">
      <c r="A80" s="1">
        <v>78</v>
      </c>
      <c r="C80" s="1" t="s">
        <v>15</v>
      </c>
      <c r="D80" s="1">
        <v>18.3</v>
      </c>
      <c r="E80" s="1">
        <v>112</v>
      </c>
      <c r="F80" s="1">
        <v>45</v>
      </c>
      <c r="G80" s="1">
        <v>0.92203124621629939</v>
      </c>
      <c r="H80" s="1">
        <v>1.9959603201699467</v>
      </c>
      <c r="I80" s="1">
        <v>473.99824770665771</v>
      </c>
      <c r="J80" s="1" t="s">
        <v>16</v>
      </c>
      <c r="K80" s="1">
        <f t="shared" si="3"/>
        <v>1.0802536892516552</v>
      </c>
      <c r="L80" s="1">
        <f t="shared" si="4"/>
        <v>1.0022019357392751</v>
      </c>
      <c r="M80" s="1">
        <f t="shared" si="5"/>
        <v>237.71181358443164</v>
      </c>
    </row>
    <row r="81" spans="1:19" x14ac:dyDescent="0.3">
      <c r="A81" s="1">
        <v>79</v>
      </c>
      <c r="C81" s="1" t="s">
        <v>15</v>
      </c>
      <c r="D81" s="1">
        <v>18.3</v>
      </c>
      <c r="E81" s="1">
        <v>113</v>
      </c>
      <c r="F81" s="1">
        <v>0</v>
      </c>
      <c r="G81" s="1">
        <v>1.6030437888954776</v>
      </c>
      <c r="H81" s="1">
        <v>1.9973070065627239</v>
      </c>
      <c r="I81" s="1">
        <v>475.79533235768872</v>
      </c>
      <c r="J81" s="1" t="s">
        <v>16</v>
      </c>
      <c r="K81" s="1">
        <f t="shared" si="3"/>
        <v>1.8781293736980935</v>
      </c>
      <c r="L81" s="1">
        <f t="shared" si="4"/>
        <v>1.002878127393005</v>
      </c>
      <c r="M81" s="1">
        <f t="shared" si="5"/>
        <v>238.61305795322036</v>
      </c>
      <c r="N81" s="1">
        <f>SLOPE(K81:K84,F81:F84)</f>
        <v>4.8080924417907595E-2</v>
      </c>
      <c r="O81" s="1">
        <f>SLOPE(L81:L84,F81:F84)</f>
        <v>4.5079443582015285E-6</v>
      </c>
      <c r="P81" s="1">
        <f>SLOPE(M81:M84,F81:F84)</f>
        <v>0.92632641393731463</v>
      </c>
      <c r="Q81" s="1">
        <f>(N81*41.35/0.31*60)/1000</f>
        <v>0.38480249509944758</v>
      </c>
      <c r="R81" s="1">
        <f>O81*41.35/0.31*60/1000</f>
        <v>3.607809662160643E-5</v>
      </c>
      <c r="S81" s="1">
        <f>(P81*41.35/0.31*60)/1000</f>
        <v>7.4135994612208957</v>
      </c>
    </row>
    <row r="82" spans="1:19" x14ac:dyDescent="0.3">
      <c r="A82" s="1">
        <v>80</v>
      </c>
      <c r="C82" s="1" t="s">
        <v>15</v>
      </c>
      <c r="D82" s="1">
        <v>18.3</v>
      </c>
      <c r="E82" s="1">
        <v>114</v>
      </c>
      <c r="F82" s="1">
        <v>15</v>
      </c>
      <c r="G82" s="1">
        <v>2.4224928165620736</v>
      </c>
      <c r="H82" s="1">
        <v>2.0067338113121647</v>
      </c>
      <c r="I82" s="1">
        <v>508.30455496456773</v>
      </c>
      <c r="J82" s="1" t="s">
        <v>16</v>
      </c>
      <c r="K82" s="1">
        <f t="shared" si="3"/>
        <v>2.8381975264023893</v>
      </c>
      <c r="L82" s="1">
        <f t="shared" si="4"/>
        <v>1.0076114689691147</v>
      </c>
      <c r="M82" s="1">
        <f t="shared" si="5"/>
        <v>254.91654916123792</v>
      </c>
    </row>
    <row r="83" spans="1:19" x14ac:dyDescent="0.3">
      <c r="A83" s="1">
        <v>81</v>
      </c>
      <c r="C83" s="1" t="s">
        <v>15</v>
      </c>
      <c r="D83" s="1">
        <v>18.3</v>
      </c>
      <c r="E83" s="1">
        <v>115</v>
      </c>
      <c r="F83" s="1">
        <v>30</v>
      </c>
      <c r="G83" s="1">
        <v>3.2090062593479827</v>
      </c>
      <c r="H83" s="1">
        <v>1.9798000834566203</v>
      </c>
      <c r="I83" s="1">
        <v>528.40169344344736</v>
      </c>
      <c r="J83" s="1" t="s">
        <v>16</v>
      </c>
      <c r="K83" s="1">
        <f t="shared" si="3"/>
        <v>3.7596782806632736</v>
      </c>
      <c r="L83" s="1">
        <f t="shared" si="4"/>
        <v>0.99408763589451576</v>
      </c>
      <c r="M83" s="1">
        <f t="shared" si="5"/>
        <v>264.99533586305807</v>
      </c>
    </row>
    <row r="84" spans="1:19" x14ac:dyDescent="0.3">
      <c r="A84" s="1">
        <v>82</v>
      </c>
      <c r="C84" s="1" t="s">
        <v>15</v>
      </c>
      <c r="D84" s="1">
        <v>18.3</v>
      </c>
      <c r="E84" s="1">
        <v>116</v>
      </c>
      <c r="F84" s="1">
        <v>45</v>
      </c>
      <c r="G84" s="1">
        <v>3.3928033637486239</v>
      </c>
      <c r="H84" s="1">
        <v>2.0067338113121647</v>
      </c>
      <c r="I84" s="1">
        <v>561.45120335381512</v>
      </c>
      <c r="J84" s="1" t="s">
        <v>16</v>
      </c>
      <c r="K84" s="1">
        <f t="shared" si="3"/>
        <v>3.9750153431731783</v>
      </c>
      <c r="L84" s="1">
        <f t="shared" si="4"/>
        <v>1.0076114689691147</v>
      </c>
      <c r="M84" s="1">
        <f t="shared" si="5"/>
        <v>281.56978308281271</v>
      </c>
    </row>
    <row r="85" spans="1:19" x14ac:dyDescent="0.3">
      <c r="A85" s="1">
        <v>83</v>
      </c>
      <c r="C85" s="1" t="s">
        <v>15</v>
      </c>
      <c r="D85" s="1">
        <v>18.3</v>
      </c>
      <c r="E85" s="1">
        <v>117</v>
      </c>
      <c r="F85" s="1">
        <v>0</v>
      </c>
      <c r="G85" s="1">
        <v>0.76027228059106589</v>
      </c>
      <c r="H85" s="1">
        <v>2.0134672432760508</v>
      </c>
      <c r="I85" s="1">
        <v>448.40818830897473</v>
      </c>
      <c r="J85" s="1" t="s">
        <v>16</v>
      </c>
      <c r="K85" s="1">
        <f t="shared" si="3"/>
        <v>0.8907365550945795</v>
      </c>
      <c r="L85" s="1">
        <f t="shared" si="4"/>
        <v>1.0109924272377644</v>
      </c>
      <c r="M85" s="1">
        <f t="shared" si="5"/>
        <v>224.87830742995078</v>
      </c>
      <c r="N85" s="1">
        <f>SLOPE(K85:K88,F85:F88)</f>
        <v>2.6448194276869372E-2</v>
      </c>
      <c r="O85" s="1">
        <f>SLOPE(L85:L88,F85:F88)</f>
        <v>-1.3974627510419187E-4</v>
      </c>
      <c r="P85" s="1">
        <f>SLOPE(M85:M88,F85:F88)</f>
        <v>0.64378112475672011</v>
      </c>
      <c r="Q85" s="1">
        <f>(N85*41.35/0.31*60)/1000</f>
        <v>0.21167087097068682</v>
      </c>
      <c r="R85" s="1">
        <f>O85*41.35/0.31*60/1000</f>
        <v>-1.118420995269355E-3</v>
      </c>
      <c r="S85" s="1">
        <f>(P85*41.35/0.31*60)/1000</f>
        <v>5.1523257113594285</v>
      </c>
    </row>
    <row r="86" spans="1:19" x14ac:dyDescent="0.3">
      <c r="A86" s="1">
        <v>84</v>
      </c>
      <c r="C86" s="1" t="s">
        <v>15</v>
      </c>
      <c r="D86" s="1">
        <v>18.3</v>
      </c>
      <c r="E86" s="1">
        <v>118</v>
      </c>
      <c r="F86" s="1">
        <v>15</v>
      </c>
      <c r="G86" s="1">
        <v>1.2728025225925572</v>
      </c>
      <c r="H86" s="1">
        <v>2.0053871249193875</v>
      </c>
      <c r="I86" s="1">
        <v>476.14874609563395</v>
      </c>
      <c r="J86" s="1" t="s">
        <v>16</v>
      </c>
      <c r="K86" s="1">
        <f t="shared" si="3"/>
        <v>1.4912180323191278</v>
      </c>
      <c r="L86" s="1">
        <f t="shared" si="4"/>
        <v>1.0069352773153848</v>
      </c>
      <c r="M86" s="1">
        <f t="shared" si="5"/>
        <v>238.79029620462546</v>
      </c>
    </row>
    <row r="87" spans="1:19" x14ac:dyDescent="0.3">
      <c r="A87" s="1">
        <v>85</v>
      </c>
      <c r="C87" s="1" t="s">
        <v>15</v>
      </c>
      <c r="D87" s="1">
        <v>18.3</v>
      </c>
      <c r="E87" s="1">
        <v>119</v>
      </c>
      <c r="F87" s="1">
        <v>30</v>
      </c>
      <c r="G87" s="1">
        <v>1.5263043626166073</v>
      </c>
      <c r="H87" s="1">
        <v>2.0080804977049418</v>
      </c>
      <c r="I87" s="1">
        <v>489.33446741984778</v>
      </c>
      <c r="J87" s="1" t="s">
        <v>16</v>
      </c>
      <c r="K87" s="1">
        <f t="shared" si="3"/>
        <v>1.7882213053012903</v>
      </c>
      <c r="L87" s="1">
        <f t="shared" si="4"/>
        <v>1.0082876606228446</v>
      </c>
      <c r="M87" s="1">
        <f t="shared" si="5"/>
        <v>245.40298252691235</v>
      </c>
    </row>
    <row r="88" spans="1:19" x14ac:dyDescent="0.3">
      <c r="A88" s="1">
        <v>86</v>
      </c>
      <c r="C88" s="1" t="s">
        <v>15</v>
      </c>
      <c r="D88" s="1">
        <v>18.3</v>
      </c>
      <c r="E88" s="1">
        <v>120</v>
      </c>
      <c r="F88" s="1">
        <v>45</v>
      </c>
      <c r="G88" s="1">
        <v>1.8044908640416326</v>
      </c>
      <c r="H88" s="1">
        <v>1.9986536929555014</v>
      </c>
      <c r="I88" s="1">
        <v>508.19804671477601</v>
      </c>
      <c r="J88" s="1" t="s">
        <v>16</v>
      </c>
      <c r="K88" s="1">
        <f t="shared" si="3"/>
        <v>2.1141451779439939</v>
      </c>
      <c r="L88" s="1">
        <f t="shared" si="4"/>
        <v>1.0035543190467349</v>
      </c>
      <c r="M88" s="1">
        <f t="shared" si="5"/>
        <v>254.86313489369115</v>
      </c>
    </row>
    <row r="89" spans="1:19" x14ac:dyDescent="0.3">
      <c r="A89" s="1">
        <v>87</v>
      </c>
      <c r="C89" s="1" t="s">
        <v>15</v>
      </c>
      <c r="D89" s="1">
        <v>18.3</v>
      </c>
      <c r="E89" s="1">
        <v>121</v>
      </c>
      <c r="F89" s="1">
        <v>0</v>
      </c>
      <c r="G89" s="1">
        <v>0.58715856531863564</v>
      </c>
      <c r="H89" s="1">
        <v>1.9703732787071797</v>
      </c>
      <c r="I89" s="1">
        <v>443.75184127944442</v>
      </c>
      <c r="J89" s="1" t="s">
        <v>16</v>
      </c>
      <c r="K89" s="1">
        <f t="shared" si="3"/>
        <v>0.68791617308419195</v>
      </c>
      <c r="L89" s="1">
        <f t="shared" si="4"/>
        <v>0.98935429431840616</v>
      </c>
      <c r="M89" s="1">
        <f t="shared" si="5"/>
        <v>222.54313276965726</v>
      </c>
      <c r="N89" s="1">
        <f>SLOPE(K89:K92,F89:F92)</f>
        <v>5.6583451523468968E-3</v>
      </c>
      <c r="O89" s="1">
        <f>SLOPE(L89:L92,F89:F92)</f>
        <v>-1.8031777432798491E-4</v>
      </c>
      <c r="P89" s="1">
        <f>SLOPE(M89:M92,F89:F92)</f>
        <v>0.32632232797057081</v>
      </c>
      <c r="Q89" s="1">
        <f>(N89*41.35/0.31*60)/1000</f>
        <v>4.5285013945073074E-2</v>
      </c>
      <c r="R89" s="1">
        <f>O89*41.35/0.31*60/1000</f>
        <v>-1.443123864863647E-3</v>
      </c>
      <c r="S89" s="1">
        <f>(P89*41.35/0.31*60)/1000</f>
        <v>2.6116312764354395</v>
      </c>
    </row>
    <row r="90" spans="1:19" x14ac:dyDescent="0.3">
      <c r="A90" s="1">
        <v>88</v>
      </c>
      <c r="C90" s="1" t="s">
        <v>15</v>
      </c>
      <c r="D90" s="1">
        <v>18.3</v>
      </c>
      <c r="E90" s="1">
        <v>122</v>
      </c>
      <c r="F90" s="1">
        <v>15</v>
      </c>
      <c r="G90" s="1">
        <v>0.75933821378204203</v>
      </c>
      <c r="H90" s="1">
        <v>1.9622931603505165</v>
      </c>
      <c r="I90" s="1">
        <v>471.88551133351672</v>
      </c>
      <c r="J90" s="1" t="s">
        <v>16</v>
      </c>
      <c r="K90" s="1">
        <f t="shared" si="3"/>
        <v>0.88964220051538667</v>
      </c>
      <c r="L90" s="1">
        <f t="shared" si="4"/>
        <v>0.98529714439602645</v>
      </c>
      <c r="M90" s="1">
        <f t="shared" si="5"/>
        <v>236.65226875000445</v>
      </c>
    </row>
    <row r="91" spans="1:19" x14ac:dyDescent="0.3">
      <c r="A91" s="1">
        <v>89</v>
      </c>
      <c r="C91" s="1" t="s">
        <v>15</v>
      </c>
      <c r="D91" s="1">
        <v>18.3</v>
      </c>
      <c r="E91" s="1">
        <v>123</v>
      </c>
      <c r="F91" s="1">
        <v>30</v>
      </c>
      <c r="G91" s="1">
        <v>0.75222568422582869</v>
      </c>
      <c r="H91" s="1">
        <v>1.9569064147794075</v>
      </c>
      <c r="I91" s="1">
        <v>467.94083306395822</v>
      </c>
      <c r="J91" s="1" t="s">
        <v>16</v>
      </c>
      <c r="K91" s="1">
        <f t="shared" si="3"/>
        <v>0.88130914637590851</v>
      </c>
      <c r="L91" s="1">
        <f t="shared" si="4"/>
        <v>0.98259237778110664</v>
      </c>
      <c r="M91" s="1">
        <f t="shared" si="5"/>
        <v>234.6739985137732</v>
      </c>
    </row>
    <row r="92" spans="1:19" x14ac:dyDescent="0.3">
      <c r="A92" s="1">
        <v>90</v>
      </c>
      <c r="C92" s="1" t="s">
        <v>15</v>
      </c>
      <c r="D92" s="1">
        <v>18.3</v>
      </c>
      <c r="E92" s="1">
        <v>124</v>
      </c>
      <c r="F92" s="1">
        <v>45</v>
      </c>
      <c r="G92" s="1">
        <v>0.83100838164943869</v>
      </c>
      <c r="H92" s="1">
        <v>1.9542130419938533</v>
      </c>
      <c r="I92" s="1">
        <v>477.60113132006637</v>
      </c>
      <c r="J92" s="1" t="s">
        <v>16</v>
      </c>
      <c r="K92" s="1">
        <f t="shared" si="3"/>
        <v>0.97361111541469614</v>
      </c>
      <c r="L92" s="1">
        <f t="shared" si="4"/>
        <v>0.98123999447364685</v>
      </c>
      <c r="M92" s="1">
        <f t="shared" si="5"/>
        <v>239.51867258026289</v>
      </c>
    </row>
    <row r="93" spans="1:19" x14ac:dyDescent="0.3">
      <c r="A93" s="1">
        <v>91</v>
      </c>
      <c r="C93" s="1" t="s">
        <v>15</v>
      </c>
      <c r="D93" s="1">
        <v>18.3</v>
      </c>
      <c r="E93" s="1">
        <v>125</v>
      </c>
      <c r="F93" s="1">
        <v>0</v>
      </c>
      <c r="G93" s="1">
        <v>0.61672761774179863</v>
      </c>
      <c r="H93" s="1">
        <v>1.9676799059216254</v>
      </c>
      <c r="I93" s="1">
        <v>454.72412752162319</v>
      </c>
      <c r="J93" s="1" t="s">
        <v>16</v>
      </c>
      <c r="K93" s="1">
        <f t="shared" si="3"/>
        <v>0.72255933523176219</v>
      </c>
      <c r="L93" s="1">
        <f t="shared" si="4"/>
        <v>0.98800191101094637</v>
      </c>
      <c r="M93" s="1">
        <f t="shared" si="5"/>
        <v>228.0457734954727</v>
      </c>
      <c r="N93" s="1">
        <f>SLOPE(K93:K96,F93:F96)</f>
        <v>5.0480144839096103E-3</v>
      </c>
      <c r="O93" s="1">
        <f>SLOPE(L93:L96,F93:F96)</f>
        <v>-6.311122101479624E-5</v>
      </c>
      <c r="P93" s="1">
        <f>SLOPE(M93:M96,F93:F96)</f>
        <v>0.21899525971331418</v>
      </c>
      <c r="Q93" s="1">
        <f>(N93*41.35/0.31*60)/1000</f>
        <v>4.0400399788966916E-2</v>
      </c>
      <c r="R93" s="1">
        <f>O93*41.35/0.31*60/1000</f>
        <v>-5.0509335270228857E-4</v>
      </c>
      <c r="S93" s="1">
        <f>(P93*41.35/0.31*60)/1000</f>
        <v>1.7526685140281695</v>
      </c>
    </row>
    <row r="94" spans="1:19" x14ac:dyDescent="0.3">
      <c r="A94" s="1">
        <v>92</v>
      </c>
      <c r="C94" s="1" t="s">
        <v>15</v>
      </c>
      <c r="D94" s="1">
        <v>18.3</v>
      </c>
      <c r="E94" s="1">
        <v>126</v>
      </c>
      <c r="F94" s="1">
        <v>15</v>
      </c>
      <c r="G94" s="1">
        <v>0.59384298092071297</v>
      </c>
      <c r="H94" s="1">
        <v>1.9717199650999573</v>
      </c>
      <c r="I94" s="1">
        <v>460.42135062866345</v>
      </c>
      <c r="J94" s="1" t="s">
        <v>16</v>
      </c>
      <c r="K94" s="1">
        <f t="shared" si="3"/>
        <v>0.6957476480415401</v>
      </c>
      <c r="L94" s="1">
        <f t="shared" si="4"/>
        <v>0.99003048597213616</v>
      </c>
      <c r="M94" s="1">
        <f t="shared" si="5"/>
        <v>230.90295122497307</v>
      </c>
    </row>
    <row r="95" spans="1:19" x14ac:dyDescent="0.3">
      <c r="A95" s="1">
        <v>93</v>
      </c>
      <c r="C95" s="1" t="s">
        <v>15</v>
      </c>
      <c r="D95" s="1">
        <v>18.3</v>
      </c>
      <c r="E95" s="1">
        <v>127</v>
      </c>
      <c r="F95" s="1">
        <v>30</v>
      </c>
      <c r="G95" s="1">
        <v>0.59729708214158261</v>
      </c>
      <c r="H95" s="1">
        <v>1.9932669473843925</v>
      </c>
      <c r="I95" s="1">
        <v>457.29194459841972</v>
      </c>
      <c r="J95" s="1" t="s">
        <v>16</v>
      </c>
      <c r="K95" s="1">
        <f t="shared" si="3"/>
        <v>0.69979448007917988</v>
      </c>
      <c r="L95" s="1">
        <f t="shared" si="4"/>
        <v>1.0008495524318153</v>
      </c>
      <c r="M95" s="1">
        <f t="shared" si="5"/>
        <v>229.33354292759964</v>
      </c>
    </row>
    <row r="96" spans="1:19" x14ac:dyDescent="0.3">
      <c r="A96" s="1">
        <v>94</v>
      </c>
      <c r="C96" s="1" t="s">
        <v>15</v>
      </c>
      <c r="D96" s="1">
        <v>18.3</v>
      </c>
      <c r="E96" s="1">
        <v>128</v>
      </c>
      <c r="F96" s="1">
        <v>45</v>
      </c>
      <c r="G96" s="1">
        <v>0.83100838164943869</v>
      </c>
      <c r="H96" s="1">
        <v>1.9542130419938533</v>
      </c>
      <c r="I96" s="1">
        <v>477.60113132006637</v>
      </c>
      <c r="J96" s="1" t="s">
        <v>16</v>
      </c>
      <c r="K96" s="1">
        <f t="shared" si="3"/>
        <v>0.97361111541469614</v>
      </c>
      <c r="L96" s="1">
        <f t="shared" si="4"/>
        <v>0.98123999447364685</v>
      </c>
      <c r="M96" s="1">
        <f t="shared" si="5"/>
        <v>239.51867258026289</v>
      </c>
    </row>
    <row r="97" spans="1:19" x14ac:dyDescent="0.3">
      <c r="A97" s="1">
        <v>95</v>
      </c>
      <c r="C97" s="1" t="s">
        <v>15</v>
      </c>
      <c r="D97" s="1">
        <v>18.3</v>
      </c>
      <c r="E97" s="1">
        <v>129</v>
      </c>
      <c r="F97" s="1">
        <v>0</v>
      </c>
      <c r="G97" s="1">
        <v>0.57152267613007923</v>
      </c>
      <c r="H97" s="1">
        <v>1.9798000834566203</v>
      </c>
      <c r="I97" s="1">
        <v>853.21409329233006</v>
      </c>
      <c r="J97" s="1" t="s">
        <v>129</v>
      </c>
      <c r="K97" s="1">
        <f t="shared" si="3"/>
        <v>0.66959713340958027</v>
      </c>
      <c r="L97" s="1">
        <f t="shared" si="4"/>
        <v>0.99408763589451576</v>
      </c>
      <c r="M97" s="1">
        <f t="shared" si="5"/>
        <v>427.88991409486061</v>
      </c>
      <c r="N97" s="1">
        <f>SLOPE(K97:K100,F97:F100)</f>
        <v>1.8296468611415914E-2</v>
      </c>
      <c r="O97" s="1">
        <f>SLOPE(L97:L100,F97:F100)</f>
        <v>3.6063554865597421E-5</v>
      </c>
      <c r="P97" s="1">
        <f>SLOPE(M97:M100,F97:F100)</f>
        <v>8.9078456031171172</v>
      </c>
      <c r="Q97" s="1">
        <f>(N97*41.35/0.31*60)/1000</f>
        <v>0.14643076975781577</v>
      </c>
      <c r="R97" s="1">
        <f>O97*41.35/0.31*60/1000</f>
        <v>2.8862477297273293E-4</v>
      </c>
      <c r="S97" s="1">
        <f>(P97*41.35/0.31*60)/1000</f>
        <v>71.29149981075345</v>
      </c>
    </row>
    <row r="98" spans="1:19" x14ac:dyDescent="0.3">
      <c r="A98" s="1">
        <v>96</v>
      </c>
      <c r="C98" s="1" t="s">
        <v>15</v>
      </c>
      <c r="D98" s="1">
        <v>18.3</v>
      </c>
      <c r="E98" s="1">
        <v>130</v>
      </c>
      <c r="F98" s="1">
        <v>15</v>
      </c>
      <c r="G98" s="1">
        <v>1.0323484283070601</v>
      </c>
      <c r="H98" s="1">
        <v>1.9542130419938533</v>
      </c>
      <c r="I98" s="1">
        <v>926.45788016045697</v>
      </c>
      <c r="J98" s="1" t="s">
        <v>129</v>
      </c>
      <c r="K98" s="1">
        <f t="shared" si="3"/>
        <v>1.2095015248650642</v>
      </c>
      <c r="L98" s="1">
        <f t="shared" si="4"/>
        <v>0.98123999447364685</v>
      </c>
      <c r="M98" s="1">
        <f t="shared" si="5"/>
        <v>464.6219347182556</v>
      </c>
    </row>
    <row r="99" spans="1:19" x14ac:dyDescent="0.3">
      <c r="A99" s="1">
        <v>97</v>
      </c>
      <c r="C99" s="1" t="s">
        <v>15</v>
      </c>
      <c r="D99" s="1">
        <v>18.3</v>
      </c>
      <c r="E99" s="1">
        <v>131</v>
      </c>
      <c r="F99" s="1">
        <v>30</v>
      </c>
      <c r="G99" s="1">
        <v>1.1226318233167767</v>
      </c>
      <c r="H99" s="1">
        <v>1.9973070065627239</v>
      </c>
      <c r="I99" s="1">
        <v>1437.3798909249265</v>
      </c>
      <c r="J99" s="1" t="s">
        <v>129</v>
      </c>
      <c r="K99" s="1">
        <f t="shared" si="3"/>
        <v>1.3152777346601621</v>
      </c>
      <c r="L99" s="1">
        <f t="shared" si="4"/>
        <v>1.002878127393005</v>
      </c>
      <c r="M99" s="1">
        <f t="shared" si="5"/>
        <v>720.8511473084875</v>
      </c>
    </row>
    <row r="100" spans="1:19" x14ac:dyDescent="0.3">
      <c r="A100" s="1">
        <v>98</v>
      </c>
      <c r="C100" s="1" t="s">
        <v>15</v>
      </c>
      <c r="D100" s="1">
        <v>18.3</v>
      </c>
      <c r="E100" s="1">
        <v>132</v>
      </c>
      <c r="F100" s="1">
        <v>45</v>
      </c>
      <c r="G100" s="1">
        <v>1.3222594141578543</v>
      </c>
      <c r="H100" s="1">
        <v>1.9690265923144026</v>
      </c>
      <c r="I100" s="1">
        <v>1571.0206332226674</v>
      </c>
      <c r="J100" s="1" t="s">
        <v>129</v>
      </c>
      <c r="K100" s="1">
        <f t="shared" si="3"/>
        <v>1.54916182738201</v>
      </c>
      <c r="L100" s="1">
        <f t="shared" si="4"/>
        <v>0.98867810266467626</v>
      </c>
      <c r="M100" s="1">
        <f t="shared" si="5"/>
        <v>787.87245672063921</v>
      </c>
    </row>
    <row r="101" spans="1:19" x14ac:dyDescent="0.3">
      <c r="A101" s="1">
        <v>99</v>
      </c>
      <c r="B101" s="1" t="s">
        <v>135</v>
      </c>
      <c r="C101" s="1" t="s">
        <v>15</v>
      </c>
      <c r="D101" s="1">
        <v>22</v>
      </c>
      <c r="E101" s="1">
        <v>101</v>
      </c>
      <c r="F101" s="1">
        <v>0</v>
      </c>
      <c r="G101" s="1">
        <v>0.42827162350799458</v>
      </c>
      <c r="H101" s="1">
        <v>1.8864093603154735</v>
      </c>
      <c r="I101" s="1">
        <v>497.25850234426463</v>
      </c>
      <c r="J101" s="1" t="s">
        <v>129</v>
      </c>
      <c r="K101" s="1">
        <f t="shared" si="3"/>
        <v>0.49547379621870025</v>
      </c>
      <c r="L101" s="1">
        <f t="shared" si="4"/>
        <v>0.93532070603974338</v>
      </c>
      <c r="M101" s="1">
        <f t="shared" si="5"/>
        <v>246.25072567330079</v>
      </c>
      <c r="N101" s="1">
        <f>SLOPE(K101:K104,F101:F104)</f>
        <v>1.2678645803016046E-3</v>
      </c>
      <c r="O101" s="1">
        <f>SLOPE(L101:L104,F101:F104)</f>
        <v>-5.1140394767164245E-4</v>
      </c>
      <c r="P101" s="1">
        <f>SLOPE(M101:M104,F101:F104)</f>
        <v>1.4126319571867336</v>
      </c>
      <c r="Q101" s="1">
        <f>(N101*41.35/0.31*60)/1000</f>
        <v>1.0147006528155747E-2</v>
      </c>
      <c r="R101" s="1">
        <f>O101*41.35/0.31*60/1000</f>
        <v>-4.0928812715269195E-3</v>
      </c>
      <c r="S101" s="1">
        <f>(P101*41.35/0.31*60)/1000</f>
        <v>11.305612534775118</v>
      </c>
    </row>
    <row r="102" spans="1:19" x14ac:dyDescent="0.3">
      <c r="A102" s="1">
        <v>100</v>
      </c>
      <c r="B102" s="1" t="s">
        <v>136</v>
      </c>
      <c r="C102" s="1" t="s">
        <v>15</v>
      </c>
      <c r="D102" s="1">
        <v>22</v>
      </c>
      <c r="E102" s="1">
        <v>102</v>
      </c>
      <c r="F102" s="1">
        <v>15</v>
      </c>
      <c r="G102" s="1">
        <v>0.4309652058513565</v>
      </c>
      <c r="H102" s="1">
        <v>1.8441207584594674</v>
      </c>
      <c r="I102" s="1">
        <v>528.29011451400856</v>
      </c>
      <c r="J102" s="1" t="s">
        <v>129</v>
      </c>
      <c r="K102" s="1">
        <f t="shared" si="3"/>
        <v>0.49859004160092157</v>
      </c>
      <c r="L102" s="1">
        <f t="shared" si="4"/>
        <v>0.91435314418520597</v>
      </c>
      <c r="M102" s="1">
        <f t="shared" si="5"/>
        <v>261.61809894009599</v>
      </c>
    </row>
    <row r="103" spans="1:19" x14ac:dyDescent="0.3">
      <c r="A103" s="1">
        <v>101</v>
      </c>
      <c r="C103" s="1" t="s">
        <v>15</v>
      </c>
      <c r="D103" s="1">
        <v>22</v>
      </c>
      <c r="E103" s="1">
        <v>103</v>
      </c>
      <c r="F103" s="1">
        <v>30</v>
      </c>
      <c r="G103" s="1">
        <v>0.44463441731624653</v>
      </c>
      <c r="H103" s="1">
        <v>1.8472150464001509</v>
      </c>
      <c r="I103" s="1">
        <v>655.19284415408356</v>
      </c>
      <c r="J103" s="1" t="s">
        <v>129</v>
      </c>
      <c r="K103" s="1">
        <f t="shared" si="3"/>
        <v>0.51440415517760307</v>
      </c>
      <c r="L103" s="1">
        <f t="shared" si="4"/>
        <v>0.91588735602822102</v>
      </c>
      <c r="M103" s="1">
        <f t="shared" si="5"/>
        <v>324.462452765053</v>
      </c>
    </row>
    <row r="104" spans="1:19" x14ac:dyDescent="0.3">
      <c r="A104" s="1">
        <v>102</v>
      </c>
      <c r="C104" s="1" t="s">
        <v>15</v>
      </c>
      <c r="D104" s="1">
        <v>22</v>
      </c>
      <c r="E104" s="1">
        <v>104</v>
      </c>
      <c r="F104" s="1">
        <v>45</v>
      </c>
      <c r="G104" s="1">
        <v>0.47851028920749589</v>
      </c>
      <c r="H104" s="1">
        <v>1.8338064653238562</v>
      </c>
      <c r="I104" s="1">
        <v>597.58524350439313</v>
      </c>
      <c r="J104" s="1" t="s">
        <v>129</v>
      </c>
      <c r="K104" s="1">
        <f t="shared" si="3"/>
        <v>0.55359565404155331</v>
      </c>
      <c r="L104" s="1">
        <f t="shared" si="4"/>
        <v>0.90923910470848956</v>
      </c>
      <c r="M104" s="1">
        <f t="shared" si="5"/>
        <v>295.93420559098513</v>
      </c>
    </row>
    <row r="105" spans="1:19" x14ac:dyDescent="0.3">
      <c r="A105" s="1">
        <v>103</v>
      </c>
      <c r="C105" s="1" t="s">
        <v>15</v>
      </c>
      <c r="D105" s="1">
        <v>22</v>
      </c>
      <c r="E105" s="1">
        <v>105</v>
      </c>
      <c r="F105" s="1">
        <v>0</v>
      </c>
      <c r="G105" s="1">
        <v>0.38630541888436992</v>
      </c>
      <c r="H105" s="1">
        <v>1.809052161798389</v>
      </c>
      <c r="I105" s="1">
        <v>361.84349533387007</v>
      </c>
      <c r="J105" s="1" t="s">
        <v>16</v>
      </c>
      <c r="K105" s="1">
        <f t="shared" si="3"/>
        <v>0.44692247136686841</v>
      </c>
      <c r="L105" s="1">
        <f t="shared" si="4"/>
        <v>0.89696540996436991</v>
      </c>
      <c r="M105" s="1">
        <f t="shared" si="5"/>
        <v>179.19094974959327</v>
      </c>
      <c r="N105" s="1">
        <f>SLOPE(K105:K108,F105:F108)</f>
        <v>5.929915536654206E-2</v>
      </c>
      <c r="O105" s="1">
        <f>SLOPE(L105:L108,F105:F108)</f>
        <v>-5.9322857929910695E-4</v>
      </c>
      <c r="P105" s="1">
        <f>SLOPE(M105:M108,F105:F108)</f>
        <v>11.589372179403673</v>
      </c>
      <c r="Q105" s="1">
        <f>(N105*41.35/0.31*60)/1000</f>
        <v>0.47458453053029309</v>
      </c>
      <c r="R105" s="1">
        <f>O105*41.35/0.31*60/1000</f>
        <v>-4.7477422749712403E-3</v>
      </c>
      <c r="S105" s="1">
        <f>(P105*41.35/0.31*60)/1000</f>
        <v>92.752362506775853</v>
      </c>
    </row>
    <row r="106" spans="1:19" x14ac:dyDescent="0.3">
      <c r="A106" s="1">
        <v>104</v>
      </c>
      <c r="C106" s="1" t="s">
        <v>15</v>
      </c>
      <c r="D106" s="1">
        <v>22</v>
      </c>
      <c r="E106" s="1">
        <v>106</v>
      </c>
      <c r="F106" s="1">
        <v>15</v>
      </c>
      <c r="G106" s="1">
        <v>0.51690102687712058</v>
      </c>
      <c r="H106" s="1">
        <v>2.0029608727478805</v>
      </c>
      <c r="I106" s="1">
        <v>496.72379081459144</v>
      </c>
      <c r="J106" s="1" t="s">
        <v>16</v>
      </c>
      <c r="K106" s="1">
        <f t="shared" si="3"/>
        <v>0.59801046811911995</v>
      </c>
      <c r="L106" s="1">
        <f t="shared" si="4"/>
        <v>0.99310935212663942</v>
      </c>
      <c r="M106" s="1">
        <f t="shared" si="5"/>
        <v>245.98592758219294</v>
      </c>
    </row>
    <row r="107" spans="1:19" x14ac:dyDescent="0.3">
      <c r="A107" s="1">
        <v>105</v>
      </c>
      <c r="C107" s="1" t="s">
        <v>15</v>
      </c>
      <c r="D107" s="1">
        <v>22</v>
      </c>
      <c r="E107" s="1">
        <v>107</v>
      </c>
      <c r="F107" s="1">
        <v>30</v>
      </c>
      <c r="G107" s="1">
        <v>2.2308245962476283</v>
      </c>
      <c r="H107" s="1">
        <v>1.8049264445441446</v>
      </c>
      <c r="I107" s="1">
        <v>987.56971443338989</v>
      </c>
      <c r="J107" s="1" t="s">
        <v>16</v>
      </c>
      <c r="K107" s="1">
        <f t="shared" si="3"/>
        <v>2.5808740778741521</v>
      </c>
      <c r="L107" s="1">
        <f t="shared" si="4"/>
        <v>0.89491979417368339</v>
      </c>
      <c r="M107" s="1">
        <f t="shared" si="5"/>
        <v>489.06103703749301</v>
      </c>
    </row>
    <row r="108" spans="1:19" x14ac:dyDescent="0.3">
      <c r="A108" s="1">
        <v>106</v>
      </c>
      <c r="C108" s="1" t="s">
        <v>15</v>
      </c>
      <c r="D108" s="1">
        <v>22</v>
      </c>
      <c r="E108" s="1">
        <v>108</v>
      </c>
      <c r="F108" s="1">
        <v>45</v>
      </c>
      <c r="G108" s="1">
        <v>2.3778117551554998</v>
      </c>
      <c r="H108" s="1">
        <v>1.8152407376797559</v>
      </c>
      <c r="I108" s="1">
        <v>1368.3595317003399</v>
      </c>
      <c r="J108" s="1" t="s">
        <v>16</v>
      </c>
      <c r="K108" s="1">
        <f t="shared" si="3"/>
        <v>2.7509257031089609</v>
      </c>
      <c r="L108" s="1">
        <f t="shared" si="4"/>
        <v>0.90003383365039991</v>
      </c>
      <c r="M108" s="1">
        <f t="shared" si="5"/>
        <v>677.63452223467687</v>
      </c>
    </row>
    <row r="109" spans="1:19" x14ac:dyDescent="0.3">
      <c r="A109" s="1">
        <v>107</v>
      </c>
      <c r="C109" s="1" t="s">
        <v>15</v>
      </c>
      <c r="D109" s="1">
        <v>22</v>
      </c>
      <c r="E109" s="1">
        <v>109</v>
      </c>
      <c r="F109" s="1">
        <v>0</v>
      </c>
      <c r="G109" s="1">
        <v>0.55409355176055219</v>
      </c>
      <c r="H109" s="1">
        <v>1.8286493187560504</v>
      </c>
      <c r="I109" s="1">
        <v>500.55023421389899</v>
      </c>
      <c r="J109" s="1" t="s">
        <v>16</v>
      </c>
      <c r="K109" s="1">
        <f t="shared" si="3"/>
        <v>0.64103905204445288</v>
      </c>
      <c r="L109" s="1">
        <f t="shared" si="4"/>
        <v>0.90668208497013125</v>
      </c>
      <c r="M109" s="1">
        <f t="shared" si="5"/>
        <v>247.88084634051506</v>
      </c>
      <c r="N109" s="1">
        <f>SLOPE(K109:K112,F109:F112)</f>
        <v>6.0452720650024841E-2</v>
      </c>
      <c r="O109" s="1">
        <f>SLOPE(L109:L112,F109:F112)</f>
        <v>-7.0573744778687031E-4</v>
      </c>
      <c r="P109" s="1">
        <f>SLOPE(M109:M112,F109:F112)</f>
        <v>10.730584581832121</v>
      </c>
      <c r="Q109" s="1">
        <f>(N109*41.35/0.31*60)/1000</f>
        <v>0.48381677397648909</v>
      </c>
      <c r="R109" s="1">
        <f>O109*41.35/0.31*60/1000</f>
        <v>-5.648176154707178E-3</v>
      </c>
      <c r="S109" s="1">
        <f>(P109*41.35/0.31*60)/1000</f>
        <v>85.879291443630621</v>
      </c>
    </row>
    <row r="110" spans="1:19" x14ac:dyDescent="0.3">
      <c r="A110" s="1">
        <v>108</v>
      </c>
      <c r="C110" s="1" t="s">
        <v>15</v>
      </c>
      <c r="D110" s="1">
        <v>22</v>
      </c>
      <c r="E110" s="1">
        <v>110</v>
      </c>
      <c r="F110" s="1">
        <v>15</v>
      </c>
      <c r="G110" s="1">
        <v>1.3488632999912433</v>
      </c>
      <c r="H110" s="1">
        <v>2.1349838248837041</v>
      </c>
      <c r="I110" s="1">
        <v>863.4240051332763</v>
      </c>
      <c r="J110" s="1" t="s">
        <v>16</v>
      </c>
      <c r="K110" s="1">
        <f t="shared" si="3"/>
        <v>1.5605199671004333</v>
      </c>
      <c r="L110" s="1">
        <f t="shared" si="4"/>
        <v>1.0585690574286102</v>
      </c>
      <c r="M110" s="1">
        <f t="shared" si="5"/>
        <v>427.58200578864256</v>
      </c>
    </row>
    <row r="111" spans="1:19" x14ac:dyDescent="0.3">
      <c r="A111" s="1">
        <v>109</v>
      </c>
      <c r="C111" s="1" t="s">
        <v>15</v>
      </c>
      <c r="D111" s="1">
        <v>22</v>
      </c>
      <c r="E111" s="1">
        <v>111</v>
      </c>
      <c r="F111" s="1">
        <v>30</v>
      </c>
      <c r="G111" s="1">
        <v>2.209621022783157</v>
      </c>
      <c r="H111" s="1">
        <v>1.8441207584594674</v>
      </c>
      <c r="I111" s="1">
        <v>1193.8298718495164</v>
      </c>
      <c r="J111" s="1" t="s">
        <v>16</v>
      </c>
      <c r="K111" s="1">
        <f t="shared" si="3"/>
        <v>2.5563433491002261</v>
      </c>
      <c r="L111" s="1">
        <f t="shared" si="4"/>
        <v>0.91435314418520597</v>
      </c>
      <c r="M111" s="1">
        <f t="shared" si="5"/>
        <v>591.2045161369133</v>
      </c>
    </row>
    <row r="112" spans="1:19" x14ac:dyDescent="0.3">
      <c r="A112" s="1">
        <v>110</v>
      </c>
      <c r="C112" s="1" t="s">
        <v>15</v>
      </c>
      <c r="D112" s="1">
        <v>22</v>
      </c>
      <c r="E112" s="1">
        <v>112</v>
      </c>
      <c r="F112" s="1">
        <v>45</v>
      </c>
      <c r="G112" s="1">
        <v>2.8798437411658</v>
      </c>
      <c r="H112" s="1">
        <v>1.8544350515950787</v>
      </c>
      <c r="I112" s="1">
        <v>1473.8380304285201</v>
      </c>
      <c r="J112" s="1" t="s">
        <v>16</v>
      </c>
      <c r="K112" s="1">
        <f t="shared" si="3"/>
        <v>3.3317339572124305</v>
      </c>
      <c r="L112" s="1">
        <f t="shared" si="4"/>
        <v>0.91946718366192248</v>
      </c>
      <c r="M112" s="1">
        <f t="shared" si="5"/>
        <v>729.86923864936409</v>
      </c>
    </row>
    <row r="113" spans="1:19" x14ac:dyDescent="0.3">
      <c r="A113" s="1">
        <v>111</v>
      </c>
      <c r="C113" s="1" t="s">
        <v>15</v>
      </c>
      <c r="D113" s="1">
        <v>22</v>
      </c>
      <c r="E113" s="1">
        <v>113</v>
      </c>
      <c r="F113" s="1">
        <v>0</v>
      </c>
      <c r="G113" s="1">
        <v>0.60092929314726518</v>
      </c>
      <c r="H113" s="1">
        <v>1.8905350775697178</v>
      </c>
      <c r="I113" s="1">
        <v>479.89734531993747</v>
      </c>
      <c r="J113" s="1" t="s">
        <v>16</v>
      </c>
      <c r="K113" s="1">
        <f t="shared" si="3"/>
        <v>0.69522401623496222</v>
      </c>
      <c r="L113" s="1">
        <f t="shared" si="4"/>
        <v>0.93736632183043</v>
      </c>
      <c r="M113" s="1">
        <f t="shared" si="5"/>
        <v>237.6531903961486</v>
      </c>
      <c r="N113" s="1">
        <f>SLOPE(K113:K116,F113:F116)</f>
        <v>3.3565622414125022E-2</v>
      </c>
      <c r="O113" s="1">
        <f>SLOPE(L113:L116,F113:F116)</f>
        <v>-5.9322857929910695E-4</v>
      </c>
      <c r="P113" s="1">
        <f>SLOPE(M113:M116,F113:F116)</f>
        <v>7.1640858599727117</v>
      </c>
      <c r="Q113" s="1">
        <f>(N113*41.35/0.31*60)/1000</f>
        <v>0.26863325551433603</v>
      </c>
      <c r="R113" s="1">
        <f>O113*41.35/0.31*60/1000</f>
        <v>-4.7477422749712403E-3</v>
      </c>
      <c r="S113" s="1">
        <f>(P113*41.35/0.31*60)/1000</f>
        <v>57.335796834168711</v>
      </c>
    </row>
    <row r="114" spans="1:19" x14ac:dyDescent="0.3">
      <c r="A114" s="1">
        <v>112</v>
      </c>
      <c r="C114" s="1" t="s">
        <v>15</v>
      </c>
      <c r="D114" s="1">
        <v>22</v>
      </c>
      <c r="E114" s="1">
        <v>114</v>
      </c>
      <c r="F114" s="1">
        <v>15</v>
      </c>
      <c r="G114" s="1">
        <v>1.265141776194364</v>
      </c>
      <c r="H114" s="1">
        <v>1.849277905027273</v>
      </c>
      <c r="I114" s="1">
        <v>781.74246240663842</v>
      </c>
      <c r="J114" s="1" t="s">
        <v>16</v>
      </c>
      <c r="K114" s="1">
        <f t="shared" si="3"/>
        <v>1.4636612939035627</v>
      </c>
      <c r="L114" s="1">
        <f t="shared" si="4"/>
        <v>0.91691016392356417</v>
      </c>
      <c r="M114" s="1">
        <f t="shared" si="5"/>
        <v>387.1319399260708</v>
      </c>
    </row>
    <row r="115" spans="1:19" x14ac:dyDescent="0.3">
      <c r="A115" s="1">
        <v>113</v>
      </c>
      <c r="C115" s="1" t="s">
        <v>15</v>
      </c>
      <c r="D115" s="1">
        <v>22</v>
      </c>
      <c r="E115" s="1">
        <v>115</v>
      </c>
      <c r="F115" s="1">
        <v>30</v>
      </c>
      <c r="G115" s="1">
        <v>1.5120502957684441</v>
      </c>
      <c r="H115" s="1">
        <v>1.8461836170865895</v>
      </c>
      <c r="I115" s="1">
        <v>979.54995866072795</v>
      </c>
      <c r="J115" s="1" t="s">
        <v>16</v>
      </c>
      <c r="K115" s="1">
        <f t="shared" si="3"/>
        <v>1.74931342399344</v>
      </c>
      <c r="L115" s="1">
        <f t="shared" si="4"/>
        <v>0.91537595208054923</v>
      </c>
      <c r="M115" s="1">
        <f t="shared" si="5"/>
        <v>485.0895198700029</v>
      </c>
    </row>
    <row r="116" spans="1:19" x14ac:dyDescent="0.3">
      <c r="A116" s="1">
        <v>114</v>
      </c>
      <c r="C116" s="1" t="s">
        <v>15</v>
      </c>
      <c r="D116" s="1">
        <v>22</v>
      </c>
      <c r="E116" s="1">
        <v>116</v>
      </c>
      <c r="F116" s="1">
        <v>45</v>
      </c>
      <c r="G116" s="1">
        <v>1.969278709277414</v>
      </c>
      <c r="H116" s="1">
        <v>1.8317436066967341</v>
      </c>
      <c r="I116" s="1">
        <v>1137.289859914302</v>
      </c>
      <c r="J116" s="1" t="s">
        <v>16</v>
      </c>
      <c r="K116" s="1">
        <f t="shared" si="3"/>
        <v>2.2782877602445879</v>
      </c>
      <c r="L116" s="1">
        <f t="shared" si="4"/>
        <v>0.90821629681314631</v>
      </c>
      <c r="M116" s="1">
        <f t="shared" si="5"/>
        <v>563.20495674680683</v>
      </c>
    </row>
    <row r="117" spans="1:19" x14ac:dyDescent="0.3">
      <c r="A117" s="1">
        <v>115</v>
      </c>
      <c r="C117" s="1" t="s">
        <v>15</v>
      </c>
      <c r="D117" s="1">
        <v>22</v>
      </c>
      <c r="E117" s="1">
        <v>117</v>
      </c>
      <c r="F117" s="1">
        <v>0</v>
      </c>
      <c r="G117" s="1">
        <v>0.42358421508840749</v>
      </c>
      <c r="H117" s="1">
        <v>1.8286493187560504</v>
      </c>
      <c r="I117" s="1">
        <v>461.21545998904202</v>
      </c>
      <c r="J117" s="1" t="s">
        <v>16</v>
      </c>
      <c r="K117" s="1">
        <f t="shared" si="3"/>
        <v>0.49005086386316221</v>
      </c>
      <c r="L117" s="1">
        <f t="shared" si="4"/>
        <v>0.90668208497013125</v>
      </c>
      <c r="M117" s="1">
        <f t="shared" si="5"/>
        <v>228.40160837595135</v>
      </c>
      <c r="N117" s="1">
        <f>SLOPE(K117:K120,F117:F120)</f>
        <v>3.8046287927518152E-3</v>
      </c>
      <c r="O117" s="1">
        <f>SLOPE(L117:L120,F117:F120)</f>
        <v>1.3296502639462819E-3</v>
      </c>
      <c r="P117" s="1">
        <f>SLOPE(M117:M120,F117:F120)</f>
        <v>6.0155646392147561</v>
      </c>
      <c r="Q117" s="1">
        <f>(N117*41.35/0.31*60)/1000</f>
        <v>3.0449303338120175E-2</v>
      </c>
      <c r="R117" s="1">
        <f>O117*41.35/0.31*60/1000</f>
        <v>1.0641491305970084E-2</v>
      </c>
      <c r="S117" s="1">
        <f>(P117*41.35/0.31*60)/1000</f>
        <v>48.143922160941322</v>
      </c>
    </row>
    <row r="118" spans="1:19" x14ac:dyDescent="0.3">
      <c r="A118" s="1">
        <v>116</v>
      </c>
      <c r="C118" s="1" t="s">
        <v>15</v>
      </c>
      <c r="D118" s="1">
        <v>22</v>
      </c>
      <c r="E118" s="1">
        <v>118</v>
      </c>
      <c r="F118" s="1">
        <v>15</v>
      </c>
      <c r="G118" s="1">
        <v>0.48006317297840206</v>
      </c>
      <c r="H118" s="1">
        <v>1.8265864601289283</v>
      </c>
      <c r="I118" s="1">
        <v>645.40753144382177</v>
      </c>
      <c r="J118" s="1" t="s">
        <v>16</v>
      </c>
      <c r="K118" s="1">
        <f t="shared" si="3"/>
        <v>0.55539220831884817</v>
      </c>
      <c r="L118" s="1">
        <f t="shared" si="4"/>
        <v>0.90565927707478799</v>
      </c>
      <c r="M118" s="1">
        <f t="shared" si="5"/>
        <v>319.61660227786734</v>
      </c>
    </row>
    <row r="119" spans="1:19" x14ac:dyDescent="0.3">
      <c r="A119" s="1">
        <v>117</v>
      </c>
      <c r="C119" s="1" t="s">
        <v>15</v>
      </c>
      <c r="D119" s="1">
        <v>22</v>
      </c>
      <c r="E119" s="1">
        <v>119</v>
      </c>
      <c r="F119" s="1">
        <v>30</v>
      </c>
      <c r="G119" s="1">
        <v>0.55991207305030544</v>
      </c>
      <c r="H119" s="1">
        <v>1.8296807480696116</v>
      </c>
      <c r="I119" s="1">
        <v>985.43637134930805</v>
      </c>
      <c r="J119" s="1" t="s">
        <v>16</v>
      </c>
      <c r="K119" s="1">
        <f t="shared" si="3"/>
        <v>0.64777058566369949</v>
      </c>
      <c r="L119" s="1">
        <f t="shared" si="4"/>
        <v>0.90719348891780294</v>
      </c>
      <c r="M119" s="1">
        <f t="shared" si="5"/>
        <v>488.00456986782444</v>
      </c>
    </row>
    <row r="120" spans="1:19" x14ac:dyDescent="0.3">
      <c r="A120" s="1">
        <v>118</v>
      </c>
      <c r="C120" s="1" t="s">
        <v>15</v>
      </c>
      <c r="D120" s="1">
        <v>22</v>
      </c>
      <c r="E120" s="1">
        <v>120</v>
      </c>
      <c r="F120" s="1">
        <v>45</v>
      </c>
      <c r="G120" s="1">
        <v>0.56139785690518484</v>
      </c>
      <c r="H120" s="1">
        <v>1.9617037002054354</v>
      </c>
      <c r="I120" s="1">
        <v>955.23938609552033</v>
      </c>
      <c r="J120" s="1" t="s">
        <v>16</v>
      </c>
      <c r="K120" s="1">
        <f t="shared" si="3"/>
        <v>0.64948951105246922</v>
      </c>
      <c r="L120" s="1">
        <f t="shared" si="4"/>
        <v>0.9726531942197737</v>
      </c>
      <c r="M120" s="1">
        <f t="shared" si="5"/>
        <v>473.05051780670345</v>
      </c>
    </row>
    <row r="121" spans="1:19" x14ac:dyDescent="0.3">
      <c r="A121" s="1">
        <v>119</v>
      </c>
      <c r="C121" s="1" t="s">
        <v>15</v>
      </c>
      <c r="D121" s="1">
        <v>22</v>
      </c>
      <c r="E121" s="1">
        <v>121</v>
      </c>
      <c r="F121" s="1">
        <v>0</v>
      </c>
      <c r="G121" s="1">
        <v>0.41785196511925998</v>
      </c>
      <c r="H121" s="1">
        <v>1.8616550567900063</v>
      </c>
      <c r="I121" s="1">
        <v>446.52419192334003</v>
      </c>
      <c r="J121" s="1" t="s">
        <v>16</v>
      </c>
      <c r="K121" s="1">
        <f t="shared" si="3"/>
        <v>0.4834191388148763</v>
      </c>
      <c r="L121" s="1">
        <f t="shared" si="4"/>
        <v>0.92304701129562394</v>
      </c>
      <c r="M121" s="1">
        <f t="shared" si="5"/>
        <v>221.12624675782976</v>
      </c>
      <c r="N121" s="1">
        <f>SLOPE(K121:K124,F121:F124)</f>
        <v>2.158009168722583E-3</v>
      </c>
      <c r="O121" s="1">
        <f>SLOPE(L121:L124,F121:F124)</f>
        <v>-2.7274877209152078E-5</v>
      </c>
      <c r="P121" s="1">
        <f>SLOPE(M121:M124,F121:F124)</f>
        <v>5.1460397742782096</v>
      </c>
      <c r="Q121" s="1">
        <f>(N121*41.35/0.31*60)/1000</f>
        <v>1.7271034669679771E-2</v>
      </c>
      <c r="R121" s="1">
        <f>O121*41.35/0.31*60/1000</f>
        <v>-2.1828700114808486E-4</v>
      </c>
      <c r="S121" s="1">
        <f>(P121*41.35/0.31*60)/1000</f>
        <v>41.184918322529803</v>
      </c>
    </row>
    <row r="122" spans="1:19" x14ac:dyDescent="0.3">
      <c r="A122" s="1">
        <v>120</v>
      </c>
      <c r="C122" s="1" t="s">
        <v>15</v>
      </c>
      <c r="D122" s="1">
        <v>22</v>
      </c>
      <c r="E122" s="1">
        <v>122</v>
      </c>
      <c r="F122" s="1">
        <v>15</v>
      </c>
      <c r="G122" s="1">
        <v>0.46380582189533498</v>
      </c>
      <c r="H122" s="1">
        <v>1.8647493447306898</v>
      </c>
      <c r="I122" s="1">
        <v>635.01321623664228</v>
      </c>
      <c r="J122" s="1" t="s">
        <v>16</v>
      </c>
      <c r="K122" s="1">
        <f t="shared" si="3"/>
        <v>0.53658383761334172</v>
      </c>
      <c r="L122" s="1">
        <f t="shared" si="4"/>
        <v>0.92458122313863889</v>
      </c>
      <c r="M122" s="1">
        <f t="shared" si="5"/>
        <v>314.46916357027766</v>
      </c>
    </row>
    <row r="123" spans="1:19" x14ac:dyDescent="0.3">
      <c r="A123" s="1">
        <v>121</v>
      </c>
      <c r="C123" s="1" t="s">
        <v>15</v>
      </c>
      <c r="D123" s="1">
        <v>22</v>
      </c>
      <c r="E123" s="1">
        <v>123</v>
      </c>
      <c r="F123" s="1">
        <v>30</v>
      </c>
      <c r="G123" s="1">
        <v>0.4907128882220857</v>
      </c>
      <c r="H123" s="1">
        <v>1.8657807740442509</v>
      </c>
      <c r="I123" s="1">
        <v>867.62924074828709</v>
      </c>
      <c r="J123" s="1" t="s">
        <v>16</v>
      </c>
      <c r="K123" s="1">
        <f t="shared" si="3"/>
        <v>0.56771302191190098</v>
      </c>
      <c r="L123" s="1">
        <f t="shared" si="4"/>
        <v>0.92509262708631057</v>
      </c>
      <c r="M123" s="1">
        <f t="shared" si="5"/>
        <v>429.66450878646299</v>
      </c>
    </row>
    <row r="124" spans="1:19" x14ac:dyDescent="0.3">
      <c r="A124" s="1">
        <v>122</v>
      </c>
      <c r="C124" s="1" t="s">
        <v>15</v>
      </c>
      <c r="D124" s="1">
        <v>22</v>
      </c>
      <c r="E124" s="1">
        <v>124</v>
      </c>
      <c r="F124" s="1">
        <v>45</v>
      </c>
      <c r="G124" s="1">
        <v>0.50214863105351193</v>
      </c>
      <c r="H124" s="1">
        <v>1.8585607688493231</v>
      </c>
      <c r="I124" s="1">
        <v>888.56003289008902</v>
      </c>
      <c r="J124" s="1" t="s">
        <v>16</v>
      </c>
      <c r="K124" s="1">
        <f t="shared" si="3"/>
        <v>0.58094320248481901</v>
      </c>
      <c r="L124" s="1">
        <f t="shared" si="4"/>
        <v>0.92151279945260911</v>
      </c>
      <c r="M124" s="1">
        <f t="shared" si="5"/>
        <v>440.02978706634508</v>
      </c>
    </row>
    <row r="125" spans="1:19" x14ac:dyDescent="0.3">
      <c r="A125" s="1">
        <v>123</v>
      </c>
      <c r="C125" s="1" t="s">
        <v>15</v>
      </c>
      <c r="D125" s="1">
        <v>22</v>
      </c>
      <c r="E125" s="1">
        <v>125</v>
      </c>
      <c r="F125" s="1">
        <v>0</v>
      </c>
      <c r="G125" s="1">
        <v>0.43442564437788195</v>
      </c>
      <c r="H125" s="1">
        <v>1.8564979102222008</v>
      </c>
      <c r="I125" s="1">
        <v>430.12973464562606</v>
      </c>
      <c r="J125" s="1" t="s">
        <v>16</v>
      </c>
      <c r="K125" s="1">
        <f t="shared" si="3"/>
        <v>0.50259347428057233</v>
      </c>
      <c r="L125" s="1">
        <f t="shared" si="4"/>
        <v>0.92048999155726574</v>
      </c>
      <c r="M125" s="1">
        <f t="shared" si="5"/>
        <v>213.00743736065633</v>
      </c>
      <c r="N125" s="1">
        <f>SLOPE(K125:K128,F125:F128)</f>
        <v>7.2994074218763671E-3</v>
      </c>
      <c r="O125" s="1">
        <f>SLOPE(L125:L128,F125:F128)</f>
        <v>-3.9548571953274068E-4</v>
      </c>
      <c r="P125" s="1">
        <f>SLOPE(M125:M128,F125:F128)</f>
        <v>4.7393983237666921</v>
      </c>
      <c r="Q125" s="1">
        <f>(N125*41.35/0.31*60)/1000</f>
        <v>5.8418805850565379E-2</v>
      </c>
      <c r="R125" s="1">
        <f>O125*41.35/0.31*60/1000</f>
        <v>-3.1651615166475148E-3</v>
      </c>
      <c r="S125" s="1">
        <f>(P125*41.35/0.31*60)/1000</f>
        <v>37.930474971823109</v>
      </c>
    </row>
    <row r="126" spans="1:19" x14ac:dyDescent="0.3">
      <c r="A126" s="1">
        <v>124</v>
      </c>
      <c r="C126" s="1" t="s">
        <v>15</v>
      </c>
      <c r="D126" s="1">
        <v>22</v>
      </c>
      <c r="E126" s="1">
        <v>126</v>
      </c>
      <c r="F126" s="1">
        <v>15</v>
      </c>
      <c r="G126" s="1">
        <v>0.55961491627932958</v>
      </c>
      <c r="H126" s="1">
        <v>1.849277905027273</v>
      </c>
      <c r="I126" s="1">
        <v>580.48364627920409</v>
      </c>
      <c r="J126" s="1" t="s">
        <v>16</v>
      </c>
      <c r="K126" s="1">
        <f t="shared" si="3"/>
        <v>0.64742680058594559</v>
      </c>
      <c r="L126" s="1">
        <f t="shared" si="4"/>
        <v>0.91691016392356417</v>
      </c>
      <c r="M126" s="1">
        <f t="shared" si="5"/>
        <v>287.4652086668064</v>
      </c>
    </row>
    <row r="127" spans="1:19" x14ac:dyDescent="0.3">
      <c r="A127" s="1">
        <v>125</v>
      </c>
      <c r="C127" s="1" t="s">
        <v>15</v>
      </c>
      <c r="D127" s="1">
        <v>22</v>
      </c>
      <c r="E127" s="1">
        <v>127</v>
      </c>
      <c r="F127" s="1">
        <v>30</v>
      </c>
      <c r="G127" s="1">
        <v>0.64831141956448235</v>
      </c>
      <c r="H127" s="1">
        <v>1.841026470518784</v>
      </c>
      <c r="I127" s="1">
        <v>801.45341520973489</v>
      </c>
      <c r="J127" s="1" t="s">
        <v>16</v>
      </c>
      <c r="K127" s="1">
        <f t="shared" si="3"/>
        <v>0.75004110137489033</v>
      </c>
      <c r="L127" s="1">
        <f t="shared" si="4"/>
        <v>0.91281893234219103</v>
      </c>
      <c r="M127" s="1">
        <f t="shared" si="5"/>
        <v>396.89313336689054</v>
      </c>
    </row>
    <row r="128" spans="1:19" x14ac:dyDescent="0.3">
      <c r="A128" s="1">
        <v>126</v>
      </c>
      <c r="C128" s="1" t="s">
        <v>15</v>
      </c>
      <c r="D128" s="1">
        <v>22</v>
      </c>
      <c r="E128" s="1">
        <v>128</v>
      </c>
      <c r="F128" s="1">
        <v>45</v>
      </c>
      <c r="G128" s="1">
        <v>0.72032880086582818</v>
      </c>
      <c r="H128" s="1">
        <v>1.8193664549340003</v>
      </c>
      <c r="I128" s="1">
        <v>834.99074247221824</v>
      </c>
      <c r="J128" s="1" t="s">
        <v>16</v>
      </c>
      <c r="K128" s="1">
        <f t="shared" si="3"/>
        <v>0.83335907844474244</v>
      </c>
      <c r="L128" s="1">
        <f t="shared" si="4"/>
        <v>0.90207944944108642</v>
      </c>
      <c r="M128" s="1">
        <f t="shared" si="5"/>
        <v>413.50137864896288</v>
      </c>
    </row>
    <row r="129" spans="1:19" x14ac:dyDescent="0.3">
      <c r="A129" s="1">
        <v>127</v>
      </c>
      <c r="C129" s="1" t="s">
        <v>15</v>
      </c>
      <c r="D129" s="1">
        <v>22</v>
      </c>
      <c r="E129" s="1">
        <v>129</v>
      </c>
      <c r="F129" s="1">
        <v>0</v>
      </c>
      <c r="G129" s="1">
        <v>0.4220409170197908</v>
      </c>
      <c r="H129" s="1">
        <v>1.8472150464001509</v>
      </c>
      <c r="I129" s="1">
        <v>501.73338665519975</v>
      </c>
      <c r="J129" s="1" t="s">
        <v>129</v>
      </c>
      <c r="K129" s="1">
        <f t="shared" si="3"/>
        <v>0.48826539942708519</v>
      </c>
      <c r="L129" s="1">
        <f t="shared" si="4"/>
        <v>0.91588735602822102</v>
      </c>
      <c r="M129" s="1">
        <f t="shared" si="5"/>
        <v>248.46676321449286</v>
      </c>
      <c r="N129" s="1">
        <f>SLOPE(K129:K132,F129:F132)</f>
        <v>6.8786588460704025E-4</v>
      </c>
      <c r="O129" s="1">
        <f>SLOPE(L129:L132,F129:F132)</f>
        <v>4.5583138535799372E-3</v>
      </c>
      <c r="P129" s="1">
        <f>SLOPE(M129:M132,F129:F132)</f>
        <v>8.972709812137218</v>
      </c>
      <c r="Q129" s="1">
        <f>(N129*41.35/0.31*60)/1000</f>
        <v>5.5051459990647323E-3</v>
      </c>
      <c r="R129" s="1">
        <f>O129*41.35/0.31*60/1000</f>
        <v>3.6481215066876856E-2</v>
      </c>
      <c r="S129" s="1">
        <f>(P129*41.35/0.31*60)/1000</f>
        <v>71.810622722298177</v>
      </c>
    </row>
    <row r="130" spans="1:19" x14ac:dyDescent="0.3">
      <c r="A130" s="1">
        <v>128</v>
      </c>
      <c r="C130" s="1" t="s">
        <v>15</v>
      </c>
      <c r="D130" s="1">
        <v>22</v>
      </c>
      <c r="E130" s="1">
        <v>130</v>
      </c>
      <c r="F130" s="1">
        <v>15</v>
      </c>
      <c r="G130" s="1">
        <v>0.42370882921817155</v>
      </c>
      <c r="H130" s="1">
        <v>1.8606236274764454</v>
      </c>
      <c r="I130" s="1">
        <v>648.54517834435649</v>
      </c>
      <c r="J130" s="1" t="s">
        <v>129</v>
      </c>
      <c r="K130" s="1">
        <f t="shared" si="3"/>
        <v>0.49019503179899454</v>
      </c>
      <c r="L130" s="1">
        <f t="shared" si="4"/>
        <v>0.92253560734795237</v>
      </c>
      <c r="M130" s="1">
        <f t="shared" si="5"/>
        <v>321.17041749172637</v>
      </c>
    </row>
    <row r="131" spans="1:19" x14ac:dyDescent="0.3">
      <c r="A131" s="1">
        <v>129</v>
      </c>
      <c r="C131" s="1" t="s">
        <v>15</v>
      </c>
      <c r="D131" s="1">
        <v>22</v>
      </c>
      <c r="E131" s="1">
        <v>131</v>
      </c>
      <c r="F131" s="1">
        <v>30</v>
      </c>
      <c r="G131" s="1">
        <v>0.43645781326326538</v>
      </c>
      <c r="H131" s="1">
        <v>1.841026470518784</v>
      </c>
      <c r="I131" s="1">
        <v>1167.1419883324859</v>
      </c>
      <c r="J131" s="1" t="s">
        <v>129</v>
      </c>
      <c r="K131" s="1">
        <f t="shared" ref="K131:K194" si="6">(G131*28*1)/(0.082*(D131+273.15))</f>
        <v>0.50494452061876072</v>
      </c>
      <c r="L131" s="1">
        <f t="shared" ref="L131:L194" si="7">(H131*12*1)/(0.082*(D131+273.15))</f>
        <v>0.91281893234219103</v>
      </c>
      <c r="M131" s="1">
        <f t="shared" ref="M131:M194" si="8">(I131*12*1)/(0.0821*(D131+273.15))</f>
        <v>577.98822993613271</v>
      </c>
    </row>
    <row r="132" spans="1:19" x14ac:dyDescent="0.3">
      <c r="A132" s="1">
        <v>130</v>
      </c>
      <c r="C132" s="1" t="s">
        <v>15</v>
      </c>
      <c r="D132" s="1">
        <v>22</v>
      </c>
      <c r="E132" s="1">
        <v>132</v>
      </c>
      <c r="F132" s="1">
        <v>45</v>
      </c>
      <c r="G132" s="1">
        <v>0.44751971370539939</v>
      </c>
      <c r="H132" s="1">
        <v>2.3134210961297783</v>
      </c>
      <c r="I132" s="1">
        <v>1234.8054675607975</v>
      </c>
      <c r="J132" s="1" t="s">
        <v>129</v>
      </c>
      <c r="K132" s="1">
        <f t="shared" si="6"/>
        <v>0.51774219738418181</v>
      </c>
      <c r="L132" s="1">
        <f t="shared" si="7"/>
        <v>1.147041940375805</v>
      </c>
      <c r="M132" s="1">
        <f t="shared" si="8"/>
        <v>611.49631633988497</v>
      </c>
    </row>
    <row r="133" spans="1:19" x14ac:dyDescent="0.3">
      <c r="A133" s="1">
        <v>131</v>
      </c>
      <c r="C133" s="1" t="s">
        <v>15</v>
      </c>
      <c r="D133" s="1">
        <v>22</v>
      </c>
      <c r="E133" t="s">
        <v>114</v>
      </c>
      <c r="G133" s="1">
        <v>0.40569729461611792</v>
      </c>
      <c r="H133" s="1">
        <v>1.8441207584594674</v>
      </c>
      <c r="I133" s="1">
        <v>398.25615818044474</v>
      </c>
      <c r="K133" s="1">
        <f t="shared" si="6"/>
        <v>0.46935722015061798</v>
      </c>
      <c r="L133" s="1">
        <f t="shared" si="7"/>
        <v>0.91435314418520597</v>
      </c>
      <c r="M133" s="1">
        <f t="shared" si="8"/>
        <v>197.22310929516985</v>
      </c>
    </row>
    <row r="134" spans="1:19" x14ac:dyDescent="0.3">
      <c r="A134" s="1">
        <v>132</v>
      </c>
      <c r="C134" s="1" t="s">
        <v>15</v>
      </c>
      <c r="D134" s="1">
        <v>22</v>
      </c>
      <c r="E134" t="s">
        <v>115</v>
      </c>
      <c r="G134" s="1">
        <v>0.40446073902076674</v>
      </c>
      <c r="H134" s="1">
        <v>1.8595921981628842</v>
      </c>
      <c r="I134" s="1">
        <v>399.00732240480545</v>
      </c>
      <c r="K134" s="1">
        <f t="shared" si="6"/>
        <v>0.46792663063351292</v>
      </c>
      <c r="L134" s="1">
        <f t="shared" si="7"/>
        <v>0.92202420340028068</v>
      </c>
      <c r="M134" s="1">
        <f t="shared" si="8"/>
        <v>197.59509838027671</v>
      </c>
    </row>
    <row r="135" spans="1:19" x14ac:dyDescent="0.3">
      <c r="A135" s="1">
        <v>133</v>
      </c>
      <c r="C135" s="1" t="s">
        <v>15</v>
      </c>
      <c r="D135" s="1">
        <v>22</v>
      </c>
      <c r="K135" s="1">
        <f t="shared" si="6"/>
        <v>0</v>
      </c>
      <c r="L135" s="1">
        <f t="shared" si="7"/>
        <v>0</v>
      </c>
      <c r="M135" s="1">
        <f t="shared" si="8"/>
        <v>0</v>
      </c>
    </row>
    <row r="136" spans="1:19" x14ac:dyDescent="0.3">
      <c r="A136" s="1">
        <v>134</v>
      </c>
      <c r="C136" s="1" t="s">
        <v>15</v>
      </c>
      <c r="D136" s="1">
        <v>22</v>
      </c>
      <c r="K136" s="1">
        <f t="shared" si="6"/>
        <v>0</v>
      </c>
      <c r="L136" s="1">
        <f t="shared" si="7"/>
        <v>0</v>
      </c>
      <c r="M136" s="1">
        <f t="shared" si="8"/>
        <v>0</v>
      </c>
    </row>
    <row r="137" spans="1:19" x14ac:dyDescent="0.3">
      <c r="A137" s="1">
        <v>135</v>
      </c>
      <c r="B137" s="1" t="s">
        <v>26</v>
      </c>
      <c r="C137" s="1" t="s">
        <v>15</v>
      </c>
      <c r="D137" s="1">
        <v>17.3</v>
      </c>
      <c r="E137" s="1">
        <v>601</v>
      </c>
      <c r="F137" s="1">
        <v>0</v>
      </c>
      <c r="G137" s="1">
        <v>0.39385895228853079</v>
      </c>
      <c r="H137" s="1">
        <v>1.7791407117051166</v>
      </c>
      <c r="I137" s="1">
        <v>500.00635095987474</v>
      </c>
      <c r="J137" s="1" t="s">
        <v>129</v>
      </c>
      <c r="K137" s="1">
        <f t="shared" si="6"/>
        <v>0.46303467974752638</v>
      </c>
      <c r="L137" s="1">
        <f t="shared" si="7"/>
        <v>0.89640921112577199</v>
      </c>
      <c r="M137" s="1">
        <f t="shared" si="8"/>
        <v>251.61830288204123</v>
      </c>
      <c r="N137" s="1">
        <f>SLOPE(K137:K140,F137:F140)</f>
        <v>3.685059355460493E-4</v>
      </c>
      <c r="O137" s="1">
        <f>SLOPE(L137:L140,F137:F140)</f>
        <v>1.0047134629031544E-4</v>
      </c>
      <c r="P137" s="1">
        <f>SLOPE(M137:M140,F137:F140)</f>
        <v>-2.179258425579611</v>
      </c>
      <c r="Q137" s="1">
        <f>(N137*41.35/0.31*60)/1000</f>
        <v>2.9492362131927369E-3</v>
      </c>
      <c r="R137" s="1">
        <f>O137*41.35/0.31*60/1000</f>
        <v>8.040948714395891E-4</v>
      </c>
      <c r="S137" s="1">
        <f>(P137*41.35/0.31*60)/1000</f>
        <v>-17.441097270525855</v>
      </c>
    </row>
    <row r="138" spans="1:19" x14ac:dyDescent="0.3">
      <c r="A138" s="1">
        <v>136</v>
      </c>
      <c r="B138" s="1" t="s">
        <v>137</v>
      </c>
      <c r="C138" s="1" t="s">
        <v>15</v>
      </c>
      <c r="D138" s="1">
        <v>17.3</v>
      </c>
      <c r="E138" s="1">
        <v>602</v>
      </c>
      <c r="F138" s="1">
        <v>15</v>
      </c>
      <c r="G138" s="1">
        <v>0.40401021101315815</v>
      </c>
      <c r="H138" s="1">
        <v>1.7533549788660885</v>
      </c>
      <c r="I138" s="1">
        <v>1230.5186035990616</v>
      </c>
      <c r="J138" s="1" t="s">
        <v>129</v>
      </c>
      <c r="K138" s="1">
        <f t="shared" si="6"/>
        <v>0.47496886279777922</v>
      </c>
      <c r="L138" s="1">
        <f t="shared" si="7"/>
        <v>0.88341722669167955</v>
      </c>
      <c r="M138" s="1">
        <f t="shared" si="8"/>
        <v>619.23413994239854</v>
      </c>
    </row>
    <row r="139" spans="1:19" x14ac:dyDescent="0.3">
      <c r="A139" s="1">
        <v>137</v>
      </c>
      <c r="C139" s="1" t="s">
        <v>15</v>
      </c>
      <c r="D139" s="1">
        <v>17.3</v>
      </c>
      <c r="E139" s="1">
        <v>603</v>
      </c>
      <c r="F139" s="1">
        <v>30</v>
      </c>
      <c r="G139" s="1">
        <v>0.40668462195194099</v>
      </c>
      <c r="H139" s="1">
        <v>1.8018321566034614</v>
      </c>
      <c r="I139" s="1">
        <v>489.08924746467864</v>
      </c>
      <c r="J139" s="1" t="s">
        <v>129</v>
      </c>
      <c r="K139" s="1">
        <f t="shared" si="6"/>
        <v>0.47811299600931895</v>
      </c>
      <c r="L139" s="1">
        <f t="shared" si="7"/>
        <v>0.9078421574277733</v>
      </c>
      <c r="M139" s="1">
        <f t="shared" si="8"/>
        <v>246.12448655635762</v>
      </c>
    </row>
    <row r="140" spans="1:19" x14ac:dyDescent="0.3">
      <c r="A140" s="1">
        <v>138</v>
      </c>
      <c r="C140" s="1" t="s">
        <v>15</v>
      </c>
      <c r="D140" s="1">
        <v>17.3</v>
      </c>
      <c r="E140" s="1">
        <v>604</v>
      </c>
      <c r="F140" s="1">
        <v>45</v>
      </c>
      <c r="G140" s="1">
        <v>0.40864010521900795</v>
      </c>
      <c r="H140" s="1">
        <v>1.7729521358237499</v>
      </c>
      <c r="I140" s="1">
        <v>530.62248401651084</v>
      </c>
      <c r="J140" s="1" t="s">
        <v>129</v>
      </c>
      <c r="K140" s="1">
        <f t="shared" si="6"/>
        <v>0.48041193212098227</v>
      </c>
      <c r="L140" s="1">
        <f t="shared" si="7"/>
        <v>0.89329113486158984</v>
      </c>
      <c r="M140" s="1">
        <f t="shared" si="8"/>
        <v>267.02526606507433</v>
      </c>
    </row>
    <row r="141" spans="1:19" x14ac:dyDescent="0.3">
      <c r="A141" s="1">
        <v>139</v>
      </c>
      <c r="C141" s="1" t="s">
        <v>15</v>
      </c>
      <c r="D141" s="1">
        <v>17.3</v>
      </c>
      <c r="E141" s="1">
        <v>605</v>
      </c>
      <c r="F141" s="1">
        <v>0</v>
      </c>
      <c r="G141" s="1">
        <v>0.41860923560013397</v>
      </c>
      <c r="H141" s="1">
        <v>1.7688264185695053</v>
      </c>
      <c r="I141" s="1">
        <v>411.95321132648002</v>
      </c>
      <c r="J141" s="1" t="s">
        <v>16</v>
      </c>
      <c r="K141" s="1">
        <f t="shared" si="6"/>
        <v>0.4921319985725997</v>
      </c>
      <c r="L141" s="1">
        <f t="shared" si="7"/>
        <v>0.89121241735213497</v>
      </c>
      <c r="M141" s="1">
        <f t="shared" si="8"/>
        <v>207.30730260083047</v>
      </c>
      <c r="N141" s="1">
        <f>SLOPE(K141:K144,F141:F144)</f>
        <v>1.234588794868142E-3</v>
      </c>
      <c r="O141" s="1">
        <f>SLOPE(L141:L144,F141:F144)</f>
        <v>3.9149179761398609E-4</v>
      </c>
      <c r="P141" s="1">
        <f>SLOPE(M141:M144,F141:F144)</f>
        <v>0.39661818407010169</v>
      </c>
      <c r="Q141" s="1">
        <f>(N141*41.35/0.31*60)/1000</f>
        <v>9.8806929034447114E-3</v>
      </c>
      <c r="R141" s="1">
        <f>O141*41.35/0.31*60/1000</f>
        <v>3.1331972576783859E-3</v>
      </c>
      <c r="S141" s="1">
        <f>(P141*41.35/0.31*60)/1000</f>
        <v>3.1742248860578144</v>
      </c>
    </row>
    <row r="142" spans="1:19" x14ac:dyDescent="0.3">
      <c r="A142" s="1">
        <v>140</v>
      </c>
      <c r="C142" s="1" t="s">
        <v>15</v>
      </c>
      <c r="D142" s="1">
        <v>17.3</v>
      </c>
      <c r="E142" s="1">
        <v>606</v>
      </c>
      <c r="F142" s="1">
        <v>15</v>
      </c>
      <c r="G142" s="1">
        <v>0.45271516434633235</v>
      </c>
      <c r="H142" s="1">
        <v>1.7729521358237499</v>
      </c>
      <c r="I142" s="1">
        <v>434.79997668524118</v>
      </c>
      <c r="J142" s="1" t="s">
        <v>16</v>
      </c>
      <c r="K142" s="1">
        <f t="shared" si="6"/>
        <v>0.53222814899072945</v>
      </c>
      <c r="L142" s="1">
        <f t="shared" si="7"/>
        <v>0.89329113486158984</v>
      </c>
      <c r="M142" s="1">
        <f t="shared" si="8"/>
        <v>218.80448521637089</v>
      </c>
    </row>
    <row r="143" spans="1:19" x14ac:dyDescent="0.3">
      <c r="A143" s="1">
        <v>141</v>
      </c>
      <c r="C143" s="1" t="s">
        <v>15</v>
      </c>
      <c r="D143" s="1">
        <v>17.3</v>
      </c>
      <c r="E143" s="1">
        <v>607</v>
      </c>
      <c r="F143" s="1">
        <v>30</v>
      </c>
      <c r="G143" s="1">
        <v>0.44606268695738871</v>
      </c>
      <c r="H143" s="1">
        <v>1.7997692979763389</v>
      </c>
      <c r="I143" s="1">
        <v>431.58620447259165</v>
      </c>
      <c r="J143" s="1" t="s">
        <v>16</v>
      </c>
      <c r="K143" s="1">
        <f t="shared" si="6"/>
        <v>0.52440725849320791</v>
      </c>
      <c r="L143" s="1">
        <f t="shared" si="7"/>
        <v>0.90680279867304581</v>
      </c>
      <c r="M143" s="1">
        <f t="shared" si="8"/>
        <v>217.18721793877742</v>
      </c>
    </row>
    <row r="144" spans="1:19" x14ac:dyDescent="0.3">
      <c r="A144" s="1">
        <v>142</v>
      </c>
      <c r="C144" s="1" t="s">
        <v>15</v>
      </c>
      <c r="D144" s="1">
        <v>17.3</v>
      </c>
      <c r="E144" s="1">
        <v>608</v>
      </c>
      <c r="F144" s="1">
        <v>45</v>
      </c>
      <c r="G144" s="1">
        <v>0.473334009971142</v>
      </c>
      <c r="H144" s="1">
        <v>1.798737868662778</v>
      </c>
      <c r="I144" s="1">
        <v>452.43169957792782</v>
      </c>
      <c r="J144" s="1" t="s">
        <v>16</v>
      </c>
      <c r="K144" s="1">
        <f t="shared" si="6"/>
        <v>0.55646840181518065</v>
      </c>
      <c r="L144" s="1">
        <f t="shared" si="7"/>
        <v>0.90628311929568228</v>
      </c>
      <c r="M144" s="1">
        <f t="shared" si="8"/>
        <v>227.67730089686671</v>
      </c>
    </row>
    <row r="145" spans="1:19" x14ac:dyDescent="0.3">
      <c r="A145" s="1">
        <v>143</v>
      </c>
      <c r="C145" s="1" t="s">
        <v>15</v>
      </c>
      <c r="D145" s="1">
        <v>17.3</v>
      </c>
      <c r="E145" s="1">
        <v>609</v>
      </c>
      <c r="F145" s="1">
        <v>0</v>
      </c>
      <c r="G145" s="1">
        <v>0.43849956785093824</v>
      </c>
      <c r="H145" s="1">
        <v>1.891566506883279</v>
      </c>
      <c r="I145" s="1">
        <v>442.02179243935137</v>
      </c>
      <c r="J145" s="1" t="s">
        <v>16</v>
      </c>
      <c r="K145" s="1">
        <f t="shared" si="6"/>
        <v>0.51551578500250961</v>
      </c>
      <c r="L145" s="1">
        <f t="shared" si="7"/>
        <v>0.95305426325841502</v>
      </c>
      <c r="M145" s="1">
        <f t="shared" si="8"/>
        <v>222.43872110215034</v>
      </c>
      <c r="N145" s="1">
        <f>SLOPE(K145:K148,F145:F148)</f>
        <v>2.705983034963833E-3</v>
      </c>
      <c r="O145" s="1">
        <f>SLOPE(L145:L148,F145:F148)</f>
        <v>-1.0462878130922443E-3</v>
      </c>
      <c r="P145" s="1">
        <f>SLOPE(M145:M148,F145:F148)</f>
        <v>0.72861029387974496</v>
      </c>
      <c r="Q145" s="1">
        <f>(N145*41.35/0.31*60)/1000</f>
        <v>2.1656593257242805E-2</v>
      </c>
      <c r="R145" s="1">
        <f>O145*41.35/0.31*60/1000</f>
        <v>-8.3736776267156719E-3</v>
      </c>
      <c r="S145" s="1">
        <f>(P145*41.35/0.31*60)/1000</f>
        <v>5.831232706824669</v>
      </c>
    </row>
    <row r="146" spans="1:19" x14ac:dyDescent="0.3">
      <c r="A146" s="1">
        <v>144</v>
      </c>
      <c r="C146" s="1" t="s">
        <v>15</v>
      </c>
      <c r="D146" s="1">
        <v>17.3</v>
      </c>
      <c r="E146" s="1">
        <v>610</v>
      </c>
      <c r="F146" s="1">
        <v>15</v>
      </c>
      <c r="G146" s="1">
        <v>0.52001638012122242</v>
      </c>
      <c r="H146" s="1">
        <v>1.8049264445441446</v>
      </c>
      <c r="I146" s="1">
        <v>496.99802537269142</v>
      </c>
      <c r="J146" s="1" t="s">
        <v>16</v>
      </c>
      <c r="K146" s="1">
        <f t="shared" si="6"/>
        <v>0.61134986683381243</v>
      </c>
      <c r="L146" s="1">
        <f t="shared" si="7"/>
        <v>0.90940119555986443</v>
      </c>
      <c r="M146" s="1">
        <f t="shared" si="8"/>
        <v>250.10442255370029</v>
      </c>
    </row>
    <row r="147" spans="1:19" x14ac:dyDescent="0.3">
      <c r="A147" s="1">
        <v>145</v>
      </c>
      <c r="C147" s="1" t="s">
        <v>15</v>
      </c>
      <c r="D147" s="1">
        <v>17.3</v>
      </c>
      <c r="E147" s="1">
        <v>611</v>
      </c>
      <c r="F147" s="1">
        <v>30</v>
      </c>
      <c r="G147" s="1">
        <v>0.51049777774770499</v>
      </c>
      <c r="H147" s="1">
        <v>1.7966750100356557</v>
      </c>
      <c r="I147" s="1">
        <v>480.03216966789961</v>
      </c>
      <c r="J147" s="1" t="s">
        <v>16</v>
      </c>
      <c r="K147" s="1">
        <f t="shared" si="6"/>
        <v>0.60015945723145081</v>
      </c>
      <c r="L147" s="1">
        <f t="shared" si="7"/>
        <v>0.9052437605409549</v>
      </c>
      <c r="M147" s="1">
        <f t="shared" si="8"/>
        <v>241.56669136051414</v>
      </c>
    </row>
    <row r="148" spans="1:19" x14ac:dyDescent="0.3">
      <c r="A148" s="1">
        <v>146</v>
      </c>
      <c r="C148" s="1" t="s">
        <v>15</v>
      </c>
      <c r="D148" s="1">
        <v>17.3</v>
      </c>
      <c r="E148" s="1">
        <v>612</v>
      </c>
      <c r="F148" s="1">
        <v>45</v>
      </c>
      <c r="G148" s="1">
        <v>0.55675837699704545</v>
      </c>
      <c r="H148" s="1">
        <v>1.790486434154289</v>
      </c>
      <c r="I148" s="1">
        <v>520.07041515049127</v>
      </c>
      <c r="J148" s="1" t="s">
        <v>16</v>
      </c>
      <c r="K148" s="1">
        <f t="shared" si="6"/>
        <v>0.65454507328482181</v>
      </c>
      <c r="L148" s="1">
        <f t="shared" si="7"/>
        <v>0.90212568427677264</v>
      </c>
      <c r="M148" s="1">
        <f t="shared" si="8"/>
        <v>261.7151461938663</v>
      </c>
    </row>
    <row r="149" spans="1:19" x14ac:dyDescent="0.3">
      <c r="A149" s="1">
        <v>147</v>
      </c>
      <c r="C149" s="1" t="s">
        <v>15</v>
      </c>
      <c r="D149" s="1">
        <v>17.3</v>
      </c>
      <c r="E149" s="1">
        <v>613</v>
      </c>
      <c r="F149" s="1">
        <v>0</v>
      </c>
      <c r="G149" s="1">
        <v>0.40468121017342629</v>
      </c>
      <c r="H149" s="1">
        <v>1.8131778790526336</v>
      </c>
      <c r="I149" s="1">
        <v>405.78889539005957</v>
      </c>
      <c r="J149" s="1" t="s">
        <v>16</v>
      </c>
      <c r="K149" s="1">
        <f t="shared" si="6"/>
        <v>0.47575771342433043</v>
      </c>
      <c r="L149" s="1">
        <f t="shared" si="7"/>
        <v>0.91355863057877396</v>
      </c>
      <c r="M149" s="1">
        <f t="shared" si="8"/>
        <v>204.2052325743733</v>
      </c>
      <c r="N149" s="1">
        <f>SLOPE(K149:K152,F149:F152)</f>
        <v>5.2807914800268626E-4</v>
      </c>
      <c r="O149" s="1">
        <f>SLOPE(L149:L152,F149:F152)</f>
        <v>3.2220121396549689E-4</v>
      </c>
      <c r="P149" s="1">
        <f>SLOPE(M149:M152,F149:F152)</f>
        <v>0.19090277099782249</v>
      </c>
      <c r="Q149" s="1">
        <f>(N149*41.35/0.31*60)/1000</f>
        <v>4.2263366651440794E-3</v>
      </c>
      <c r="R149" s="1">
        <f>O149*41.35/0.31*60/1000</f>
        <v>2.5786490704787029E-3</v>
      </c>
      <c r="S149" s="1">
        <f>(P149*41.35/0.31*60)/1000</f>
        <v>1.5278379833728954</v>
      </c>
    </row>
    <row r="150" spans="1:19" x14ac:dyDescent="0.3">
      <c r="A150" s="1">
        <v>148</v>
      </c>
      <c r="C150" s="1" t="s">
        <v>15</v>
      </c>
      <c r="D150" s="1">
        <v>17.3</v>
      </c>
      <c r="E150" s="1">
        <v>614</v>
      </c>
      <c r="F150" s="1">
        <v>15</v>
      </c>
      <c r="G150" s="1">
        <v>0.41451614072249859</v>
      </c>
      <c r="H150" s="1">
        <v>1.7781092823915554</v>
      </c>
      <c r="I150" s="1">
        <v>405.39817993269975</v>
      </c>
      <c r="J150" s="1" t="s">
        <v>16</v>
      </c>
      <c r="K150" s="1">
        <f t="shared" si="6"/>
        <v>0.48732000975063761</v>
      </c>
      <c r="L150" s="1">
        <f t="shared" si="7"/>
        <v>0.89588953174840824</v>
      </c>
      <c r="M150" s="1">
        <f t="shared" si="8"/>
        <v>204.0086127512412</v>
      </c>
    </row>
    <row r="151" spans="1:19" x14ac:dyDescent="0.3">
      <c r="A151" s="1">
        <v>149</v>
      </c>
      <c r="C151" s="1" t="s">
        <v>15</v>
      </c>
      <c r="D151" s="1">
        <v>17.3</v>
      </c>
      <c r="E151" s="1">
        <v>615</v>
      </c>
      <c r="F151" s="1">
        <v>30</v>
      </c>
      <c r="G151" s="1">
        <v>0.4239197146685415</v>
      </c>
      <c r="H151" s="1">
        <v>1.809052161798389</v>
      </c>
      <c r="I151" s="1">
        <v>412.18250443525926</v>
      </c>
      <c r="J151" s="1" t="s">
        <v>16</v>
      </c>
      <c r="K151" s="1">
        <f t="shared" si="6"/>
        <v>0.49837518781701912</v>
      </c>
      <c r="L151" s="1">
        <f t="shared" si="7"/>
        <v>0.91147991306931908</v>
      </c>
      <c r="M151" s="1">
        <f t="shared" si="8"/>
        <v>207.42268982097841</v>
      </c>
    </row>
    <row r="152" spans="1:19" x14ac:dyDescent="0.3">
      <c r="A152" s="1">
        <v>150</v>
      </c>
      <c r="C152" s="1" t="s">
        <v>15</v>
      </c>
      <c r="D152" s="1">
        <v>17.3</v>
      </c>
      <c r="E152" s="1">
        <v>616</v>
      </c>
      <c r="F152" s="1">
        <v>45</v>
      </c>
      <c r="G152" s="1">
        <v>0.4240059859891474</v>
      </c>
      <c r="H152" s="1">
        <v>1.8348378946374173</v>
      </c>
      <c r="I152" s="1">
        <v>422.49519129571331</v>
      </c>
      <c r="J152" s="1" t="s">
        <v>16</v>
      </c>
      <c r="K152" s="1">
        <f t="shared" si="6"/>
        <v>0.49847661146900424</v>
      </c>
      <c r="L152" s="1">
        <f t="shared" si="7"/>
        <v>0.92447189750341185</v>
      </c>
      <c r="M152" s="1">
        <f t="shared" si="8"/>
        <v>212.61234543435202</v>
      </c>
    </row>
    <row r="153" spans="1:19" x14ac:dyDescent="0.3">
      <c r="A153" s="1">
        <v>151</v>
      </c>
      <c r="C153" s="1" t="s">
        <v>15</v>
      </c>
      <c r="D153" s="1">
        <v>17.3</v>
      </c>
      <c r="E153" s="1">
        <v>617</v>
      </c>
      <c r="F153" s="1">
        <v>0</v>
      </c>
      <c r="G153" s="1">
        <v>0.43187584756886321</v>
      </c>
      <c r="H153" s="1">
        <v>1.8142093083661948</v>
      </c>
      <c r="I153" s="1">
        <v>409.37137092162607</v>
      </c>
      <c r="J153" s="1" t="s">
        <v>16</v>
      </c>
      <c r="K153" s="1">
        <f t="shared" si="6"/>
        <v>0.50772870238898304</v>
      </c>
      <c r="L153" s="1">
        <f t="shared" si="7"/>
        <v>0.9140783099561377</v>
      </c>
      <c r="M153" s="1">
        <f t="shared" si="8"/>
        <v>206.0080425019647</v>
      </c>
      <c r="N153" s="1">
        <f>SLOPE(K153:K156,F153:F156)</f>
        <v>3.1231723234627544E-3</v>
      </c>
      <c r="O153" s="1">
        <f>SLOPE(L153:L156,F153:F156)</f>
        <v>-3.118076264182109E-5</v>
      </c>
      <c r="P153" s="1">
        <f>SLOPE(M153:M156,F153:F156)</f>
        <v>0.29963445628762508</v>
      </c>
      <c r="Q153" s="1">
        <f>(N153*41.35/0.31*60)/1000</f>
        <v>2.4995453337132562E-2</v>
      </c>
      <c r="R153" s="1">
        <f>O153*41.35/0.31*60/1000</f>
        <v>-2.4954668423986498E-4</v>
      </c>
      <c r="S153" s="1">
        <f>(P153*41.35/0.31*60)/1000</f>
        <v>2.3980422130632189</v>
      </c>
    </row>
    <row r="154" spans="1:19" x14ac:dyDescent="0.3">
      <c r="A154" s="1">
        <v>152</v>
      </c>
      <c r="C154" s="1" t="s">
        <v>15</v>
      </c>
      <c r="D154" s="1">
        <v>17.3</v>
      </c>
      <c r="E154" s="1">
        <v>618</v>
      </c>
      <c r="F154" s="1">
        <v>15</v>
      </c>
      <c r="G154" s="1">
        <v>0.51770622586944226</v>
      </c>
      <c r="H154" s="1">
        <v>1.7925492927814113</v>
      </c>
      <c r="I154" s="1">
        <v>447.79997878058765</v>
      </c>
      <c r="J154" s="1" t="s">
        <v>16</v>
      </c>
      <c r="K154" s="1">
        <f t="shared" si="6"/>
        <v>0.6086339668195434</v>
      </c>
      <c r="L154" s="1">
        <f t="shared" si="7"/>
        <v>0.90316504303150014</v>
      </c>
      <c r="M154" s="1">
        <f t="shared" si="8"/>
        <v>225.34647904987835</v>
      </c>
    </row>
    <row r="155" spans="1:19" x14ac:dyDescent="0.3">
      <c r="A155" s="1">
        <v>153</v>
      </c>
      <c r="C155" s="1" t="s">
        <v>15</v>
      </c>
      <c r="D155" s="1">
        <v>17.3</v>
      </c>
      <c r="E155" s="1">
        <v>619</v>
      </c>
      <c r="F155" s="1">
        <v>30</v>
      </c>
      <c r="G155" s="1">
        <v>0.57404139822509359</v>
      </c>
      <c r="H155" s="1">
        <v>1.8111150204255115</v>
      </c>
      <c r="I155" s="1">
        <v>452.37208336964522</v>
      </c>
      <c r="J155" s="1" t="s">
        <v>16</v>
      </c>
      <c r="K155" s="1">
        <f t="shared" si="6"/>
        <v>0.67486361156584707</v>
      </c>
      <c r="L155" s="1">
        <f t="shared" si="7"/>
        <v>0.9125192718240468</v>
      </c>
      <c r="M155" s="1">
        <f t="shared" si="8"/>
        <v>227.64730021962822</v>
      </c>
    </row>
    <row r="156" spans="1:19" x14ac:dyDescent="0.3">
      <c r="A156" s="1">
        <v>154</v>
      </c>
      <c r="C156" s="1" t="s">
        <v>15</v>
      </c>
      <c r="D156" s="1">
        <v>17.3</v>
      </c>
      <c r="E156" s="1">
        <v>620</v>
      </c>
      <c r="F156" s="1">
        <v>45</v>
      </c>
      <c r="G156" s="1">
        <v>0.54592653340986053</v>
      </c>
      <c r="H156" s="1">
        <v>1.8049264445441446</v>
      </c>
      <c r="I156" s="1">
        <v>437.61844757835524</v>
      </c>
      <c r="J156" s="1" t="s">
        <v>16</v>
      </c>
      <c r="K156" s="1">
        <f t="shared" si="6"/>
        <v>0.64181077031335287</v>
      </c>
      <c r="L156" s="1">
        <f t="shared" si="7"/>
        <v>0.90940119555986443</v>
      </c>
      <c r="M156" s="1">
        <f t="shared" si="8"/>
        <v>220.22282492642933</v>
      </c>
    </row>
    <row r="157" spans="1:19" x14ac:dyDescent="0.3">
      <c r="A157" s="1">
        <v>155</v>
      </c>
      <c r="C157" s="1" t="s">
        <v>15</v>
      </c>
      <c r="D157" s="1">
        <v>17.3</v>
      </c>
      <c r="E157" s="1">
        <v>621</v>
      </c>
      <c r="F157" s="1">
        <v>0</v>
      </c>
      <c r="G157" s="1">
        <v>0.42776358128664871</v>
      </c>
      <c r="H157" s="1">
        <v>1.7956435807220947</v>
      </c>
      <c r="I157" s="1">
        <v>405.05057157979053</v>
      </c>
      <c r="J157" s="1" t="s">
        <v>16</v>
      </c>
      <c r="K157" s="1">
        <f t="shared" si="6"/>
        <v>0.50289417497769073</v>
      </c>
      <c r="L157" s="1">
        <f t="shared" si="7"/>
        <v>0.90472408116359126</v>
      </c>
      <c r="M157" s="1">
        <f t="shared" si="8"/>
        <v>203.83368572549699</v>
      </c>
      <c r="N157" s="1">
        <f>SLOPE(K157:K160,F157:F160)</f>
        <v>1.0940982547109305E-3</v>
      </c>
      <c r="O157" s="1">
        <f>SLOPE(L157:L160,F157:F160)</f>
        <v>-5.889699610121868E-5</v>
      </c>
      <c r="P157" s="1">
        <f>SLOPE(M157:M160,F157:F160)</f>
        <v>0.36310973533913982</v>
      </c>
      <c r="Q157" s="1">
        <f>(N157*41.35/0.31*60)/1000</f>
        <v>8.7563153868961893E-3</v>
      </c>
      <c r="R157" s="1">
        <f>O157*41.35/0.31*60/1000</f>
        <v>-4.7136595911975336E-4</v>
      </c>
      <c r="S157" s="1">
        <f>(P157*41.35/0.31*60)/1000</f>
        <v>2.9060492044400195</v>
      </c>
    </row>
    <row r="158" spans="1:19" x14ac:dyDescent="0.3">
      <c r="A158" s="1">
        <v>156</v>
      </c>
      <c r="C158" s="1" t="s">
        <v>15</v>
      </c>
      <c r="D158" s="1">
        <v>17.3</v>
      </c>
      <c r="E158" s="1">
        <v>622</v>
      </c>
      <c r="F158" s="1">
        <v>15</v>
      </c>
      <c r="G158" s="1">
        <v>0.46070964005581228</v>
      </c>
      <c r="H158" s="1">
        <v>1.7977064393492168</v>
      </c>
      <c r="I158" s="1">
        <v>422.44016094960631</v>
      </c>
      <c r="J158" s="1" t="s">
        <v>16</v>
      </c>
      <c r="K158" s="1">
        <f t="shared" si="6"/>
        <v>0.54162674074135353</v>
      </c>
      <c r="L158" s="1">
        <f t="shared" si="7"/>
        <v>0.90576343991831865</v>
      </c>
      <c r="M158" s="1">
        <f t="shared" si="8"/>
        <v>212.58465250151653</v>
      </c>
    </row>
    <row r="159" spans="1:19" x14ac:dyDescent="0.3">
      <c r="A159" s="1">
        <v>157</v>
      </c>
      <c r="C159" s="1" t="s">
        <v>15</v>
      </c>
      <c r="D159" s="1">
        <v>17.3</v>
      </c>
      <c r="E159" s="1">
        <v>623</v>
      </c>
      <c r="F159" s="1">
        <v>30</v>
      </c>
      <c r="G159" s="1">
        <v>0.48936130419925994</v>
      </c>
      <c r="H159" s="1">
        <v>1.7801721410186779</v>
      </c>
      <c r="I159" s="1">
        <v>446.62599806363801</v>
      </c>
      <c r="J159" s="1" t="s">
        <v>16</v>
      </c>
      <c r="K159" s="1">
        <f t="shared" si="6"/>
        <v>0.57531066249508866</v>
      </c>
      <c r="L159" s="1">
        <f t="shared" si="7"/>
        <v>0.89692889050313584</v>
      </c>
      <c r="M159" s="1">
        <f t="shared" si="8"/>
        <v>224.75569648272091</v>
      </c>
    </row>
    <row r="160" spans="1:19" x14ac:dyDescent="0.3">
      <c r="A160" s="1">
        <v>158</v>
      </c>
      <c r="C160" s="1" t="s">
        <v>15</v>
      </c>
      <c r="D160" s="1">
        <v>17.3</v>
      </c>
      <c r="E160" s="1">
        <v>624</v>
      </c>
      <c r="F160" s="1">
        <v>45</v>
      </c>
      <c r="G160" s="1">
        <v>0.46474522071971036</v>
      </c>
      <c r="H160" s="1">
        <v>1.7956435807220947</v>
      </c>
      <c r="I160" s="1">
        <v>433.06652078287027</v>
      </c>
      <c r="J160" s="1" t="s">
        <v>16</v>
      </c>
      <c r="K160" s="1">
        <f t="shared" si="6"/>
        <v>0.54637111379532555</v>
      </c>
      <c r="L160" s="1">
        <f t="shared" si="7"/>
        <v>0.90472408116359126</v>
      </c>
      <c r="M160" s="1">
        <f t="shared" si="8"/>
        <v>217.93215783205252</v>
      </c>
    </row>
    <row r="161" spans="1:19" x14ac:dyDescent="0.3">
      <c r="A161" s="1">
        <v>159</v>
      </c>
      <c r="C161" s="1" t="s">
        <v>15</v>
      </c>
      <c r="D161" s="1">
        <v>17.3</v>
      </c>
      <c r="E161" s="1">
        <v>625</v>
      </c>
      <c r="F161" s="1">
        <v>0</v>
      </c>
      <c r="G161" s="1">
        <v>0.43614148508771039</v>
      </c>
      <c r="H161" s="1">
        <v>1.8131778790526336</v>
      </c>
      <c r="I161" s="1">
        <v>414.00859475357692</v>
      </c>
      <c r="J161" s="1" t="s">
        <v>16</v>
      </c>
      <c r="K161" s="1">
        <f t="shared" si="6"/>
        <v>0.5127435385149155</v>
      </c>
      <c r="L161" s="1">
        <f t="shared" si="7"/>
        <v>0.91355863057877396</v>
      </c>
      <c r="M161" s="1">
        <f t="shared" si="8"/>
        <v>208.34163364223656</v>
      </c>
      <c r="N161" s="1">
        <f>SLOPE(K161:K164,F161:F164)</f>
        <v>7.8945165559997593E-4</v>
      </c>
      <c r="O161" s="1">
        <f>SLOPE(L161:L164,F161:F164)</f>
        <v>1.7322645912123551E-4</v>
      </c>
      <c r="P161" s="1">
        <f>SLOPE(M161:M164,F161:F164)</f>
        <v>5.2816576902382055E-2</v>
      </c>
      <c r="Q161" s="1">
        <f>(N161*41.35/0.31*60)/1000</f>
        <v>6.3181598630436785E-3</v>
      </c>
      <c r="R161" s="1">
        <f>O161*41.35/0.31*60/1000</f>
        <v>1.3863704679993073E-3</v>
      </c>
      <c r="S161" s="1">
        <f>(P161*41.35/0.31*60)/1000</f>
        <v>0.4227029912735803</v>
      </c>
    </row>
    <row r="162" spans="1:19" x14ac:dyDescent="0.3">
      <c r="A162" s="1">
        <v>160</v>
      </c>
      <c r="C162" s="1" t="s">
        <v>15</v>
      </c>
      <c r="D162" s="1">
        <v>17.3</v>
      </c>
      <c r="E162" s="1">
        <v>626</v>
      </c>
      <c r="F162" s="1">
        <v>15</v>
      </c>
      <c r="G162" s="1">
        <v>0.46535870566624121</v>
      </c>
      <c r="H162" s="1">
        <v>1.7822349996458</v>
      </c>
      <c r="I162" s="1">
        <v>414.31401317447086</v>
      </c>
      <c r="J162" s="1" t="s">
        <v>16</v>
      </c>
      <c r="K162" s="1">
        <f t="shared" si="6"/>
        <v>0.54709234865388667</v>
      </c>
      <c r="L162" s="1">
        <f t="shared" si="7"/>
        <v>0.89796824925786312</v>
      </c>
      <c r="M162" s="1">
        <f t="shared" si="8"/>
        <v>208.49532941947365</v>
      </c>
    </row>
    <row r="163" spans="1:19" x14ac:dyDescent="0.3">
      <c r="A163" s="1">
        <v>161</v>
      </c>
      <c r="C163" s="1" t="s">
        <v>15</v>
      </c>
      <c r="D163" s="1">
        <v>17.3</v>
      </c>
      <c r="E163" s="1">
        <v>627</v>
      </c>
      <c r="F163" s="1">
        <v>30</v>
      </c>
      <c r="G163" s="1">
        <v>0.45698080186517953</v>
      </c>
      <c r="H163" s="1">
        <v>1.8183350256204394</v>
      </c>
      <c r="I163" s="1">
        <v>416.73718274804958</v>
      </c>
      <c r="J163" s="1" t="s">
        <v>16</v>
      </c>
      <c r="K163" s="1">
        <f t="shared" si="6"/>
        <v>0.53724298511666202</v>
      </c>
      <c r="L163" s="1">
        <f t="shared" si="7"/>
        <v>0.91615702746559258</v>
      </c>
      <c r="M163" s="1">
        <f t="shared" si="8"/>
        <v>209.71474156199699</v>
      </c>
    </row>
    <row r="164" spans="1:19" x14ac:dyDescent="0.3">
      <c r="A164" s="1">
        <v>162</v>
      </c>
      <c r="C164" s="1" t="s">
        <v>15</v>
      </c>
      <c r="D164" s="1">
        <v>17.3</v>
      </c>
      <c r="E164" s="1">
        <v>628</v>
      </c>
      <c r="F164" s="1">
        <v>45</v>
      </c>
      <c r="G164" s="1">
        <v>0.47250963957424119</v>
      </c>
      <c r="H164" s="1">
        <v>1.8183350256204394</v>
      </c>
      <c r="I164" s="1">
        <v>418.44862651197764</v>
      </c>
      <c r="J164" s="1" t="s">
        <v>16</v>
      </c>
      <c r="K164" s="1">
        <f t="shared" si="6"/>
        <v>0.55549924247398919</v>
      </c>
      <c r="L164" s="1">
        <f t="shared" si="7"/>
        <v>0.91615702746559258</v>
      </c>
      <c r="M164" s="1">
        <f t="shared" si="8"/>
        <v>210.57599177318122</v>
      </c>
    </row>
    <row r="165" spans="1:19" x14ac:dyDescent="0.3">
      <c r="A165" s="1">
        <v>163</v>
      </c>
      <c r="C165" s="1" t="s">
        <v>15</v>
      </c>
      <c r="D165" s="1">
        <v>17.3</v>
      </c>
      <c r="E165" s="1">
        <v>629</v>
      </c>
      <c r="F165" s="1">
        <v>0</v>
      </c>
      <c r="G165" s="1">
        <v>0.39714684817384449</v>
      </c>
      <c r="H165" s="1">
        <v>1.8162721669933171</v>
      </c>
      <c r="I165" s="1">
        <v>443.56906233739352</v>
      </c>
      <c r="J165" s="1" t="s">
        <v>129</v>
      </c>
      <c r="K165" s="1">
        <f t="shared" si="6"/>
        <v>0.46690004781762723</v>
      </c>
      <c r="L165" s="1">
        <f t="shared" si="7"/>
        <v>0.9151176687108652</v>
      </c>
      <c r="M165" s="1">
        <f t="shared" si="8"/>
        <v>223.21735406370863</v>
      </c>
      <c r="N165" s="1">
        <f>SLOPE(K165:K168,F165:F168)</f>
        <v>-7.9110448548418047E-5</v>
      </c>
      <c r="O165" s="1">
        <f>SLOPE(L165:L168,F165:F168)</f>
        <v>-4.0881444352610876E-4</v>
      </c>
      <c r="P165" s="1">
        <f>SLOPE(M165:M168,F165:F168)</f>
        <v>-0.25855968290749787</v>
      </c>
      <c r="Q165" s="1">
        <f>(N165*41.35/0.31*60)/1000</f>
        <v>-6.331387833826619E-4</v>
      </c>
      <c r="R165" s="1">
        <f>O165*41.35/0.31*60/1000</f>
        <v>-3.2718343044783093E-3</v>
      </c>
      <c r="S165" s="1">
        <f>(P165*41.35/0.31*60)/1000</f>
        <v>-2.0693115267532329</v>
      </c>
    </row>
    <row r="166" spans="1:19" x14ac:dyDescent="0.3">
      <c r="A166" s="1">
        <v>164</v>
      </c>
      <c r="C166" s="1" t="s">
        <v>15</v>
      </c>
      <c r="D166" s="1">
        <v>17.3</v>
      </c>
      <c r="E166" s="1">
        <v>630</v>
      </c>
      <c r="F166" s="1">
        <v>15</v>
      </c>
      <c r="G166" s="1">
        <v>0.39533515044112066</v>
      </c>
      <c r="H166" s="1">
        <v>1.825555030815367</v>
      </c>
      <c r="I166" s="1">
        <v>466.25348817513895</v>
      </c>
      <c r="J166" s="1" t="s">
        <v>129</v>
      </c>
      <c r="K166" s="1">
        <f t="shared" si="6"/>
        <v>0.46477015112593906</v>
      </c>
      <c r="L166" s="1">
        <f t="shared" si="7"/>
        <v>0.91979478310713836</v>
      </c>
      <c r="M166" s="1">
        <f t="shared" si="8"/>
        <v>234.63284252738433</v>
      </c>
    </row>
    <row r="167" spans="1:19" x14ac:dyDescent="0.3">
      <c r="A167" s="1">
        <v>165</v>
      </c>
      <c r="C167" s="1" t="s">
        <v>15</v>
      </c>
      <c r="D167" s="1">
        <v>17.3</v>
      </c>
      <c r="E167" s="1">
        <v>631</v>
      </c>
      <c r="F167" s="1">
        <v>30</v>
      </c>
      <c r="G167" s="1">
        <v>0.39455870855566755</v>
      </c>
      <c r="H167" s="1">
        <v>1.7966750100356557</v>
      </c>
      <c r="I167" s="1">
        <v>437.79179316859233</v>
      </c>
      <c r="J167" s="1" t="s">
        <v>129</v>
      </c>
      <c r="K167" s="1">
        <f t="shared" si="6"/>
        <v>0.46385733825807268</v>
      </c>
      <c r="L167" s="1">
        <f t="shared" si="7"/>
        <v>0.9052437605409549</v>
      </c>
      <c r="M167" s="1">
        <f t="shared" si="8"/>
        <v>220.31005766486115</v>
      </c>
    </row>
    <row r="168" spans="1:19" x14ac:dyDescent="0.3">
      <c r="A168" s="1">
        <v>166</v>
      </c>
      <c r="C168" s="1" t="s">
        <v>15</v>
      </c>
      <c r="D168" s="1">
        <v>17.3</v>
      </c>
      <c r="E168" s="1">
        <v>632</v>
      </c>
      <c r="F168" s="1">
        <v>45</v>
      </c>
      <c r="G168" s="1">
        <v>0.39404108063203219</v>
      </c>
      <c r="H168" s="1">
        <v>1.7853292875864835</v>
      </c>
      <c r="I168" s="1">
        <v>427.36629409861894</v>
      </c>
      <c r="J168" s="1" t="s">
        <v>129</v>
      </c>
      <c r="K168" s="1">
        <f t="shared" si="6"/>
        <v>0.46324879634616178</v>
      </c>
      <c r="L168" s="1">
        <f t="shared" si="7"/>
        <v>0.89952728738995424</v>
      </c>
      <c r="M168" s="1">
        <f t="shared" si="8"/>
        <v>215.06363153917479</v>
      </c>
    </row>
    <row r="169" spans="1:19" x14ac:dyDescent="0.3">
      <c r="A169" s="1">
        <v>167</v>
      </c>
      <c r="C169" s="1" t="s">
        <v>15</v>
      </c>
      <c r="D169" s="1">
        <v>17.3</v>
      </c>
      <c r="E169" s="1" t="s">
        <v>114</v>
      </c>
      <c r="F169"/>
      <c r="G169" s="1">
        <v>0.40569729461611792</v>
      </c>
      <c r="H169" s="1">
        <v>1.8441207584594674</v>
      </c>
      <c r="I169" s="1">
        <v>398.25615818044474</v>
      </c>
      <c r="K169" s="1">
        <f t="shared" si="6"/>
        <v>0.47695225865882213</v>
      </c>
      <c r="L169" s="1">
        <f t="shared" si="7"/>
        <v>0.92914901189968502</v>
      </c>
      <c r="M169" s="1">
        <f t="shared" si="8"/>
        <v>200.41453161807328</v>
      </c>
    </row>
    <row r="170" spans="1:19" x14ac:dyDescent="0.3">
      <c r="A170" s="1">
        <v>168</v>
      </c>
      <c r="C170" s="1" t="s">
        <v>15</v>
      </c>
      <c r="D170" s="1">
        <v>17.3</v>
      </c>
      <c r="E170" s="1" t="s">
        <v>115</v>
      </c>
      <c r="F170"/>
      <c r="G170" s="1">
        <v>0.40446073902076674</v>
      </c>
      <c r="H170" s="1">
        <v>1.8595921981628842</v>
      </c>
      <c r="I170" s="1">
        <v>399.00732240480545</v>
      </c>
      <c r="K170" s="1">
        <f t="shared" si="6"/>
        <v>0.47549851964703505</v>
      </c>
      <c r="L170" s="1">
        <f t="shared" si="7"/>
        <v>0.93694420256014044</v>
      </c>
      <c r="M170" s="1">
        <f t="shared" si="8"/>
        <v>200.7925401512779</v>
      </c>
    </row>
    <row r="171" spans="1:19" x14ac:dyDescent="0.3">
      <c r="A171" s="1">
        <v>169</v>
      </c>
      <c r="B171" s="1" t="s">
        <v>120</v>
      </c>
      <c r="C171" s="1" t="s">
        <v>15</v>
      </c>
      <c r="D171" s="1">
        <v>25.7</v>
      </c>
      <c r="E171" s="1">
        <v>301</v>
      </c>
      <c r="F171" s="1">
        <v>0</v>
      </c>
      <c r="G171" s="1">
        <v>0.39222938289930825</v>
      </c>
      <c r="H171" s="1">
        <v>1.8925979361968401</v>
      </c>
      <c r="I171" s="1">
        <v>388.18010180825087</v>
      </c>
      <c r="J171" s="1" t="s">
        <v>129</v>
      </c>
      <c r="K171" s="1">
        <f t="shared" si="6"/>
        <v>0.44815788658069888</v>
      </c>
      <c r="L171" s="1">
        <f t="shared" si="7"/>
        <v>0.92677112811966533</v>
      </c>
      <c r="M171" s="1">
        <f t="shared" si="8"/>
        <v>189.85327725827653</v>
      </c>
      <c r="N171" s="1">
        <f>SLOPE(K171:K174,F171:F174)</f>
        <v>1.8940592833345814E-4</v>
      </c>
      <c r="O171" s="1">
        <f>SLOPE(L171:L174,F171:F174)</f>
        <v>-1.2795166484637151E-4</v>
      </c>
      <c r="P171" s="1">
        <f>SLOPE(M171:M174,F171:F174)</f>
        <v>19.608757624237494</v>
      </c>
      <c r="Q171" s="1">
        <f>(N171*41.35/0.31*60)/1000</f>
        <v>1.5158584135332568E-3</v>
      </c>
      <c r="R171" s="1">
        <f>O171*41.35/0.31*60/1000</f>
        <v>-1.0240260660769281E-3</v>
      </c>
      <c r="S171" s="1">
        <f>(P171*41.35/0.31*60)/1000</f>
        <v>156.93331505075236</v>
      </c>
    </row>
    <row r="172" spans="1:19" x14ac:dyDescent="0.3">
      <c r="A172" s="1">
        <v>170</v>
      </c>
      <c r="B172" s="1" t="s">
        <v>138</v>
      </c>
      <c r="C172" s="1" t="s">
        <v>15</v>
      </c>
      <c r="D172" s="1">
        <v>25.7</v>
      </c>
      <c r="E172" s="1">
        <v>302</v>
      </c>
      <c r="F172" s="1">
        <v>15</v>
      </c>
      <c r="G172" s="1">
        <v>0.39568982142583375</v>
      </c>
      <c r="H172" s="1">
        <v>1.873000779239179</v>
      </c>
      <c r="I172" s="1">
        <v>1409.1443555451165</v>
      </c>
      <c r="J172" s="1" t="s">
        <v>129</v>
      </c>
      <c r="K172" s="1">
        <f t="shared" si="6"/>
        <v>0.45211175358889344</v>
      </c>
      <c r="L172" s="1">
        <f t="shared" si="7"/>
        <v>0.91717475325618725</v>
      </c>
      <c r="M172" s="1">
        <f t="shared" si="8"/>
        <v>689.19213731979073</v>
      </c>
    </row>
    <row r="173" spans="1:19" x14ac:dyDescent="0.3">
      <c r="A173" s="1">
        <v>171</v>
      </c>
      <c r="C173" s="1" t="s">
        <v>15</v>
      </c>
      <c r="D173" s="1">
        <v>25.7</v>
      </c>
      <c r="E173" s="1">
        <v>303</v>
      </c>
      <c r="F173" s="1">
        <v>30</v>
      </c>
      <c r="G173" s="1">
        <v>0.39671549157081498</v>
      </c>
      <c r="H173" s="1">
        <v>1.8709379206120564</v>
      </c>
      <c r="I173" s="1">
        <v>1954.0447537999628</v>
      </c>
      <c r="J173" s="1" t="s">
        <v>129</v>
      </c>
      <c r="K173" s="1">
        <f t="shared" si="6"/>
        <v>0.45328367538910624</v>
      </c>
      <c r="L173" s="1">
        <f t="shared" si="7"/>
        <v>0.91616460853371584</v>
      </c>
      <c r="M173" s="1">
        <f t="shared" si="8"/>
        <v>955.69504642337063</v>
      </c>
    </row>
    <row r="174" spans="1:19" x14ac:dyDescent="0.3">
      <c r="A174" s="1">
        <v>172</v>
      </c>
      <c r="C174" s="1" t="s">
        <v>15</v>
      </c>
      <c r="D174" s="1">
        <v>25.7</v>
      </c>
      <c r="E174" s="1">
        <v>304</v>
      </c>
      <c r="F174" s="1">
        <v>45</v>
      </c>
      <c r="G174" s="1">
        <v>0.40017593009734048</v>
      </c>
      <c r="H174" s="1">
        <v>1.8802207844341068</v>
      </c>
      <c r="I174" s="1">
        <v>2211.1813833644569</v>
      </c>
      <c r="J174" s="1" t="s">
        <v>129</v>
      </c>
      <c r="K174" s="1">
        <f t="shared" si="6"/>
        <v>0.45723754239730086</v>
      </c>
      <c r="L174" s="1">
        <f t="shared" si="7"/>
        <v>0.92071025978483723</v>
      </c>
      <c r="M174" s="1">
        <f t="shared" si="8"/>
        <v>1081.4568554356247</v>
      </c>
    </row>
    <row r="175" spans="1:19" x14ac:dyDescent="0.3">
      <c r="A175" s="1">
        <v>173</v>
      </c>
      <c r="C175" s="1" t="s">
        <v>15</v>
      </c>
      <c r="D175" s="1">
        <v>25.7</v>
      </c>
      <c r="E175" s="1">
        <v>305</v>
      </c>
      <c r="F175" s="1">
        <v>0</v>
      </c>
      <c r="G175" s="1">
        <v>0.43223051855357636</v>
      </c>
      <c r="H175" s="1">
        <v>1.8709379206120564</v>
      </c>
      <c r="I175" s="1">
        <v>397.16655732752588</v>
      </c>
      <c r="J175" s="1" t="s">
        <v>16</v>
      </c>
      <c r="K175" s="1">
        <f t="shared" si="6"/>
        <v>0.49386283678899767</v>
      </c>
      <c r="L175" s="1">
        <f t="shared" si="7"/>
        <v>0.91616460853371584</v>
      </c>
      <c r="M175" s="1">
        <f t="shared" si="8"/>
        <v>194.24842276759699</v>
      </c>
      <c r="N175" s="1">
        <f>SLOPE(K175:K178,F175:F178)</f>
        <v>9.0169196663998336E-2</v>
      </c>
      <c r="O175" s="1">
        <f>SLOPE(L175:L178,F175:F178)</f>
        <v>1.4142026114599471E-4</v>
      </c>
      <c r="P175" s="1">
        <f>SLOPE(M175:M178,F175:F178)</f>
        <v>20.832720568709977</v>
      </c>
      <c r="Q175" s="1">
        <f>(N175*41.35/0.31*60)/1000</f>
        <v>0.7216444416883222</v>
      </c>
      <c r="R175" s="1">
        <f>O175*41.35/0.31*60/1000</f>
        <v>1.1318182835587513E-3</v>
      </c>
      <c r="S175" s="1">
        <f>(P175*41.35/0.31*60)/1000</f>
        <v>166.72896687409499</v>
      </c>
    </row>
    <row r="176" spans="1:19" x14ac:dyDescent="0.3">
      <c r="A176" s="1">
        <v>174</v>
      </c>
      <c r="C176" s="1" t="s">
        <v>15</v>
      </c>
      <c r="D176" s="1">
        <v>25.7</v>
      </c>
      <c r="E176" s="1">
        <v>306</v>
      </c>
      <c r="F176" s="1">
        <v>15</v>
      </c>
      <c r="G176" s="1">
        <v>1.8857872423354838</v>
      </c>
      <c r="H176" s="1">
        <v>1.8760950671798622</v>
      </c>
      <c r="I176" s="1">
        <v>1117.8714851180077</v>
      </c>
      <c r="J176" s="1" t="s">
        <v>16</v>
      </c>
      <c r="K176" s="1">
        <f t="shared" si="6"/>
        <v>2.1546841259541067</v>
      </c>
      <c r="L176" s="1">
        <f t="shared" si="7"/>
        <v>0.91868997033989441</v>
      </c>
      <c r="M176" s="1">
        <f t="shared" si="8"/>
        <v>546.73478628759392</v>
      </c>
    </row>
    <row r="177" spans="1:19" x14ac:dyDescent="0.3">
      <c r="A177" s="1">
        <v>175</v>
      </c>
      <c r="C177" s="1" t="s">
        <v>15</v>
      </c>
      <c r="D177" s="1">
        <v>25.7</v>
      </c>
      <c r="E177" s="1">
        <v>307</v>
      </c>
      <c r="F177" s="1">
        <v>30</v>
      </c>
      <c r="G177" s="1">
        <v>3.4833020431017672</v>
      </c>
      <c r="H177" s="1">
        <v>1.8699064912984955</v>
      </c>
      <c r="I177" s="1">
        <v>2015.9227093075569</v>
      </c>
      <c r="J177" s="1" t="s">
        <v>16</v>
      </c>
      <c r="K177" s="1">
        <f t="shared" si="6"/>
        <v>3.9799906636761855</v>
      </c>
      <c r="L177" s="1">
        <f t="shared" si="7"/>
        <v>0.91565953617248019</v>
      </c>
      <c r="M177" s="1">
        <f t="shared" si="8"/>
        <v>985.95866011308419</v>
      </c>
    </row>
    <row r="178" spans="1:19" x14ac:dyDescent="0.3">
      <c r="A178" s="1">
        <v>176</v>
      </c>
      <c r="C178" s="1" t="s">
        <v>15</v>
      </c>
      <c r="D178" s="1">
        <v>25.7</v>
      </c>
      <c r="E178" s="1">
        <v>308</v>
      </c>
      <c r="F178" s="1">
        <v>45</v>
      </c>
      <c r="G178" s="1">
        <v>3.845545732623644</v>
      </c>
      <c r="H178" s="1">
        <v>1.8874407896290344</v>
      </c>
      <c r="I178" s="1">
        <v>2227.5785921594761</v>
      </c>
      <c r="J178" s="1" t="s">
        <v>16</v>
      </c>
      <c r="K178" s="1">
        <f t="shared" si="6"/>
        <v>4.3938871574148886</v>
      </c>
      <c r="L178" s="1">
        <f t="shared" si="7"/>
        <v>0.92424576631348698</v>
      </c>
      <c r="M178" s="1">
        <f t="shared" si="8"/>
        <v>1089.4764932612659</v>
      </c>
    </row>
    <row r="179" spans="1:19" x14ac:dyDescent="0.3">
      <c r="A179" s="1">
        <v>177</v>
      </c>
      <c r="C179" s="1" t="s">
        <v>15</v>
      </c>
      <c r="D179" s="1">
        <v>25.7</v>
      </c>
      <c r="E179" s="1">
        <v>309</v>
      </c>
      <c r="F179" s="1">
        <v>0</v>
      </c>
      <c r="G179" s="1">
        <v>0.44055090814090075</v>
      </c>
      <c r="H179" s="1">
        <v>1.849277905027273</v>
      </c>
      <c r="I179" s="1">
        <v>391.03709394363989</v>
      </c>
      <c r="J179" s="1" t="s">
        <v>16</v>
      </c>
      <c r="K179" s="1">
        <f t="shared" si="6"/>
        <v>0.50336964167296683</v>
      </c>
      <c r="L179" s="1">
        <f t="shared" si="7"/>
        <v>0.90555808894776624</v>
      </c>
      <c r="M179" s="1">
        <f t="shared" si="8"/>
        <v>191.25059081834323</v>
      </c>
      <c r="N179" s="1">
        <f>SLOPE(K179:K182,F179:F182)</f>
        <v>0.17312132649591991</v>
      </c>
      <c r="O179" s="1">
        <f>SLOPE(L179:L182,F179:F182)</f>
        <v>1.9866179541937331E-4</v>
      </c>
      <c r="P179" s="1">
        <f>SLOPE(M179:M182,F179:F182)</f>
        <v>29.533936399121608</v>
      </c>
      <c r="Q179" s="1">
        <f>(N179*41.35/0.31*60)/1000</f>
        <v>1.3855290678592815</v>
      </c>
      <c r="R179" s="1">
        <f>O179*41.35/0.31*60/1000</f>
        <v>1.5899352078563393E-3</v>
      </c>
      <c r="S179" s="1">
        <f>(P179*41.35/0.31*60)/1000</f>
        <v>236.36676195555069</v>
      </c>
    </row>
    <row r="180" spans="1:19" x14ac:dyDescent="0.3">
      <c r="A180" s="1">
        <v>178</v>
      </c>
      <c r="C180" s="1" t="s">
        <v>15</v>
      </c>
      <c r="D180" s="1">
        <v>25.7</v>
      </c>
      <c r="E180" s="1">
        <v>310</v>
      </c>
      <c r="F180" s="1">
        <v>15</v>
      </c>
      <c r="G180" s="1">
        <v>2.7125444791063842</v>
      </c>
      <c r="H180" s="1">
        <v>1.873000779239179</v>
      </c>
      <c r="I180" s="1">
        <v>1237.3386978265903</v>
      </c>
      <c r="J180" s="1" t="s">
        <v>16</v>
      </c>
      <c r="K180" s="1">
        <f t="shared" si="6"/>
        <v>3.099329764706936</v>
      </c>
      <c r="L180" s="1">
        <f t="shared" si="7"/>
        <v>0.91717475325618725</v>
      </c>
      <c r="M180" s="1">
        <f t="shared" si="8"/>
        <v>605.16447331168524</v>
      </c>
    </row>
    <row r="181" spans="1:19" x14ac:dyDescent="0.3">
      <c r="A181" s="1">
        <v>179</v>
      </c>
      <c r="C181" s="1" t="s">
        <v>15</v>
      </c>
      <c r="D181" s="1">
        <v>25.7</v>
      </c>
      <c r="E181" s="1">
        <v>311</v>
      </c>
      <c r="F181" s="1">
        <v>30</v>
      </c>
      <c r="G181" s="1">
        <v>5.8451424016271485</v>
      </c>
      <c r="H181" s="1">
        <v>1.8843465016883512</v>
      </c>
      <c r="I181" s="1">
        <v>2508.0756036463972</v>
      </c>
      <c r="J181" s="1" t="s">
        <v>16</v>
      </c>
      <c r="K181" s="1">
        <f t="shared" si="6"/>
        <v>6.6786089459007565</v>
      </c>
      <c r="L181" s="1">
        <f t="shared" si="7"/>
        <v>0.92273054922977982</v>
      </c>
      <c r="M181" s="1">
        <f t="shared" si="8"/>
        <v>1226.6635274340013</v>
      </c>
    </row>
    <row r="182" spans="1:19" x14ac:dyDescent="0.3">
      <c r="A182" s="1">
        <v>180</v>
      </c>
      <c r="C182" s="1" t="s">
        <v>15</v>
      </c>
      <c r="D182" s="1">
        <v>25.7</v>
      </c>
      <c r="E182" s="1">
        <v>312</v>
      </c>
      <c r="F182" s="1">
        <v>45</v>
      </c>
      <c r="G182" s="1">
        <v>6.9721717626180215</v>
      </c>
      <c r="H182" s="1">
        <v>1.8657807740442509</v>
      </c>
      <c r="I182" s="1">
        <v>2986.7598207755459</v>
      </c>
      <c r="J182" s="1" t="s">
        <v>16</v>
      </c>
      <c r="K182" s="1">
        <f t="shared" si="6"/>
        <v>7.9663429060710218</v>
      </c>
      <c r="L182" s="1">
        <f t="shared" si="7"/>
        <v>0.91363924672753738</v>
      </c>
      <c r="M182" s="1">
        <f t="shared" si="8"/>
        <v>1460.7810594003181</v>
      </c>
    </row>
    <row r="183" spans="1:19" x14ac:dyDescent="0.3">
      <c r="A183" s="1">
        <v>181</v>
      </c>
      <c r="C183" s="1" t="s">
        <v>15</v>
      </c>
      <c r="D183" s="1">
        <v>25.7</v>
      </c>
      <c r="E183" s="1">
        <v>313</v>
      </c>
      <c r="F183" s="1">
        <v>0</v>
      </c>
      <c r="G183" s="1">
        <v>0.44208462050722785</v>
      </c>
      <c r="H183" s="1">
        <v>1.8668122033578121</v>
      </c>
      <c r="I183" s="1">
        <v>397.88011748204684</v>
      </c>
      <c r="J183" s="1" t="s">
        <v>16</v>
      </c>
      <c r="K183" s="1">
        <f t="shared" si="6"/>
        <v>0.50512204810319161</v>
      </c>
      <c r="L183" s="1">
        <f t="shared" si="7"/>
        <v>0.91414431908877314</v>
      </c>
      <c r="M183" s="1">
        <f t="shared" si="8"/>
        <v>194.59741472577738</v>
      </c>
      <c r="N183" s="1">
        <f>SLOPE(K183:K186,F183:F186)</f>
        <v>0.10863883026922104</v>
      </c>
      <c r="O183" s="1">
        <f>SLOPE(L183:L186,F183:F186)</f>
        <v>3.2661346026574925E-4</v>
      </c>
      <c r="P183" s="1">
        <f>SLOPE(M183:M186,F183:F186)</f>
        <v>23.139593298344806</v>
      </c>
      <c r="Q183" s="1">
        <f>(N183*41.35/0.31*60)/1000</f>
        <v>0.86946108999334659</v>
      </c>
      <c r="R183" s="1">
        <f>O183*41.35/0.31*60/1000</f>
        <v>2.6139612739333028E-3</v>
      </c>
      <c r="S183" s="1">
        <f>(P183*41.35/0.31*60)/1000</f>
        <v>185.19139023610796</v>
      </c>
    </row>
    <row r="184" spans="1:19" x14ac:dyDescent="0.3">
      <c r="A184" s="1">
        <v>182</v>
      </c>
      <c r="C184" s="1" t="s">
        <v>15</v>
      </c>
      <c r="D184" s="1">
        <v>25.7</v>
      </c>
      <c r="E184" s="1">
        <v>314</v>
      </c>
      <c r="F184" s="1">
        <v>15</v>
      </c>
      <c r="G184" s="1">
        <v>2.2468998189871945</v>
      </c>
      <c r="H184" s="1">
        <v>1.8812522137476677</v>
      </c>
      <c r="I184" s="1">
        <v>1234.1625296837808</v>
      </c>
      <c r="J184" s="1" t="s">
        <v>16</v>
      </c>
      <c r="K184" s="1">
        <f t="shared" si="6"/>
        <v>2.5672882199505196</v>
      </c>
      <c r="L184" s="1">
        <f t="shared" si="7"/>
        <v>0.92121533214607276</v>
      </c>
      <c r="M184" s="1">
        <f t="shared" si="8"/>
        <v>603.61105537957906</v>
      </c>
    </row>
    <row r="185" spans="1:19" x14ac:dyDescent="0.3">
      <c r="A185" s="1">
        <v>183</v>
      </c>
      <c r="C185" s="1" t="s">
        <v>15</v>
      </c>
      <c r="D185" s="1">
        <v>25.7</v>
      </c>
      <c r="E185" s="1">
        <v>315</v>
      </c>
      <c r="F185" s="1">
        <v>30</v>
      </c>
      <c r="G185" s="1">
        <v>3.8239012168538524</v>
      </c>
      <c r="H185" s="1">
        <v>1.8853779310019123</v>
      </c>
      <c r="I185" s="1">
        <v>2050.1580047931643</v>
      </c>
      <c r="J185" s="1" t="s">
        <v>16</v>
      </c>
      <c r="K185" s="1">
        <f t="shared" si="6"/>
        <v>4.369156321668342</v>
      </c>
      <c r="L185" s="1">
        <f t="shared" si="7"/>
        <v>0.92323562159101558</v>
      </c>
      <c r="M185" s="1">
        <f t="shared" si="8"/>
        <v>1002.7026483174531</v>
      </c>
    </row>
    <row r="186" spans="1:19" x14ac:dyDescent="0.3">
      <c r="A186" s="1">
        <v>184</v>
      </c>
      <c r="C186" s="1" t="s">
        <v>15</v>
      </c>
      <c r="D186" s="1">
        <v>25.7</v>
      </c>
      <c r="E186" s="1">
        <v>316</v>
      </c>
      <c r="F186" s="1">
        <v>45</v>
      </c>
      <c r="G186" s="1">
        <v>4.6704721002572409</v>
      </c>
      <c r="H186" s="1">
        <v>1.898786512078207</v>
      </c>
      <c r="I186" s="1">
        <v>2491.4793684329575</v>
      </c>
      <c r="J186" s="1" t="s">
        <v>16</v>
      </c>
      <c r="K186" s="1">
        <f t="shared" si="6"/>
        <v>5.3364408609916367</v>
      </c>
      <c r="L186" s="1">
        <f t="shared" si="7"/>
        <v>0.92980156228707966</v>
      </c>
      <c r="M186" s="1">
        <f t="shared" si="8"/>
        <v>1218.5465486637263</v>
      </c>
    </row>
    <row r="187" spans="1:19" x14ac:dyDescent="0.3">
      <c r="A187" s="1">
        <v>185</v>
      </c>
      <c r="C187" s="1" t="s">
        <v>15</v>
      </c>
      <c r="D187" s="1">
        <v>25.7</v>
      </c>
      <c r="E187" s="1">
        <v>317</v>
      </c>
      <c r="F187" s="1">
        <v>0</v>
      </c>
      <c r="G187" s="1">
        <v>0.44683912884284172</v>
      </c>
      <c r="H187" s="1">
        <v>1.8791893551205456</v>
      </c>
      <c r="I187" s="1">
        <v>392.26060197208579</v>
      </c>
      <c r="J187" s="1" t="s">
        <v>16</v>
      </c>
      <c r="K187" s="1">
        <f t="shared" si="6"/>
        <v>0.51055450803688807</v>
      </c>
      <c r="L187" s="1">
        <f t="shared" si="7"/>
        <v>0.92020518742360147</v>
      </c>
      <c r="M187" s="1">
        <f t="shared" si="8"/>
        <v>191.84899091116148</v>
      </c>
      <c r="N187" s="1">
        <f>SLOPE(K187:K190,F187:F190)</f>
        <v>0.13364975897686515</v>
      </c>
      <c r="O187" s="1">
        <f>SLOPE(L187:L190,F187:F190)</f>
        <v>2.9294196951670088E-4</v>
      </c>
      <c r="P187" s="1">
        <f>SLOPE(M187:M190,F187:F190)</f>
        <v>25.865827564291475</v>
      </c>
      <c r="Q187" s="1">
        <f>(N187*41.35/0.31*60)/1000</f>
        <v>1.0696292000696854</v>
      </c>
      <c r="R187" s="1">
        <f>O187*41.35/0.31*60/1000</f>
        <v>2.3444807302288226E-3</v>
      </c>
      <c r="S187" s="1">
        <f>(P187*41.35/0.31*60)/1000</f>
        <v>207.01005866776501</v>
      </c>
    </row>
    <row r="188" spans="1:19" x14ac:dyDescent="0.3">
      <c r="A188" s="1">
        <v>186</v>
      </c>
      <c r="C188" s="1" t="s">
        <v>15</v>
      </c>
      <c r="D188" s="1">
        <v>25.7</v>
      </c>
      <c r="E188" s="1">
        <v>318</v>
      </c>
      <c r="F188" s="1">
        <v>15</v>
      </c>
      <c r="G188" s="1">
        <v>2.2151903158133819</v>
      </c>
      <c r="H188" s="1">
        <v>1.8544350515950787</v>
      </c>
      <c r="I188" s="1">
        <v>1292.6597875955345</v>
      </c>
      <c r="J188" s="1" t="s">
        <v>16</v>
      </c>
      <c r="K188" s="1">
        <f t="shared" si="6"/>
        <v>2.5310572170056229</v>
      </c>
      <c r="L188" s="1">
        <f t="shared" si="7"/>
        <v>0.90808345075394481</v>
      </c>
      <c r="M188" s="1">
        <f t="shared" si="8"/>
        <v>632.22121873786239</v>
      </c>
    </row>
    <row r="189" spans="1:19" x14ac:dyDescent="0.3">
      <c r="A189" s="1">
        <v>187</v>
      </c>
      <c r="C189" s="1" t="s">
        <v>15</v>
      </c>
      <c r="D189" s="1">
        <v>25.7</v>
      </c>
      <c r="E189" s="1">
        <v>319</v>
      </c>
      <c r="F189" s="1">
        <v>30</v>
      </c>
      <c r="G189" s="1">
        <v>3.8564255047222766</v>
      </c>
      <c r="H189" s="1">
        <v>1.8791893551205456</v>
      </c>
      <c r="I189" s="1">
        <v>1922.5829877581491</v>
      </c>
      <c r="J189" s="1" t="s">
        <v>16</v>
      </c>
      <c r="K189" s="1">
        <f t="shared" si="6"/>
        <v>4.4063182905292955</v>
      </c>
      <c r="L189" s="1">
        <f t="shared" si="7"/>
        <v>0.92020518742360147</v>
      </c>
      <c r="M189" s="1">
        <f t="shared" si="8"/>
        <v>940.30755138293182</v>
      </c>
    </row>
    <row r="190" spans="1:19" x14ac:dyDescent="0.3">
      <c r="A190" s="1">
        <v>188</v>
      </c>
      <c r="C190" s="1" t="s">
        <v>15</v>
      </c>
      <c r="D190" s="1">
        <v>25.7</v>
      </c>
      <c r="E190" s="1">
        <v>320</v>
      </c>
      <c r="F190" s="1">
        <v>45</v>
      </c>
      <c r="G190" s="1">
        <v>5.7482980513958841</v>
      </c>
      <c r="H190" s="1">
        <v>1.9008493707053291</v>
      </c>
      <c r="I190" s="1">
        <v>2826.5912469137825</v>
      </c>
      <c r="J190" s="1" t="s">
        <v>16</v>
      </c>
      <c r="K190" s="1">
        <f t="shared" si="6"/>
        <v>6.5679554323722549</v>
      </c>
      <c r="L190" s="1">
        <f t="shared" si="7"/>
        <v>0.93081170700955096</v>
      </c>
      <c r="M190" s="1">
        <f t="shared" si="8"/>
        <v>1382.4449249107122</v>
      </c>
    </row>
    <row r="191" spans="1:19" x14ac:dyDescent="0.3">
      <c r="A191" s="1">
        <v>189</v>
      </c>
      <c r="C191" s="1" t="s">
        <v>15</v>
      </c>
      <c r="D191" s="1">
        <v>25.7</v>
      </c>
      <c r="E191" s="1">
        <v>321</v>
      </c>
      <c r="F191" s="1">
        <v>0</v>
      </c>
      <c r="G191" s="1">
        <v>0.44393466104910989</v>
      </c>
      <c r="H191" s="1">
        <v>1.8709379206120564</v>
      </c>
      <c r="I191" s="1">
        <v>391.45349022918299</v>
      </c>
      <c r="J191" s="1" t="s">
        <v>16</v>
      </c>
      <c r="K191" s="1">
        <f t="shared" si="6"/>
        <v>0.50723588835965017</v>
      </c>
      <c r="L191" s="1">
        <f t="shared" si="7"/>
        <v>0.91616460853371584</v>
      </c>
      <c r="M191" s="1">
        <f t="shared" si="8"/>
        <v>191.45424422324538</v>
      </c>
      <c r="N191" s="1">
        <f>SLOPE(K191:K194,F191:F194)</f>
        <v>0.2118779852083775</v>
      </c>
      <c r="O191" s="1">
        <f>SLOPE(L191:L194,F191:F194)</f>
        <v>1.3468596299622456E-5</v>
      </c>
      <c r="P191" s="1">
        <f>SLOPE(M191:M194,F191:F194)</f>
        <v>26.864076146916656</v>
      </c>
      <c r="Q191" s="1">
        <f>(N191*41.35/0.31*60)/1000</f>
        <v>1.6957073590386602</v>
      </c>
      <c r="R191" s="1">
        <f>O191*41.35/0.31*60/1000</f>
        <v>1.0779221748181716E-4</v>
      </c>
      <c r="S191" s="1">
        <f>(P191*41.35/0.31*60)/1000</f>
        <v>214.99926748548461</v>
      </c>
    </row>
    <row r="192" spans="1:19" x14ac:dyDescent="0.3">
      <c r="A192" s="1">
        <v>190</v>
      </c>
      <c r="C192" s="1" t="s">
        <v>15</v>
      </c>
      <c r="D192" s="1">
        <v>25.7</v>
      </c>
      <c r="E192" s="1">
        <v>322</v>
      </c>
      <c r="F192" s="1">
        <v>15</v>
      </c>
      <c r="G192" s="1">
        <v>2.8309758308937032</v>
      </c>
      <c r="H192" s="1">
        <v>1.9070379465866958</v>
      </c>
      <c r="I192" s="1">
        <v>1015.4884433583472</v>
      </c>
      <c r="J192" s="1" t="s">
        <v>16</v>
      </c>
      <c r="K192" s="1">
        <f t="shared" si="6"/>
        <v>3.2346483987408523</v>
      </c>
      <c r="L192" s="1">
        <f t="shared" si="7"/>
        <v>0.93384214117696496</v>
      </c>
      <c r="M192" s="1">
        <f t="shared" si="8"/>
        <v>496.66072034965407</v>
      </c>
    </row>
    <row r="193" spans="1:19" x14ac:dyDescent="0.3">
      <c r="A193" s="1">
        <v>191</v>
      </c>
      <c r="C193" s="1" t="s">
        <v>15</v>
      </c>
      <c r="D193" s="1">
        <v>25.7</v>
      </c>
      <c r="E193" s="1">
        <v>323</v>
      </c>
      <c r="F193" s="1">
        <v>30</v>
      </c>
      <c r="G193" s="1">
        <v>6.9050526751866332</v>
      </c>
      <c r="H193" s="1">
        <v>1.8956922241375236</v>
      </c>
      <c r="I193" s="1">
        <v>2259.2412189645806</v>
      </c>
      <c r="J193" s="1" t="s">
        <v>16</v>
      </c>
      <c r="K193" s="1">
        <f t="shared" si="6"/>
        <v>7.889653219668312</v>
      </c>
      <c r="L193" s="1">
        <f t="shared" si="7"/>
        <v>0.92828634520337261</v>
      </c>
      <c r="M193" s="1">
        <f t="shared" si="8"/>
        <v>1104.9622263979022</v>
      </c>
    </row>
    <row r="194" spans="1:19" x14ac:dyDescent="0.3">
      <c r="A194" s="1">
        <v>192</v>
      </c>
      <c r="C194" s="1" t="s">
        <v>15</v>
      </c>
      <c r="D194" s="1">
        <v>25.7</v>
      </c>
      <c r="E194" s="1">
        <v>324</v>
      </c>
      <c r="F194" s="1">
        <v>45</v>
      </c>
      <c r="G194" s="1">
        <v>8.3577275143579008</v>
      </c>
      <c r="H194" s="1">
        <v>1.8760950671798622</v>
      </c>
      <c r="I194" s="1">
        <v>2723.2268306485466</v>
      </c>
      <c r="J194" s="1" t="s">
        <v>16</v>
      </c>
      <c r="K194" s="1">
        <f t="shared" si="6"/>
        <v>9.549466875136039</v>
      </c>
      <c r="L194" s="1">
        <f t="shared" si="7"/>
        <v>0.91868997033989441</v>
      </c>
      <c r="M194" s="1">
        <f t="shared" si="8"/>
        <v>1331.8908828863287</v>
      </c>
    </row>
    <row r="195" spans="1:19" x14ac:dyDescent="0.3">
      <c r="A195" s="1">
        <v>193</v>
      </c>
      <c r="C195" s="1" t="s">
        <v>15</v>
      </c>
      <c r="D195" s="1">
        <v>25.7</v>
      </c>
      <c r="E195" s="1">
        <v>325</v>
      </c>
      <c r="F195" s="1">
        <v>0</v>
      </c>
      <c r="G195" s="1">
        <v>0.48079168635240743</v>
      </c>
      <c r="H195" s="1">
        <v>1.8719693499256176</v>
      </c>
      <c r="I195" s="1">
        <v>407.99194357921027</v>
      </c>
      <c r="J195" s="1" t="s">
        <v>16</v>
      </c>
      <c r="K195" s="1">
        <f t="shared" ref="K195:K258" si="9">(G195*28*1)/(0.082*(D195+273.15))</f>
        <v>0.54934840538598817</v>
      </c>
      <c r="L195" s="1">
        <f t="shared" ref="L195:L258" si="10">(H195*12*1)/(0.082*(D195+273.15))</f>
        <v>0.9166696808949516</v>
      </c>
      <c r="M195" s="1">
        <f t="shared" ref="M195:M258" si="11">(I195*12*1)/(0.0821*(D195+273.15))</f>
        <v>199.54296271927177</v>
      </c>
      <c r="N195" s="1">
        <f>SLOPE(K195:K198,F195:F198)</f>
        <v>0.29882290007463153</v>
      </c>
      <c r="O195" s="1">
        <f>SLOPE(L195:L198,F195:F198)</f>
        <v>2.8957482044179362E-4</v>
      </c>
      <c r="P195" s="1">
        <f>SLOPE(M195:M198,F195:F198)</f>
        <v>21.279941651572027</v>
      </c>
      <c r="Q195" s="1">
        <f>(N195*41.35/0.31*60)/1000</f>
        <v>2.3915471454360029</v>
      </c>
      <c r="R195" s="1">
        <f>O195*41.35/0.31*60/1000</f>
        <v>2.3175326758583551E-3</v>
      </c>
      <c r="S195" s="1">
        <f>(P195*41.35/0.31*60)/1000</f>
        <v>170.3081781856458</v>
      </c>
    </row>
    <row r="196" spans="1:19" x14ac:dyDescent="0.3">
      <c r="A196" s="1">
        <v>194</v>
      </c>
      <c r="C196" s="1" t="s">
        <v>15</v>
      </c>
      <c r="D196" s="1">
        <v>25.7</v>
      </c>
      <c r="E196" s="1">
        <v>326</v>
      </c>
      <c r="F196" s="1">
        <v>15</v>
      </c>
      <c r="G196" s="1">
        <v>4.7213913508193004</v>
      </c>
      <c r="H196" s="1">
        <v>1.8853779310019123</v>
      </c>
      <c r="I196" s="1">
        <v>1013.5156054504108</v>
      </c>
      <c r="J196" s="1" t="s">
        <v>16</v>
      </c>
      <c r="K196" s="1">
        <f t="shared" si="9"/>
        <v>5.3946207544750981</v>
      </c>
      <c r="L196" s="1">
        <f t="shared" si="10"/>
        <v>0.92323562159101558</v>
      </c>
      <c r="M196" s="1">
        <f t="shared" si="11"/>
        <v>495.6958338431682</v>
      </c>
    </row>
    <row r="197" spans="1:19" x14ac:dyDescent="0.3">
      <c r="A197" s="1">
        <v>195</v>
      </c>
      <c r="C197" s="1" t="s">
        <v>15</v>
      </c>
      <c r="D197" s="1">
        <v>25.7</v>
      </c>
      <c r="E197" s="1">
        <v>327</v>
      </c>
      <c r="F197" s="1">
        <v>30</v>
      </c>
      <c r="G197" s="1">
        <v>10.777570957437316</v>
      </c>
      <c r="H197" s="1">
        <v>1.8967236534510845</v>
      </c>
      <c r="I197" s="1">
        <v>2000.2537354260207</v>
      </c>
      <c r="J197" s="1" t="s">
        <v>16</v>
      </c>
      <c r="K197" s="1">
        <f t="shared" si="9"/>
        <v>12.314358978043675</v>
      </c>
      <c r="L197" s="1">
        <f t="shared" si="10"/>
        <v>0.92879141756460804</v>
      </c>
      <c r="M197" s="1">
        <f t="shared" si="11"/>
        <v>978.29519145813128</v>
      </c>
    </row>
    <row r="198" spans="1:19" x14ac:dyDescent="0.3">
      <c r="A198" s="1">
        <v>196</v>
      </c>
      <c r="C198" s="1" t="s">
        <v>15</v>
      </c>
      <c r="D198" s="1">
        <v>25.7</v>
      </c>
      <c r="E198" s="1">
        <v>328</v>
      </c>
      <c r="F198" s="1">
        <v>45</v>
      </c>
      <c r="G198" s="1">
        <v>11.5386086193111</v>
      </c>
      <c r="H198" s="1">
        <v>1.8977550827646457</v>
      </c>
      <c r="I198" s="1">
        <v>2254.5618052006143</v>
      </c>
      <c r="J198" s="1" t="s">
        <v>16</v>
      </c>
      <c r="K198" s="1">
        <f t="shared" si="9"/>
        <v>13.183914001261373</v>
      </c>
      <c r="L198" s="1">
        <f t="shared" si="10"/>
        <v>0.92929648992584379</v>
      </c>
      <c r="M198" s="1">
        <f t="shared" si="11"/>
        <v>1102.6735927595521</v>
      </c>
    </row>
    <row r="199" spans="1:19" x14ac:dyDescent="0.3">
      <c r="A199" s="1">
        <v>197</v>
      </c>
      <c r="C199" s="1" t="s">
        <v>15</v>
      </c>
      <c r="D199" s="1">
        <v>25.7</v>
      </c>
      <c r="E199" s="1">
        <v>329</v>
      </c>
      <c r="F199" s="1">
        <v>0</v>
      </c>
      <c r="G199" s="1">
        <v>0.44491240268264337</v>
      </c>
      <c r="H199" s="1">
        <v>1.9018808000188903</v>
      </c>
      <c r="I199" s="1">
        <v>397.5334263015726</v>
      </c>
      <c r="J199" s="1" t="s">
        <v>129</v>
      </c>
      <c r="K199" s="1">
        <f t="shared" si="9"/>
        <v>0.50835304745891841</v>
      </c>
      <c r="L199" s="1">
        <f t="shared" si="10"/>
        <v>0.93131677937078661</v>
      </c>
      <c r="M199" s="1">
        <f t="shared" si="11"/>
        <v>194.42785308028613</v>
      </c>
      <c r="N199" s="1">
        <f>SLOPE(K199:K202,F199:F202)</f>
        <v>-6.1239303042895116E-4</v>
      </c>
      <c r="O199" s="1">
        <f>SLOPE(L199:L202,F199:F202)</f>
        <v>9.7647323172233381E-5</v>
      </c>
      <c r="P199" s="1">
        <f>SLOPE(M199:M202,F199:F202)</f>
        <v>26.697648550887056</v>
      </c>
      <c r="Q199" s="1">
        <f>(N199*41.35/0.31*60)/1000</f>
        <v>-4.9011197048200901E-3</v>
      </c>
      <c r="R199" s="1">
        <f>O199*41.35/0.31*60/1000</f>
        <v>7.8149357674293875E-4</v>
      </c>
      <c r="S199" s="1">
        <f>(P199*41.35/0.31*60)/1000</f>
        <v>213.66730985403481</v>
      </c>
    </row>
    <row r="200" spans="1:19" x14ac:dyDescent="0.3">
      <c r="A200" s="1">
        <v>198</v>
      </c>
      <c r="C200" s="1" t="s">
        <v>15</v>
      </c>
      <c r="D200" s="1">
        <v>25.7</v>
      </c>
      <c r="E200" s="1">
        <v>330</v>
      </c>
      <c r="F200" s="1">
        <v>15</v>
      </c>
      <c r="G200" s="1">
        <v>0.42658453990503481</v>
      </c>
      <c r="H200" s="1">
        <v>1.8740322085527401</v>
      </c>
      <c r="I200" s="1">
        <v>1451.3700572854621</v>
      </c>
      <c r="J200" s="1" t="s">
        <v>129</v>
      </c>
      <c r="K200" s="1">
        <f t="shared" si="9"/>
        <v>0.48741179061773282</v>
      </c>
      <c r="L200" s="1">
        <f t="shared" si="10"/>
        <v>0.91767982561742301</v>
      </c>
      <c r="M200" s="1">
        <f t="shared" si="11"/>
        <v>709.84411773452905</v>
      </c>
    </row>
    <row r="201" spans="1:19" x14ac:dyDescent="0.3">
      <c r="A201" s="1">
        <v>199</v>
      </c>
      <c r="C201" s="1" t="s">
        <v>15</v>
      </c>
      <c r="D201" s="1">
        <v>25.7</v>
      </c>
      <c r="E201" s="1">
        <v>331</v>
      </c>
      <c r="F201" s="1">
        <v>30</v>
      </c>
      <c r="G201" s="1">
        <v>0.42207925982894906</v>
      </c>
      <c r="H201" s="1">
        <v>1.8946607948239624</v>
      </c>
      <c r="I201" s="1">
        <v>2612.5727278690019</v>
      </c>
      <c r="J201" s="1" t="s">
        <v>129</v>
      </c>
      <c r="K201" s="1">
        <f t="shared" si="9"/>
        <v>0.48226409672894777</v>
      </c>
      <c r="L201" s="1">
        <f t="shared" si="10"/>
        <v>0.92778127284213685</v>
      </c>
      <c r="M201" s="1">
        <f t="shared" si="11"/>
        <v>1277.7715605488122</v>
      </c>
    </row>
    <row r="202" spans="1:19" x14ac:dyDescent="0.3">
      <c r="A202" s="1">
        <v>200</v>
      </c>
      <c r="C202" s="1" t="s">
        <v>15</v>
      </c>
      <c r="D202" s="1">
        <v>25.7</v>
      </c>
      <c r="E202" s="1">
        <v>332</v>
      </c>
      <c r="F202" s="1">
        <v>45</v>
      </c>
      <c r="G202" s="1">
        <v>0.41961573434053612</v>
      </c>
      <c r="H202" s="1">
        <v>1.9049750879595737</v>
      </c>
      <c r="I202" s="1">
        <v>2739.8093082754594</v>
      </c>
      <c r="J202" s="1" t="s">
        <v>129</v>
      </c>
      <c r="K202" s="1">
        <f t="shared" si="9"/>
        <v>0.4794492939003992</v>
      </c>
      <c r="L202" s="1">
        <f t="shared" si="10"/>
        <v>0.93283199645449366</v>
      </c>
      <c r="M202" s="1">
        <f t="shared" si="11"/>
        <v>1340.0011330198777</v>
      </c>
    </row>
    <row r="203" spans="1:19" x14ac:dyDescent="0.3">
      <c r="A203" s="1">
        <v>201</v>
      </c>
      <c r="C203" s="1" t="s">
        <v>15</v>
      </c>
      <c r="D203" s="1">
        <v>25.7</v>
      </c>
      <c r="E203" s="1" t="s">
        <v>114</v>
      </c>
      <c r="G203" s="1">
        <v>0.42351711517238066</v>
      </c>
      <c r="H203" s="1">
        <v>1.8956922241375236</v>
      </c>
      <c r="I203" s="1">
        <v>605.02626347049636</v>
      </c>
      <c r="K203" s="1">
        <f t="shared" si="9"/>
        <v>0.48390697775728342</v>
      </c>
      <c r="L203" s="1">
        <f t="shared" si="10"/>
        <v>0.92828634520337261</v>
      </c>
      <c r="M203" s="1">
        <f t="shared" si="11"/>
        <v>295.90960075522787</v>
      </c>
    </row>
    <row r="204" spans="1:19" x14ac:dyDescent="0.3">
      <c r="A204" s="1">
        <v>202</v>
      </c>
      <c r="C204" s="1" t="s">
        <v>15</v>
      </c>
      <c r="D204" s="1">
        <v>25.7</v>
      </c>
      <c r="E204" s="1" t="s">
        <v>115</v>
      </c>
      <c r="G204" s="1">
        <v>0.45861037125440207</v>
      </c>
      <c r="H204" s="1">
        <v>1.9132265224680625</v>
      </c>
      <c r="I204" s="1">
        <v>400.96181686403952</v>
      </c>
      <c r="K204" s="1">
        <f t="shared" si="9"/>
        <v>0.52400422738886299</v>
      </c>
      <c r="L204" s="1">
        <f t="shared" si="10"/>
        <v>0.93687257534437918</v>
      </c>
      <c r="M204" s="1">
        <f t="shared" si="11"/>
        <v>196.10462935236615</v>
      </c>
    </row>
    <row r="205" spans="1:19" x14ac:dyDescent="0.3">
      <c r="A205" s="1">
        <v>203</v>
      </c>
      <c r="B205" s="8" t="s">
        <v>139</v>
      </c>
      <c r="C205" s="1" t="s">
        <v>15</v>
      </c>
      <c r="D205" s="1">
        <v>25.7</v>
      </c>
      <c r="E205" s="1" t="s">
        <v>116</v>
      </c>
      <c r="F205"/>
      <c r="G205" s="1">
        <v>0.42189713148544766</v>
      </c>
      <c r="H205" s="1">
        <v>1.9121950931545015</v>
      </c>
      <c r="I205" s="1">
        <v>418.20924450641218</v>
      </c>
      <c r="K205" s="1">
        <f t="shared" si="9"/>
        <v>0.48205599846535846</v>
      </c>
      <c r="L205" s="1">
        <f t="shared" si="10"/>
        <v>0.93636750298314353</v>
      </c>
      <c r="M205" s="1">
        <f t="shared" si="11"/>
        <v>204.54009692766431</v>
      </c>
    </row>
    <row r="206" spans="1:19" x14ac:dyDescent="0.3">
      <c r="A206" s="1">
        <v>204</v>
      </c>
      <c r="B206" s="1" t="s">
        <v>62</v>
      </c>
      <c r="C206" s="1" t="s">
        <v>29</v>
      </c>
      <c r="D206" s="1">
        <v>24.6</v>
      </c>
      <c r="E206" s="1">
        <v>1</v>
      </c>
      <c r="F206" s="1">
        <v>0</v>
      </c>
      <c r="G206" s="1">
        <v>0.39108733796173556</v>
      </c>
      <c r="H206" s="1">
        <v>1.9501728727070013</v>
      </c>
      <c r="I206" s="1">
        <v>420.69402899977587</v>
      </c>
      <c r="J206" s="1" t="s">
        <v>129</v>
      </c>
      <c r="K206" s="1">
        <f t="shared" si="9"/>
        <v>0.44850383825555873</v>
      </c>
      <c r="L206" s="1">
        <f t="shared" si="10"/>
        <v>0.95849253435252257</v>
      </c>
      <c r="M206" s="1">
        <f t="shared" si="11"/>
        <v>206.51550649347615</v>
      </c>
      <c r="N206" s="1">
        <f>SLOPE(K206:K209,F206:F209)</f>
        <v>1.5784399403482401E-3</v>
      </c>
      <c r="O206" s="1">
        <f>SLOPE(L206:L209,F206:F209)</f>
        <v>-6.6231254281137481E-4</v>
      </c>
      <c r="P206" s="1">
        <f>SLOPE(M206:M209,F206:F209)</f>
        <v>8.7217564427291343</v>
      </c>
      <c r="Q206" s="1">
        <f>(N206*84.63/0.31*60)/1000</f>
        <v>2.5854846222904168E-2</v>
      </c>
      <c r="R206" s="1">
        <f>O206*84.63/0.31*60/1000</f>
        <v>-1.084867945125032E-2</v>
      </c>
      <c r="S206" s="1">
        <f>(P206*84.63/0.31*60)/1000</f>
        <v>142.8623705319032</v>
      </c>
    </row>
    <row r="207" spans="1:19" x14ac:dyDescent="0.3">
      <c r="A207" s="1">
        <v>205</v>
      </c>
      <c r="B207" s="1" t="s">
        <v>140</v>
      </c>
      <c r="C207" s="1" t="s">
        <v>29</v>
      </c>
      <c r="D207" s="1">
        <v>24.6</v>
      </c>
      <c r="E207" s="1">
        <v>2</v>
      </c>
      <c r="F207" s="1">
        <v>15</v>
      </c>
      <c r="G207" s="1">
        <v>0.41421928459783525</v>
      </c>
      <c r="H207" s="1">
        <v>1.9046372705470112</v>
      </c>
      <c r="I207" s="1">
        <v>739.16438327371395</v>
      </c>
      <c r="J207" s="1" t="s">
        <v>129</v>
      </c>
      <c r="K207" s="1">
        <f t="shared" si="9"/>
        <v>0.47503184324463504</v>
      </c>
      <c r="L207" s="1">
        <f t="shared" si="10"/>
        <v>0.93611219293334691</v>
      </c>
      <c r="M207" s="1">
        <f t="shared" si="11"/>
        <v>362.85018676552284</v>
      </c>
    </row>
    <row r="208" spans="1:19" x14ac:dyDescent="0.3">
      <c r="A208" s="1">
        <v>206</v>
      </c>
      <c r="C208" s="1" t="s">
        <v>29</v>
      </c>
      <c r="D208" s="1">
        <v>24.6</v>
      </c>
      <c r="E208" s="1">
        <v>3</v>
      </c>
      <c r="F208" s="1">
        <v>30</v>
      </c>
      <c r="G208" s="1">
        <v>0.43492480326511312</v>
      </c>
      <c r="H208" s="1">
        <v>1.8890885283460392</v>
      </c>
      <c r="I208" s="1">
        <v>994.28513640398035</v>
      </c>
      <c r="J208" s="1" t="s">
        <v>129</v>
      </c>
      <c r="K208" s="1">
        <f t="shared" si="9"/>
        <v>0.49877719036772405</v>
      </c>
      <c r="L208" s="1">
        <f t="shared" si="10"/>
        <v>0.92847012513167748</v>
      </c>
      <c r="M208" s="1">
        <f t="shared" si="11"/>
        <v>488.08702855041571</v>
      </c>
    </row>
    <row r="209" spans="1:19" x14ac:dyDescent="0.3">
      <c r="A209" s="1">
        <v>207</v>
      </c>
      <c r="C209" s="1" t="s">
        <v>29</v>
      </c>
      <c r="D209" s="1">
        <v>24.6</v>
      </c>
      <c r="E209" s="1">
        <v>4</v>
      </c>
      <c r="F209" s="1">
        <v>45</v>
      </c>
      <c r="G209" s="1">
        <v>0.45300407048378416</v>
      </c>
      <c r="H209" s="1">
        <v>1.8879779039031124</v>
      </c>
      <c r="I209" s="1">
        <v>1224.0110059794181</v>
      </c>
      <c r="J209" s="1" t="s">
        <v>129</v>
      </c>
      <c r="K209" s="1">
        <f t="shared" si="9"/>
        <v>0.51951071956527439</v>
      </c>
      <c r="L209" s="1">
        <f t="shared" si="10"/>
        <v>0.92792426314584364</v>
      </c>
      <c r="M209" s="1">
        <f t="shared" si="11"/>
        <v>600.85771470163525</v>
      </c>
    </row>
    <row r="210" spans="1:19" x14ac:dyDescent="0.3">
      <c r="A210" s="1">
        <v>208</v>
      </c>
      <c r="C210" s="1" t="s">
        <v>29</v>
      </c>
      <c r="D210" s="1">
        <v>24.6</v>
      </c>
      <c r="E210" s="1">
        <v>5</v>
      </c>
      <c r="F210" s="1">
        <v>0</v>
      </c>
      <c r="G210" s="1">
        <v>0.38851817893592444</v>
      </c>
      <c r="H210" s="1">
        <v>1.9324028816201757</v>
      </c>
      <c r="I210" s="1">
        <v>413.48238246199872</v>
      </c>
      <c r="J210" s="1" t="s">
        <v>16</v>
      </c>
      <c r="K210" s="1">
        <f t="shared" si="9"/>
        <v>0.44555749463274907</v>
      </c>
      <c r="L210" s="1">
        <f t="shared" si="10"/>
        <v>0.94975874257918569</v>
      </c>
      <c r="M210" s="1">
        <f t="shared" si="11"/>
        <v>202.97536393204757</v>
      </c>
      <c r="N210" s="1">
        <f>SLOPE(K210:K213,F210:F213)</f>
        <v>1.238119064607396E-3</v>
      </c>
      <c r="O210" s="1">
        <f>SLOPE(L210:L213,F210:F213)</f>
        <v>-3.8938154989459774E-4</v>
      </c>
      <c r="P210" s="1">
        <f>SLOPE(M210:M213,F210:F213)</f>
        <v>7.1956599049937795</v>
      </c>
      <c r="Q210" s="1">
        <f>(N210*84.63/0.31*60)/1000</f>
        <v>2.0280390278269146E-2</v>
      </c>
      <c r="R210" s="1">
        <f>O210*84.63/0.31*60/1000</f>
        <v>-6.3780697872735104E-3</v>
      </c>
      <c r="S210" s="1">
        <f>(P210*84.63/0.31*60)/1000</f>
        <v>117.8649092437981</v>
      </c>
    </row>
    <row r="211" spans="1:19" x14ac:dyDescent="0.3">
      <c r="A211" s="1">
        <v>209</v>
      </c>
      <c r="C211" s="1" t="s">
        <v>29</v>
      </c>
      <c r="D211" s="1">
        <v>24.6</v>
      </c>
      <c r="E211" s="1">
        <v>6</v>
      </c>
      <c r="F211" s="1">
        <v>15</v>
      </c>
      <c r="G211" s="1">
        <v>0.40548414391007731</v>
      </c>
      <c r="H211" s="1">
        <v>1.9224072616338368</v>
      </c>
      <c r="I211" s="1">
        <v>659.84527841046008</v>
      </c>
      <c r="J211" s="1" t="s">
        <v>16</v>
      </c>
      <c r="K211" s="1">
        <f t="shared" si="9"/>
        <v>0.46501427492708175</v>
      </c>
      <c r="L211" s="1">
        <f t="shared" si="10"/>
        <v>0.94484598470668379</v>
      </c>
      <c r="M211" s="1">
        <f t="shared" si="11"/>
        <v>323.91304008343207</v>
      </c>
    </row>
    <row r="212" spans="1:19" x14ac:dyDescent="0.3">
      <c r="A212" s="1">
        <v>210</v>
      </c>
      <c r="C212" s="1" t="s">
        <v>29</v>
      </c>
      <c r="D212" s="1">
        <v>24.6</v>
      </c>
      <c r="E212" s="1">
        <v>7</v>
      </c>
      <c r="F212" s="1">
        <v>30</v>
      </c>
      <c r="G212" s="1">
        <v>0.42169839198408537</v>
      </c>
      <c r="H212" s="1">
        <v>1.9035266461040847</v>
      </c>
      <c r="I212" s="1">
        <v>884.68932564184036</v>
      </c>
      <c r="J212" s="1" t="s">
        <v>16</v>
      </c>
      <c r="K212" s="1">
        <f t="shared" si="9"/>
        <v>0.48360897690214782</v>
      </c>
      <c r="L212" s="1">
        <f t="shared" si="10"/>
        <v>0.9355663309475134</v>
      </c>
      <c r="M212" s="1">
        <f t="shared" si="11"/>
        <v>434.28727669057042</v>
      </c>
    </row>
    <row r="213" spans="1:19" x14ac:dyDescent="0.3">
      <c r="A213" s="1">
        <v>211</v>
      </c>
      <c r="C213" s="1" t="s">
        <v>29</v>
      </c>
      <c r="D213" s="1">
        <v>24.6</v>
      </c>
      <c r="E213" s="1">
        <v>8</v>
      </c>
      <c r="F213" s="1">
        <v>45</v>
      </c>
      <c r="G213" s="1">
        <v>0.43709431533135368</v>
      </c>
      <c r="H213" s="1">
        <v>1.8990841483323784</v>
      </c>
      <c r="I213" s="1">
        <v>1071.4505549850671</v>
      </c>
      <c r="J213" s="1" t="s">
        <v>16</v>
      </c>
      <c r="K213" s="1">
        <f t="shared" si="9"/>
        <v>0.50126521387143019</v>
      </c>
      <c r="L213" s="1">
        <f t="shared" si="10"/>
        <v>0.93338288300417926</v>
      </c>
      <c r="M213" s="1">
        <f t="shared" si="11"/>
        <v>525.96694697935709</v>
      </c>
    </row>
    <row r="214" spans="1:19" x14ac:dyDescent="0.3">
      <c r="A214" s="1">
        <v>212</v>
      </c>
      <c r="C214" s="1" t="s">
        <v>29</v>
      </c>
      <c r="D214" s="1">
        <v>24.6</v>
      </c>
      <c r="E214" s="1">
        <v>9</v>
      </c>
      <c r="F214" s="1">
        <v>0</v>
      </c>
      <c r="G214" s="1">
        <v>0.40851955772205412</v>
      </c>
      <c r="H214" s="1">
        <v>1.9290710082913962</v>
      </c>
      <c r="I214" s="1">
        <v>468.99985124310507</v>
      </c>
      <c r="J214" s="1" t="s">
        <v>16</v>
      </c>
      <c r="K214" s="1">
        <f t="shared" si="9"/>
        <v>0.46849532535551247</v>
      </c>
      <c r="L214" s="1">
        <f t="shared" si="10"/>
        <v>0.94812115662168506</v>
      </c>
      <c r="M214" s="1">
        <f t="shared" si="11"/>
        <v>230.22846807480221</v>
      </c>
      <c r="N214" s="1">
        <f>SLOPE(K214:K217,F214:F217)</f>
        <v>7.8598262965029063E-4</v>
      </c>
      <c r="O214" s="1">
        <f>SLOPE(L214:L217,F214:F217)</f>
        <v>-4.0393786951682534E-4</v>
      </c>
      <c r="P214" s="1">
        <f>SLOPE(M214:M217,F214:F217)</f>
        <v>6.5421303955965531</v>
      </c>
      <c r="Q214" s="1">
        <f>(N214*84.63/0.31*60)/1000</f>
        <v>1.287439547367176E-2</v>
      </c>
      <c r="R214" s="1">
        <f>O214*84.63/0.31*60/1000</f>
        <v>-6.6165023026855986E-3</v>
      </c>
      <c r="S214" s="1">
        <f>(P214*84.63/0.31*60)/1000</f>
        <v>107.16009587987153</v>
      </c>
    </row>
    <row r="215" spans="1:19" x14ac:dyDescent="0.3">
      <c r="A215" s="1">
        <v>213</v>
      </c>
      <c r="C215" s="1" t="s">
        <v>29</v>
      </c>
      <c r="D215" s="1">
        <v>24.6</v>
      </c>
      <c r="E215" s="1">
        <v>10</v>
      </c>
      <c r="F215" s="1">
        <v>15</v>
      </c>
      <c r="G215" s="1">
        <v>0.40720643199775064</v>
      </c>
      <c r="H215" s="1">
        <v>1.9157435149762769</v>
      </c>
      <c r="I215" s="1">
        <v>668.39697417306161</v>
      </c>
      <c r="J215" s="1" t="s">
        <v>16</v>
      </c>
      <c r="K215" s="1">
        <f t="shared" si="9"/>
        <v>0.466989416392743</v>
      </c>
      <c r="L215" s="1">
        <f t="shared" si="10"/>
        <v>0.94157081279168242</v>
      </c>
      <c r="M215" s="1">
        <f t="shared" si="11"/>
        <v>328.11100264066323</v>
      </c>
    </row>
    <row r="216" spans="1:19" x14ac:dyDescent="0.3">
      <c r="A216" s="1">
        <v>214</v>
      </c>
      <c r="C216" s="1" t="s">
        <v>29</v>
      </c>
      <c r="D216" s="1">
        <v>24.6</v>
      </c>
      <c r="E216" s="1">
        <v>11</v>
      </c>
      <c r="F216" s="1">
        <v>30</v>
      </c>
      <c r="G216" s="1">
        <v>0.42274508640200847</v>
      </c>
      <c r="H216" s="1">
        <v>1.8990841483323784</v>
      </c>
      <c r="I216" s="1">
        <v>885.83322128334464</v>
      </c>
      <c r="J216" s="1" t="s">
        <v>16</v>
      </c>
      <c r="K216" s="1">
        <f t="shared" si="9"/>
        <v>0.4848093391188481</v>
      </c>
      <c r="L216" s="1">
        <f t="shared" si="10"/>
        <v>0.93338288300417926</v>
      </c>
      <c r="M216" s="1">
        <f t="shared" si="11"/>
        <v>434.84880638078869</v>
      </c>
    </row>
    <row r="217" spans="1:19" x14ac:dyDescent="0.3">
      <c r="A217" s="1">
        <v>215</v>
      </c>
      <c r="C217" s="1" t="s">
        <v>29</v>
      </c>
      <c r="D217" s="1">
        <v>24.6</v>
      </c>
      <c r="E217" s="1">
        <v>12</v>
      </c>
      <c r="F217" s="1">
        <v>45</v>
      </c>
      <c r="G217" s="1">
        <v>0.43760814713651586</v>
      </c>
      <c r="H217" s="1">
        <v>1.8935310261177454</v>
      </c>
      <c r="I217" s="1">
        <v>1062.8718380655798</v>
      </c>
      <c r="J217" s="1" t="s">
        <v>16</v>
      </c>
      <c r="K217" s="1">
        <f t="shared" si="9"/>
        <v>0.50185448259599197</v>
      </c>
      <c r="L217" s="1">
        <f t="shared" si="10"/>
        <v>0.93065357307501151</v>
      </c>
      <c r="M217" s="1">
        <f t="shared" si="11"/>
        <v>521.75571994125471</v>
      </c>
    </row>
    <row r="218" spans="1:19" x14ac:dyDescent="0.3">
      <c r="A218" s="1">
        <v>216</v>
      </c>
      <c r="C218" s="1" t="s">
        <v>29</v>
      </c>
      <c r="D218" s="1">
        <v>24.6</v>
      </c>
      <c r="E218" s="1">
        <v>13</v>
      </c>
      <c r="F218" s="1">
        <v>0</v>
      </c>
      <c r="G218" s="1">
        <v>0.39609244036016766</v>
      </c>
      <c r="H218" s="1">
        <v>1.9523941215928544</v>
      </c>
      <c r="I218" s="1">
        <v>425.2245763043162</v>
      </c>
      <c r="J218" s="1" t="s">
        <v>16</v>
      </c>
      <c r="K218" s="1">
        <f t="shared" si="9"/>
        <v>0.45424375212814372</v>
      </c>
      <c r="L218" s="1">
        <f t="shared" si="10"/>
        <v>0.95958425832418959</v>
      </c>
      <c r="M218" s="1">
        <f t="shared" si="11"/>
        <v>208.73951778623044</v>
      </c>
      <c r="N218" s="1">
        <f>SLOPE(K218:K221,F218:F221)</f>
        <v>7.2269080367882272E-4</v>
      </c>
      <c r="O218" s="1">
        <f>SLOPE(L218:L221,F218:F221)</f>
        <v>-5.167493465890945E-4</v>
      </c>
      <c r="P218" s="1">
        <f>SLOPE(M218:M221,F218:F221)</f>
        <v>6.877734862362237</v>
      </c>
      <c r="Q218" s="1">
        <f>(N218*84.63/0.31*60)/1000</f>
        <v>1.1837675364259117E-2</v>
      </c>
      <c r="R218" s="1">
        <f>O218*84.63/0.31*60/1000</f>
        <v>-8.4643542971293666E-3</v>
      </c>
      <c r="S218" s="1">
        <f>(P218*84.63/0.31*60)/1000</f>
        <v>112.65729704549344</v>
      </c>
    </row>
    <row r="219" spans="1:19" x14ac:dyDescent="0.3">
      <c r="A219" s="1">
        <v>217</v>
      </c>
      <c r="C219" s="1" t="s">
        <v>29</v>
      </c>
      <c r="D219" s="1">
        <v>24.6</v>
      </c>
      <c r="E219" s="1">
        <v>14</v>
      </c>
      <c r="F219" s="1">
        <v>15</v>
      </c>
      <c r="G219" s="1">
        <v>0.4018207134473466</v>
      </c>
      <c r="H219" s="1">
        <v>1.9246285105196899</v>
      </c>
      <c r="I219" s="1">
        <v>679.94701756641246</v>
      </c>
      <c r="J219" s="1" t="s">
        <v>16</v>
      </c>
      <c r="K219" s="1">
        <f t="shared" si="9"/>
        <v>0.46081300716863077</v>
      </c>
      <c r="L219" s="1">
        <f t="shared" si="10"/>
        <v>0.94593770867835092</v>
      </c>
      <c r="M219" s="1">
        <f t="shared" si="11"/>
        <v>333.78083129753907</v>
      </c>
    </row>
    <row r="220" spans="1:19" x14ac:dyDescent="0.3">
      <c r="A220" s="1">
        <v>218</v>
      </c>
      <c r="C220" s="1" t="s">
        <v>29</v>
      </c>
      <c r="D220" s="1">
        <v>24.6</v>
      </c>
      <c r="E220" s="1">
        <v>15</v>
      </c>
      <c r="F220" s="1">
        <v>30</v>
      </c>
      <c r="G220" s="1">
        <v>0.4214700222929022</v>
      </c>
      <c r="H220" s="1">
        <v>1.9101903927616442</v>
      </c>
      <c r="I220" s="1">
        <v>945.50294117258829</v>
      </c>
      <c r="J220" s="1" t="s">
        <v>16</v>
      </c>
      <c r="K220" s="1">
        <f t="shared" si="9"/>
        <v>0.48334707969123147</v>
      </c>
      <c r="L220" s="1">
        <f t="shared" si="10"/>
        <v>0.93884150286251478</v>
      </c>
      <c r="M220" s="1">
        <f t="shared" si="11"/>
        <v>464.14021908409944</v>
      </c>
    </row>
    <row r="221" spans="1:19" x14ac:dyDescent="0.3">
      <c r="A221" s="1">
        <v>219</v>
      </c>
      <c r="C221" s="1" t="s">
        <v>29</v>
      </c>
      <c r="D221" s="1">
        <v>24.6</v>
      </c>
      <c r="E221" s="1">
        <v>16</v>
      </c>
      <c r="F221" s="1">
        <v>45</v>
      </c>
      <c r="G221" s="1">
        <v>0.42105134452573295</v>
      </c>
      <c r="H221" s="1">
        <v>1.9046372705470112</v>
      </c>
      <c r="I221" s="1">
        <v>1037.2397688003077</v>
      </c>
      <c r="J221" s="1" t="s">
        <v>16</v>
      </c>
      <c r="K221" s="1">
        <f t="shared" si="9"/>
        <v>0.48286693480455128</v>
      </c>
      <c r="L221" s="1">
        <f t="shared" si="10"/>
        <v>0.93611219293334691</v>
      </c>
      <c r="M221" s="1">
        <f t="shared" si="11"/>
        <v>509.17313164215551</v>
      </c>
    </row>
    <row r="222" spans="1:19" x14ac:dyDescent="0.3">
      <c r="A222" s="1">
        <v>220</v>
      </c>
      <c r="C222" s="1" t="s">
        <v>29</v>
      </c>
      <c r="D222" s="1">
        <v>24.6</v>
      </c>
      <c r="E222" s="1">
        <v>17</v>
      </c>
      <c r="F222" s="1">
        <v>0</v>
      </c>
      <c r="G222" s="1">
        <v>0.40322899320964312</v>
      </c>
      <c r="H222" s="1">
        <v>1.9423985016065151</v>
      </c>
      <c r="I222" s="1">
        <v>480.51887034521656</v>
      </c>
      <c r="J222" s="1" t="s">
        <v>16</v>
      </c>
      <c r="K222" s="1">
        <f t="shared" si="9"/>
        <v>0.46242803996928211</v>
      </c>
      <c r="L222" s="1">
        <f t="shared" si="10"/>
        <v>0.95467150045168758</v>
      </c>
      <c r="M222" s="1">
        <f t="shared" si="11"/>
        <v>235.88306714252951</v>
      </c>
      <c r="N222" s="1">
        <f>SLOPE(K222:K225,F222:F225)</f>
        <v>1.3836975392643018E-2</v>
      </c>
      <c r="O222" s="1">
        <f>SLOPE(L222:L225,F222:F225)</f>
        <v>5.8225278488914051E-5</v>
      </c>
      <c r="P222" s="1">
        <f>SLOPE(M222:M225,F222:F225)</f>
        <v>7.7405615040062319</v>
      </c>
      <c r="Q222" s="1">
        <f>(N222*84.63/0.31*60)/1000</f>
        <v>0.22664965693149264</v>
      </c>
      <c r="R222" s="1">
        <f>O222*84.63/0.31*60/1000</f>
        <v>9.5373006164841225E-4</v>
      </c>
      <c r="S222" s="1">
        <f>(P222*84.63/0.31*60)/1000</f>
        <v>126.79039743562208</v>
      </c>
    </row>
    <row r="223" spans="1:19" x14ac:dyDescent="0.3">
      <c r="A223" s="1">
        <v>221</v>
      </c>
      <c r="C223" s="1" t="s">
        <v>29</v>
      </c>
      <c r="D223" s="1">
        <v>24.6</v>
      </c>
      <c r="E223" s="1">
        <v>18</v>
      </c>
      <c r="F223" s="1">
        <v>15</v>
      </c>
      <c r="G223" s="1">
        <v>0.55453342902232095</v>
      </c>
      <c r="H223" s="1">
        <v>1.9279603838484698</v>
      </c>
      <c r="I223" s="1">
        <v>740.53545678977764</v>
      </c>
      <c r="J223" s="1" t="s">
        <v>16</v>
      </c>
      <c r="K223" s="1">
        <f t="shared" si="9"/>
        <v>0.63594585458520148</v>
      </c>
      <c r="L223" s="1">
        <f t="shared" si="10"/>
        <v>0.94757529463585166</v>
      </c>
      <c r="M223" s="1">
        <f t="shared" si="11"/>
        <v>363.52323635047389</v>
      </c>
    </row>
    <row r="224" spans="1:19" x14ac:dyDescent="0.3">
      <c r="A224" s="1">
        <v>222</v>
      </c>
      <c r="C224" s="1" t="s">
        <v>29</v>
      </c>
      <c r="D224" s="1">
        <v>24.6</v>
      </c>
      <c r="E224" s="1">
        <v>19</v>
      </c>
      <c r="F224" s="1">
        <v>30</v>
      </c>
      <c r="G224" s="1">
        <v>0.72208065912040498</v>
      </c>
      <c r="H224" s="1">
        <v>1.9224072616338368</v>
      </c>
      <c r="I224" s="1">
        <v>913.91220642217547</v>
      </c>
      <c r="J224" s="1" t="s">
        <v>16</v>
      </c>
      <c r="K224" s="1">
        <f t="shared" si="9"/>
        <v>0.82809110832755173</v>
      </c>
      <c r="L224" s="1">
        <f t="shared" si="10"/>
        <v>0.94484598470668379</v>
      </c>
      <c r="M224" s="1">
        <f t="shared" si="11"/>
        <v>448.63256711434434</v>
      </c>
    </row>
    <row r="225" spans="1:19" x14ac:dyDescent="0.3">
      <c r="A225" s="1">
        <v>223</v>
      </c>
      <c r="C225" s="1" t="s">
        <v>29</v>
      </c>
      <c r="D225" s="1">
        <v>24.6</v>
      </c>
      <c r="E225" s="1">
        <v>20</v>
      </c>
      <c r="F225" s="1">
        <v>45</v>
      </c>
      <c r="G225" s="1">
        <v>0.95065968918720256</v>
      </c>
      <c r="H225" s="1">
        <v>1.9501728727070013</v>
      </c>
      <c r="I225" s="1">
        <v>1211.1439313837755</v>
      </c>
      <c r="J225" s="1" t="s">
        <v>16</v>
      </c>
      <c r="K225" s="1">
        <f t="shared" si="9"/>
        <v>1.0902283916873163</v>
      </c>
      <c r="L225" s="1">
        <f t="shared" si="10"/>
        <v>0.95849253435252257</v>
      </c>
      <c r="M225" s="1">
        <f t="shared" si="11"/>
        <v>594.54136542155095</v>
      </c>
    </row>
    <row r="226" spans="1:19" x14ac:dyDescent="0.3">
      <c r="A226" s="1">
        <v>224</v>
      </c>
      <c r="C226" s="1" t="s">
        <v>29</v>
      </c>
      <c r="D226" s="1">
        <v>24.6</v>
      </c>
      <c r="E226" s="1">
        <v>21</v>
      </c>
      <c r="F226" s="1">
        <v>0</v>
      </c>
      <c r="G226" s="1">
        <v>0.41167867178342188</v>
      </c>
      <c r="H226" s="1">
        <v>1.9301816327343229</v>
      </c>
      <c r="I226" s="1">
        <v>646.61892250659332</v>
      </c>
      <c r="J226" s="1" t="s">
        <v>16</v>
      </c>
      <c r="K226" s="1">
        <f t="shared" si="9"/>
        <v>0.47211823677318965</v>
      </c>
      <c r="L226" s="1">
        <f t="shared" si="10"/>
        <v>0.94866701860751868</v>
      </c>
      <c r="M226" s="1">
        <f t="shared" si="11"/>
        <v>317.42032233546644</v>
      </c>
      <c r="N226" s="1">
        <f>SLOPE(K226:K229,F226:F229)</f>
        <v>1.5830231415392784E-3</v>
      </c>
      <c r="O226" s="1">
        <f>SLOPE(L226:L229,F226:F229)</f>
        <v>-4.1849418913905668E-4</v>
      </c>
      <c r="P226" s="1">
        <f>SLOPE(M226:M229,F226:F229)</f>
        <v>4.8116887984730496</v>
      </c>
      <c r="Q226" s="1">
        <f>(N226*84.63/0.31*60)/1000</f>
        <v>2.5929919058413374E-2</v>
      </c>
      <c r="R226" s="1">
        <f>O226*84.63/0.31*60/1000</f>
        <v>-6.8549348180977476E-3</v>
      </c>
      <c r="S226" s="1">
        <f>(P226*84.63/0.31*60)/1000</f>
        <v>78.815462518988539</v>
      </c>
    </row>
    <row r="227" spans="1:19" x14ac:dyDescent="0.3">
      <c r="A227" s="1">
        <v>225</v>
      </c>
      <c r="C227" s="1" t="s">
        <v>29</v>
      </c>
      <c r="D227" s="1">
        <v>24.6</v>
      </c>
      <c r="E227" s="1">
        <v>22</v>
      </c>
      <c r="F227" s="1">
        <v>15</v>
      </c>
      <c r="G227" s="1">
        <v>0.43039547105664616</v>
      </c>
      <c r="H227" s="1">
        <v>1.9224072616338368</v>
      </c>
      <c r="I227" s="1">
        <v>818.33236981512414</v>
      </c>
      <c r="J227" s="1" t="s">
        <v>16</v>
      </c>
      <c r="K227" s="1">
        <f t="shared" si="9"/>
        <v>0.49358289568454844</v>
      </c>
      <c r="L227" s="1">
        <f t="shared" si="10"/>
        <v>0.94484598470668379</v>
      </c>
      <c r="M227" s="1">
        <f t="shared" si="11"/>
        <v>401.71315061014809</v>
      </c>
    </row>
    <row r="228" spans="1:19" x14ac:dyDescent="0.3">
      <c r="A228" s="1">
        <v>226</v>
      </c>
      <c r="C228" s="1" t="s">
        <v>29</v>
      </c>
      <c r="D228" s="1">
        <v>24.6</v>
      </c>
      <c r="E228" s="1">
        <v>23</v>
      </c>
      <c r="F228" s="1">
        <v>30</v>
      </c>
      <c r="G228" s="1">
        <v>0.42361098814774484</v>
      </c>
      <c r="H228" s="1">
        <v>1.8146766906699578</v>
      </c>
      <c r="I228" s="1">
        <v>948.25709760777602</v>
      </c>
      <c r="J228" s="1" t="s">
        <v>16</v>
      </c>
      <c r="K228" s="1">
        <f t="shared" si="9"/>
        <v>0.48580236604357291</v>
      </c>
      <c r="L228" s="1">
        <f t="shared" si="10"/>
        <v>0.89189737208082942</v>
      </c>
      <c r="M228" s="1">
        <f t="shared" si="11"/>
        <v>465.49221357883317</v>
      </c>
    </row>
    <row r="229" spans="1:19" x14ac:dyDescent="0.3">
      <c r="A229" s="1">
        <v>227</v>
      </c>
      <c r="C229" s="1" t="s">
        <v>29</v>
      </c>
      <c r="D229" s="1">
        <v>24.6</v>
      </c>
      <c r="E229" s="1">
        <v>24</v>
      </c>
      <c r="F229" s="1">
        <v>45</v>
      </c>
      <c r="G229" s="1">
        <v>0.48295856164398232</v>
      </c>
      <c r="H229" s="1">
        <v>1.9235178860767632</v>
      </c>
      <c r="I229" s="1">
        <v>1093.4067461302648</v>
      </c>
      <c r="J229" s="1" t="s">
        <v>16</v>
      </c>
      <c r="K229" s="1">
        <f t="shared" si="9"/>
        <v>0.55386290373047875</v>
      </c>
      <c r="L229" s="1">
        <f t="shared" si="10"/>
        <v>0.9453918466925173</v>
      </c>
      <c r="M229" s="1">
        <f t="shared" si="11"/>
        <v>536.74507460289055</v>
      </c>
    </row>
    <row r="230" spans="1:19" x14ac:dyDescent="0.3">
      <c r="A230" s="1">
        <v>228</v>
      </c>
      <c r="C230" s="1" t="s">
        <v>29</v>
      </c>
      <c r="D230" s="1">
        <v>24.6</v>
      </c>
      <c r="E230" s="1">
        <v>25</v>
      </c>
      <c r="F230" s="1">
        <v>0</v>
      </c>
      <c r="G230" s="1">
        <v>0.39819534459981304</v>
      </c>
      <c r="H230" s="1">
        <v>1.9312922571772493</v>
      </c>
      <c r="I230" s="1">
        <v>410.91337099065902</v>
      </c>
      <c r="J230" s="1" t="s">
        <v>16</v>
      </c>
      <c r="K230" s="1">
        <f t="shared" si="9"/>
        <v>0.45665538894533247</v>
      </c>
      <c r="L230" s="1">
        <f t="shared" si="10"/>
        <v>0.94921288059335218</v>
      </c>
      <c r="M230" s="1">
        <f t="shared" si="11"/>
        <v>201.71425569513565</v>
      </c>
      <c r="N230" s="1">
        <f>SLOPE(K230:K233,F230:F233)</f>
        <v>1.0530741352498922E-2</v>
      </c>
      <c r="O230" s="1">
        <f>SLOPE(L230:L233,F230:F233)</f>
        <v>4.1849418913905516E-4</v>
      </c>
      <c r="P230" s="1">
        <f>SLOPE(M230:M233,F230:F233)</f>
        <v>8.4474502534911569</v>
      </c>
      <c r="Q230" s="1">
        <f>(N230*84.63/0.31*60)/1000</f>
        <v>0.17249354335393233</v>
      </c>
      <c r="R230" s="1">
        <f>O230*84.63/0.31*60/1000</f>
        <v>6.8549348180977241E-3</v>
      </c>
      <c r="S230" s="1">
        <f>(P230*84.63/0.31*60)/1000</f>
        <v>138.36923515218513</v>
      </c>
    </row>
    <row r="231" spans="1:19" x14ac:dyDescent="0.3">
      <c r="A231" s="1">
        <v>229</v>
      </c>
      <c r="C231" s="1" t="s">
        <v>29</v>
      </c>
      <c r="D231" s="1">
        <v>24.6</v>
      </c>
      <c r="E231" s="1">
        <v>26</v>
      </c>
      <c r="F231" s="1">
        <v>15</v>
      </c>
      <c r="G231" s="1">
        <v>0.52479779214950673</v>
      </c>
      <c r="H231" s="1">
        <v>1.9201860127479835</v>
      </c>
      <c r="I231" s="1">
        <v>708.43232084212048</v>
      </c>
      <c r="J231" s="1" t="s">
        <v>16</v>
      </c>
      <c r="K231" s="1">
        <f t="shared" si="9"/>
        <v>0.60184465524712527</v>
      </c>
      <c r="L231" s="1">
        <f t="shared" si="10"/>
        <v>0.94375426073501678</v>
      </c>
      <c r="M231" s="1">
        <f t="shared" si="11"/>
        <v>347.7640505212334</v>
      </c>
    </row>
    <row r="232" spans="1:19" x14ac:dyDescent="0.3">
      <c r="A232" s="1">
        <v>230</v>
      </c>
      <c r="C232" s="1" t="s">
        <v>29</v>
      </c>
      <c r="D232" s="1">
        <v>24.6</v>
      </c>
      <c r="E232" s="1">
        <v>27</v>
      </c>
      <c r="F232" s="1">
        <v>30</v>
      </c>
      <c r="G232" s="1">
        <v>0.66397008811807656</v>
      </c>
      <c r="H232" s="1">
        <v>1.9279603838484698</v>
      </c>
      <c r="I232" s="1">
        <v>917.70817857285385</v>
      </c>
      <c r="J232" s="1" t="s">
        <v>16</v>
      </c>
      <c r="K232" s="1">
        <f t="shared" si="9"/>
        <v>0.76144918053310984</v>
      </c>
      <c r="L232" s="1">
        <f t="shared" si="10"/>
        <v>0.94757529463585166</v>
      </c>
      <c r="M232" s="1">
        <f t="shared" si="11"/>
        <v>450.49598103822706</v>
      </c>
    </row>
    <row r="233" spans="1:19" x14ac:dyDescent="0.3">
      <c r="A233" s="1">
        <v>231</v>
      </c>
      <c r="C233" s="1" t="s">
        <v>29</v>
      </c>
      <c r="D233" s="1">
        <v>24.6</v>
      </c>
      <c r="E233" s="1">
        <v>28</v>
      </c>
      <c r="F233" s="1">
        <v>45</v>
      </c>
      <c r="G233" s="1">
        <v>0.81093549979827328</v>
      </c>
      <c r="H233" s="1">
        <v>1.9712747371226063</v>
      </c>
      <c r="I233" s="1">
        <v>1201.5724371446274</v>
      </c>
      <c r="J233" s="1" t="s">
        <v>16</v>
      </c>
      <c r="K233" s="1">
        <f t="shared" si="9"/>
        <v>0.92999094814161698</v>
      </c>
      <c r="L233" s="1">
        <f t="shared" si="10"/>
        <v>0.96886391208335998</v>
      </c>
      <c r="M233" s="1">
        <f t="shared" si="11"/>
        <v>589.84279153069565</v>
      </c>
    </row>
    <row r="234" spans="1:19" x14ac:dyDescent="0.3">
      <c r="A234" s="1">
        <v>232</v>
      </c>
      <c r="C234" s="1" t="s">
        <v>29</v>
      </c>
      <c r="D234" s="1">
        <v>24.6</v>
      </c>
      <c r="E234" s="1">
        <v>29</v>
      </c>
      <c r="F234" s="1">
        <v>0</v>
      </c>
      <c r="G234" s="1">
        <v>0.38947923471965379</v>
      </c>
      <c r="H234" s="1">
        <v>1.9379560038348087</v>
      </c>
      <c r="I234" s="1">
        <v>407.69985488841053</v>
      </c>
      <c r="J234" s="1" t="s">
        <v>129</v>
      </c>
      <c r="K234" s="1">
        <f t="shared" si="9"/>
        <v>0.44665964539535563</v>
      </c>
      <c r="L234" s="1">
        <f t="shared" si="10"/>
        <v>0.95248805250835344</v>
      </c>
      <c r="M234" s="1">
        <f t="shared" si="11"/>
        <v>200.13676502558985</v>
      </c>
      <c r="N234" s="1">
        <f>SLOPE(K234:K237,F234:F237)</f>
        <v>2.4740556524571545E-3</v>
      </c>
      <c r="O234" s="1">
        <f>SLOPE(L234:L237,F234:F237)</f>
        <v>-3.7846431017792985E-4</v>
      </c>
      <c r="P234" s="1">
        <f>SLOPE(M234:M237,F234:F237)</f>
        <v>8.7668327514283124</v>
      </c>
      <c r="Q234" s="1">
        <f>(N234*84.63/0.31*60)/1000</f>
        <v>4.0525031587248191E-2</v>
      </c>
      <c r="R234" s="1">
        <f>O234*84.63/0.31*60/1000</f>
        <v>-6.1992454007144902E-3</v>
      </c>
      <c r="S234" s="1">
        <f>(P234*84.63/0.31*60)/1000</f>
        <v>143.60072046839574</v>
      </c>
    </row>
    <row r="235" spans="1:19" x14ac:dyDescent="0.3">
      <c r="A235" s="1">
        <v>233</v>
      </c>
      <c r="C235" s="1" t="s">
        <v>29</v>
      </c>
      <c r="D235" s="1">
        <v>24.6</v>
      </c>
      <c r="E235" s="1">
        <v>30</v>
      </c>
      <c r="F235" s="1">
        <v>15</v>
      </c>
      <c r="G235" s="1">
        <v>0.42127971421691618</v>
      </c>
      <c r="H235" s="1">
        <v>1.9201860127479835</v>
      </c>
      <c r="I235" s="1">
        <v>654.51010110087213</v>
      </c>
      <c r="J235" s="1" t="s">
        <v>129</v>
      </c>
      <c r="K235" s="1">
        <f t="shared" si="9"/>
        <v>0.48312883201546775</v>
      </c>
      <c r="L235" s="1">
        <f t="shared" si="10"/>
        <v>0.94375426073501678</v>
      </c>
      <c r="M235" s="1">
        <f t="shared" si="11"/>
        <v>321.29404202695468</v>
      </c>
    </row>
    <row r="236" spans="1:19" x14ac:dyDescent="0.3">
      <c r="A236" s="1">
        <v>234</v>
      </c>
      <c r="C236" s="1" t="s">
        <v>29</v>
      </c>
      <c r="D236" s="1">
        <v>24.6</v>
      </c>
      <c r="E236" s="1">
        <v>31</v>
      </c>
      <c r="F236" s="1">
        <v>30</v>
      </c>
      <c r="G236" s="1">
        <v>0.46689656003076296</v>
      </c>
      <c r="H236" s="1">
        <v>1.9046372705470112</v>
      </c>
      <c r="I236" s="1">
        <v>1117.8819095673837</v>
      </c>
      <c r="J236" s="1" t="s">
        <v>129</v>
      </c>
      <c r="K236" s="1">
        <f t="shared" si="9"/>
        <v>0.5354427998960235</v>
      </c>
      <c r="L236" s="1">
        <f t="shared" si="10"/>
        <v>0.93611219293334691</v>
      </c>
      <c r="M236" s="1">
        <f t="shared" si="11"/>
        <v>548.7597466098706</v>
      </c>
    </row>
    <row r="237" spans="1:19" x14ac:dyDescent="0.3">
      <c r="A237" s="1">
        <v>235</v>
      </c>
      <c r="C237" s="1" t="s">
        <v>29</v>
      </c>
      <c r="D237" s="1">
        <v>24.6</v>
      </c>
      <c r="E237" s="1">
        <v>32</v>
      </c>
      <c r="F237" s="1">
        <v>45</v>
      </c>
      <c r="G237" s="1">
        <v>0.48214023691724239</v>
      </c>
      <c r="H237" s="1">
        <v>1.9046372705470112</v>
      </c>
      <c r="I237" s="1">
        <v>1146.1910749315391</v>
      </c>
      <c r="J237" s="1" t="s">
        <v>129</v>
      </c>
      <c r="K237" s="1">
        <f t="shared" si="9"/>
        <v>0.55292443872469477</v>
      </c>
      <c r="L237" s="1">
        <f t="shared" si="10"/>
        <v>0.93611219293334691</v>
      </c>
      <c r="M237" s="1">
        <f t="shared" si="11"/>
        <v>562.65650106936687</v>
      </c>
    </row>
    <row r="238" spans="1:19" x14ac:dyDescent="0.3">
      <c r="A238" s="1">
        <v>236</v>
      </c>
      <c r="C238" s="1" t="s">
        <v>29</v>
      </c>
      <c r="D238" s="1">
        <v>24.6</v>
      </c>
      <c r="E238" s="1" t="s">
        <v>114</v>
      </c>
      <c r="G238" s="1">
        <v>0.3903451364653901</v>
      </c>
      <c r="H238" s="1">
        <v>1.846884799514829</v>
      </c>
      <c r="I238" s="1">
        <v>457.48783762611208</v>
      </c>
      <c r="K238" s="1">
        <f t="shared" si="9"/>
        <v>0.44765267232008038</v>
      </c>
      <c r="L238" s="1">
        <f t="shared" si="10"/>
        <v>0.90772736967000256</v>
      </c>
      <c r="M238" s="1">
        <f t="shared" si="11"/>
        <v>224.57730794655998</v>
      </c>
    </row>
    <row r="239" spans="1:19" x14ac:dyDescent="0.3">
      <c r="A239" s="1">
        <v>237</v>
      </c>
      <c r="C239" s="1" t="s">
        <v>29</v>
      </c>
      <c r="D239" s="1">
        <v>24.6</v>
      </c>
      <c r="E239" s="1" t="s">
        <v>115</v>
      </c>
      <c r="G239" s="1">
        <v>0.39285720306840549</v>
      </c>
      <c r="H239" s="1">
        <v>1.8535485461723884</v>
      </c>
      <c r="I239" s="1">
        <v>408.97885631434434</v>
      </c>
      <c r="K239" s="1">
        <f t="shared" si="9"/>
        <v>0.45053354164016107</v>
      </c>
      <c r="L239" s="1">
        <f t="shared" si="10"/>
        <v>0.91100254158500382</v>
      </c>
      <c r="M239" s="1">
        <f t="shared" si="11"/>
        <v>200.76461712016462</v>
      </c>
    </row>
    <row r="240" spans="1:19" x14ac:dyDescent="0.3">
      <c r="A240" s="1">
        <v>238</v>
      </c>
      <c r="C240" s="1" t="s">
        <v>29</v>
      </c>
      <c r="D240" s="1">
        <v>24.6</v>
      </c>
      <c r="E240" s="1" t="s">
        <v>116</v>
      </c>
      <c r="F240"/>
      <c r="G240" s="1">
        <v>0.39024998242739711</v>
      </c>
      <c r="H240" s="1">
        <v>1.9135222660904241</v>
      </c>
      <c r="I240" s="1">
        <v>424.31886715684351</v>
      </c>
      <c r="K240" s="1">
        <f t="shared" si="9"/>
        <v>0.44754354848219857</v>
      </c>
      <c r="L240" s="1">
        <f t="shared" si="10"/>
        <v>0.94047908882001552</v>
      </c>
      <c r="M240" s="1">
        <f t="shared" si="11"/>
        <v>208.29491203850731</v>
      </c>
    </row>
    <row r="241" spans="1:19" x14ac:dyDescent="0.3">
      <c r="A241" s="1">
        <v>239</v>
      </c>
      <c r="B241" s="1" t="s">
        <v>68</v>
      </c>
      <c r="C241" s="1" t="s">
        <v>29</v>
      </c>
      <c r="D241" s="1">
        <v>20.3</v>
      </c>
      <c r="E241" s="1">
        <v>401</v>
      </c>
      <c r="F241" s="1">
        <v>0</v>
      </c>
      <c r="G241" s="1">
        <v>0.390973153116144</v>
      </c>
      <c r="H241" s="1">
        <v>1.9335135060631026</v>
      </c>
      <c r="I241" s="1">
        <v>403.25837732323492</v>
      </c>
      <c r="J241" s="1" t="s">
        <v>129</v>
      </c>
      <c r="K241" s="1">
        <f t="shared" si="9"/>
        <v>0.4549430154824245</v>
      </c>
      <c r="L241" s="1">
        <f t="shared" si="10"/>
        <v>0.96422966777725183</v>
      </c>
      <c r="M241" s="1">
        <f t="shared" si="11"/>
        <v>200.85718569933266</v>
      </c>
      <c r="N241" s="1">
        <f>SLOPE(K241:K244,F241:F244)</f>
        <v>4.7315568057007735E-4</v>
      </c>
      <c r="O241" s="1">
        <f>SLOPE(L241:L244,F241:F244)</f>
        <v>-8.4925298903494692E-5</v>
      </c>
      <c r="P241" s="1">
        <f>SLOPE(M241:M244,F241:F244)</f>
        <v>5.5057026645629934</v>
      </c>
      <c r="Q241" s="1">
        <f>(N241*84.63/0.31*60)/1000</f>
        <v>7.7502900477378666E-3</v>
      </c>
      <c r="R241" s="1">
        <f>O241*84.63/0.31*60/1000</f>
        <v>-1.3910763960392431E-3</v>
      </c>
      <c r="S241" s="1">
        <f>(P241*84.63/0.31*60)/1000</f>
        <v>90.183409645541815</v>
      </c>
    </row>
    <row r="242" spans="1:19" x14ac:dyDescent="0.3">
      <c r="A242" s="1">
        <v>240</v>
      </c>
      <c r="B242" s="1" t="s">
        <v>141</v>
      </c>
      <c r="C242" s="1" t="s">
        <v>29</v>
      </c>
      <c r="D242" s="1">
        <v>20.3</v>
      </c>
      <c r="E242" s="1">
        <v>402</v>
      </c>
      <c r="F242" s="1">
        <v>15</v>
      </c>
      <c r="G242" s="1">
        <v>0.40881453523983252</v>
      </c>
      <c r="H242" s="1">
        <v>1.9523941215928544</v>
      </c>
      <c r="I242" s="1">
        <v>705.34290190482966</v>
      </c>
      <c r="J242" s="1" t="s">
        <v>129</v>
      </c>
      <c r="K242" s="1">
        <f t="shared" si="9"/>
        <v>0.47570355138887299</v>
      </c>
      <c r="L242" s="1">
        <f t="shared" si="10"/>
        <v>0.97364529874263916</v>
      </c>
      <c r="M242" s="1">
        <f t="shared" si="11"/>
        <v>351.32113353728363</v>
      </c>
    </row>
    <row r="243" spans="1:19" x14ac:dyDescent="0.3">
      <c r="A243" s="1">
        <v>241</v>
      </c>
      <c r="C243" s="1" t="s">
        <v>29</v>
      </c>
      <c r="D243" s="1">
        <v>20.3</v>
      </c>
      <c r="E243" s="1">
        <v>403</v>
      </c>
      <c r="F243" s="1">
        <v>30</v>
      </c>
      <c r="G243" s="1">
        <v>0.41939566426465469</v>
      </c>
      <c r="H243" s="1">
        <v>1.9368453793918823</v>
      </c>
      <c r="I243" s="1">
        <v>842.70545332622976</v>
      </c>
      <c r="J243" s="1" t="s">
        <v>129</v>
      </c>
      <c r="K243" s="1">
        <f t="shared" si="9"/>
        <v>0.48801593321712394</v>
      </c>
      <c r="L243" s="1">
        <f t="shared" si="10"/>
        <v>0.9658912497123201</v>
      </c>
      <c r="M243" s="1">
        <f t="shared" si="11"/>
        <v>419.73944063389507</v>
      </c>
    </row>
    <row r="244" spans="1:19" x14ac:dyDescent="0.3">
      <c r="A244" s="1">
        <v>242</v>
      </c>
      <c r="C244" s="1" t="s">
        <v>29</v>
      </c>
      <c r="D244" s="1">
        <v>20.3</v>
      </c>
      <c r="E244" s="1">
        <v>404</v>
      </c>
      <c r="F244" s="1">
        <v>45</v>
      </c>
      <c r="G244" s="1">
        <v>0.40777735622570871</v>
      </c>
      <c r="H244" s="1">
        <v>1.9301816327343229</v>
      </c>
      <c r="I244" s="1">
        <v>910.1572663986201</v>
      </c>
      <c r="J244" s="1" t="s">
        <v>129</v>
      </c>
      <c r="K244" s="1">
        <f t="shared" si="9"/>
        <v>0.47449667223484471</v>
      </c>
      <c r="L244" s="1">
        <f t="shared" si="10"/>
        <v>0.96256808584218345</v>
      </c>
      <c r="M244" s="1">
        <f t="shared" si="11"/>
        <v>453.33621656194521</v>
      </c>
    </row>
    <row r="245" spans="1:19" x14ac:dyDescent="0.3">
      <c r="A245" s="1">
        <v>243</v>
      </c>
      <c r="C245" s="1" t="s">
        <v>29</v>
      </c>
      <c r="D245" s="1">
        <v>20.3</v>
      </c>
      <c r="E245" s="1">
        <v>405</v>
      </c>
      <c r="F245" s="1">
        <v>0</v>
      </c>
      <c r="G245" s="1">
        <v>0.39349473512295863</v>
      </c>
      <c r="H245" s="1">
        <v>1.9246285105196899</v>
      </c>
      <c r="I245" s="1">
        <v>401.22678663884864</v>
      </c>
      <c r="J245" s="1" t="s">
        <v>16</v>
      </c>
      <c r="K245" s="1">
        <f t="shared" si="9"/>
        <v>0.45787717122386923</v>
      </c>
      <c r="L245" s="1">
        <f t="shared" si="10"/>
        <v>0.95979878261706941</v>
      </c>
      <c r="M245" s="1">
        <f t="shared" si="11"/>
        <v>199.84527966016381</v>
      </c>
      <c r="N245" s="1">
        <f>SLOPE(K245:K248,F245:F248)</f>
        <v>3.9487461984549681E-3</v>
      </c>
      <c r="O245" s="1">
        <f>SLOPE(L245:L248,F245:F248)</f>
        <v>3.6924043001518302E-5</v>
      </c>
      <c r="P245" s="1">
        <f>SLOPE(M245:M248,F245:F248)</f>
        <v>10.901135817823189</v>
      </c>
      <c r="Q245" s="1">
        <f>(N245*84.63/0.31*60)/1000</f>
        <v>6.4680462730692376E-2</v>
      </c>
      <c r="R245" s="1">
        <f>O245*84.63/0.31*60/1000</f>
        <v>6.0481582436486974E-4</v>
      </c>
      <c r="S245" s="1">
        <f>(P245*84.63/0.31*60)/1000</f>
        <v>178.56060469594382</v>
      </c>
    </row>
    <row r="246" spans="1:19" x14ac:dyDescent="0.3">
      <c r="A246" s="1">
        <v>244</v>
      </c>
      <c r="C246" s="1" t="s">
        <v>29</v>
      </c>
      <c r="D246" s="1">
        <v>20.3</v>
      </c>
      <c r="E246" s="1">
        <v>406</v>
      </c>
      <c r="F246" s="1">
        <v>15</v>
      </c>
      <c r="G246" s="1">
        <v>0.43559088153106418</v>
      </c>
      <c r="H246" s="1">
        <v>1.9201860127479835</v>
      </c>
      <c r="I246" s="1">
        <v>665.28854034759161</v>
      </c>
      <c r="J246" s="1" t="s">
        <v>16</v>
      </c>
      <c r="K246" s="1">
        <f t="shared" si="9"/>
        <v>0.50686096367727074</v>
      </c>
      <c r="L246" s="1">
        <f t="shared" si="10"/>
        <v>0.9575833400369782</v>
      </c>
      <c r="M246" s="1">
        <f t="shared" si="11"/>
        <v>331.37063333745357</v>
      </c>
    </row>
    <row r="247" spans="1:19" x14ac:dyDescent="0.3">
      <c r="A247" s="1">
        <v>245</v>
      </c>
      <c r="C247" s="1" t="s">
        <v>29</v>
      </c>
      <c r="D247" s="1">
        <v>20.3</v>
      </c>
      <c r="E247" s="1">
        <v>407</v>
      </c>
      <c r="F247" s="1">
        <v>30</v>
      </c>
      <c r="G247" s="1">
        <v>0.4822258755514362</v>
      </c>
      <c r="H247" s="1">
        <v>1.9279603838484698</v>
      </c>
      <c r="I247" s="1">
        <v>956.65967661571074</v>
      </c>
      <c r="J247" s="1" t="s">
        <v>16</v>
      </c>
      <c r="K247" s="1">
        <f t="shared" si="9"/>
        <v>0.56112623646527282</v>
      </c>
      <c r="L247" s="1">
        <f t="shared" si="10"/>
        <v>0.96146036455213779</v>
      </c>
      <c r="M247" s="1">
        <f t="shared" si="11"/>
        <v>476.49839686540327</v>
      </c>
    </row>
    <row r="248" spans="1:19" x14ac:dyDescent="0.3">
      <c r="A248" s="1">
        <v>246</v>
      </c>
      <c r="C248" s="1" t="s">
        <v>29</v>
      </c>
      <c r="D248" s="1">
        <v>20.3</v>
      </c>
      <c r="E248" s="1">
        <v>408</v>
      </c>
      <c r="F248" s="1">
        <v>45</v>
      </c>
      <c r="G248" s="1">
        <v>0.54762524586402883</v>
      </c>
      <c r="H248" s="1">
        <v>1.9257391349626163</v>
      </c>
      <c r="I248" s="1">
        <v>1398.4065533047742</v>
      </c>
      <c r="J248" s="1" t="s">
        <v>16</v>
      </c>
      <c r="K248" s="1">
        <f t="shared" si="9"/>
        <v>0.63722605688395029</v>
      </c>
      <c r="L248" s="1">
        <f t="shared" si="10"/>
        <v>0.96035264326209213</v>
      </c>
      <c r="M248" s="1">
        <f t="shared" si="11"/>
        <v>696.52614937534008</v>
      </c>
    </row>
    <row r="249" spans="1:19" x14ac:dyDescent="0.3">
      <c r="A249" s="1">
        <v>247</v>
      </c>
      <c r="C249" s="1" t="s">
        <v>29</v>
      </c>
      <c r="D249" s="1">
        <v>20.3</v>
      </c>
      <c r="E249" s="1">
        <v>409</v>
      </c>
      <c r="F249" s="1">
        <v>0</v>
      </c>
      <c r="G249" s="1">
        <v>0.39210548616826069</v>
      </c>
      <c r="H249" s="1">
        <v>1.9379560038348087</v>
      </c>
      <c r="I249" s="1">
        <v>387.10472942339288</v>
      </c>
      <c r="J249" s="1" t="s">
        <v>16</v>
      </c>
      <c r="K249" s="1">
        <f t="shared" si="9"/>
        <v>0.45626061749462032</v>
      </c>
      <c r="L249" s="1">
        <f t="shared" si="10"/>
        <v>0.96644511035734282</v>
      </c>
      <c r="M249" s="1">
        <f t="shared" si="11"/>
        <v>192.81128649823685</v>
      </c>
      <c r="N249" s="1">
        <f>SLOPE(K249:K252,F249:F252)</f>
        <v>2.8109581079234299E-3</v>
      </c>
      <c r="O249" s="1">
        <f>SLOPE(L249:L252,F249:F252)</f>
        <v>6.6463277402737381E-5</v>
      </c>
      <c r="P249" s="1">
        <f>SLOPE(M249:M252,F249:F252)</f>
        <v>8.7644687999446784</v>
      </c>
      <c r="Q249" s="1">
        <f>(N249*84.63/0.31*60)/1000</f>
        <v>4.6043493807785781E-2</v>
      </c>
      <c r="R249" s="1">
        <f>O249*84.63/0.31*60/1000</f>
        <v>1.0886684838568382E-3</v>
      </c>
      <c r="S249" s="1">
        <f>(P249*84.63/0.31*60)/1000</f>
        <v>143.56199894309381</v>
      </c>
    </row>
    <row r="250" spans="1:19" x14ac:dyDescent="0.3">
      <c r="A250" s="1">
        <v>248</v>
      </c>
      <c r="C250" s="1" t="s">
        <v>29</v>
      </c>
      <c r="D250" s="1">
        <v>20.3</v>
      </c>
      <c r="E250" s="1">
        <v>410</v>
      </c>
      <c r="F250" s="1">
        <v>15</v>
      </c>
      <c r="G250" s="1">
        <v>0.43470594897772924</v>
      </c>
      <c r="H250" s="1">
        <v>1.9435091260494417</v>
      </c>
      <c r="I250" s="1">
        <v>710.00255029226923</v>
      </c>
      <c r="J250" s="1" t="s">
        <v>16</v>
      </c>
      <c r="K250" s="1">
        <f t="shared" si="9"/>
        <v>0.50583124109631084</v>
      </c>
      <c r="L250" s="1">
        <f t="shared" si="10"/>
        <v>0.96921441358245686</v>
      </c>
      <c r="M250" s="1">
        <f t="shared" si="11"/>
        <v>353.64203724091431</v>
      </c>
    </row>
    <row r="251" spans="1:19" x14ac:dyDescent="0.3">
      <c r="A251" s="1">
        <v>249</v>
      </c>
      <c r="C251" s="1" t="s">
        <v>29</v>
      </c>
      <c r="D251" s="1">
        <v>20.3</v>
      </c>
      <c r="E251" s="1">
        <v>411</v>
      </c>
      <c r="F251" s="1">
        <v>30</v>
      </c>
      <c r="G251" s="1">
        <v>0.46738184562452734</v>
      </c>
      <c r="H251" s="1">
        <v>1.9701641126796798</v>
      </c>
      <c r="I251" s="1">
        <v>946.32558528222648</v>
      </c>
      <c r="J251" s="1" t="s">
        <v>16</v>
      </c>
      <c r="K251" s="1">
        <f t="shared" si="9"/>
        <v>0.54385347059110767</v>
      </c>
      <c r="L251" s="1">
        <f t="shared" si="10"/>
        <v>0.98250706906300411</v>
      </c>
      <c r="M251" s="1">
        <f t="shared" si="11"/>
        <v>471.35113491443889</v>
      </c>
    </row>
    <row r="252" spans="1:19" x14ac:dyDescent="0.3">
      <c r="A252" s="1">
        <v>250</v>
      </c>
      <c r="C252" s="1" t="s">
        <v>29</v>
      </c>
      <c r="D252" s="1">
        <v>20.3</v>
      </c>
      <c r="E252" s="1">
        <v>412</v>
      </c>
      <c r="F252" s="1">
        <v>45</v>
      </c>
      <c r="G252" s="1">
        <v>0.50199888464638276</v>
      </c>
      <c r="H252" s="1">
        <v>1.9357347549489556</v>
      </c>
      <c r="I252" s="1">
        <v>1188.1459245230872</v>
      </c>
      <c r="J252" s="1" t="s">
        <v>16</v>
      </c>
      <c r="K252" s="1">
        <f t="shared" si="9"/>
        <v>0.58413444639252621</v>
      </c>
      <c r="L252" s="1">
        <f t="shared" si="10"/>
        <v>0.96533738906729727</v>
      </c>
      <c r="M252" s="1">
        <f t="shared" si="11"/>
        <v>591.79836060429591</v>
      </c>
    </row>
    <row r="253" spans="1:19" x14ac:dyDescent="0.3">
      <c r="A253" s="1">
        <v>251</v>
      </c>
      <c r="C253" s="1" t="s">
        <v>29</v>
      </c>
      <c r="D253" s="1">
        <v>20.3</v>
      </c>
      <c r="E253" s="1">
        <v>413</v>
      </c>
      <c r="F253" s="1">
        <v>0</v>
      </c>
      <c r="G253" s="1">
        <v>0.39221015561005307</v>
      </c>
      <c r="H253" s="1">
        <v>1.9268497594055429</v>
      </c>
      <c r="I253" s="1">
        <v>370.45469286372048</v>
      </c>
      <c r="J253" s="1" t="s">
        <v>16</v>
      </c>
      <c r="K253" s="1">
        <f t="shared" si="9"/>
        <v>0.45638241263860491</v>
      </c>
      <c r="L253" s="1">
        <f t="shared" si="10"/>
        <v>0.96090650390711496</v>
      </c>
      <c r="M253" s="1">
        <f t="shared" si="11"/>
        <v>184.5181432599845</v>
      </c>
      <c r="N253" s="1">
        <f>SLOPE(K253:K256,F253:F256)</f>
        <v>3.2978434229063041E-3</v>
      </c>
      <c r="O253" s="1">
        <f>SLOPE(L253:L256,F253:F256)</f>
        <v>-3.1754676981306853E-4</v>
      </c>
      <c r="P253" s="1">
        <f>SLOPE(M253:M256,F253:F256)</f>
        <v>13.315759633495336</v>
      </c>
      <c r="Q253" s="1">
        <f>(N253*84.63/0.31*60)/1000</f>
        <v>5.401867526720526E-2</v>
      </c>
      <c r="R253" s="1">
        <f>O253*84.63/0.31*60/1000</f>
        <v>-5.2014160895380622E-3</v>
      </c>
      <c r="S253" s="1">
        <f>(P253*84.63/0.31*60)/1000</f>
        <v>218.11214279665361</v>
      </c>
    </row>
    <row r="254" spans="1:19" x14ac:dyDescent="0.3">
      <c r="A254" s="1">
        <v>252</v>
      </c>
      <c r="C254" s="1" t="s">
        <v>29</v>
      </c>
      <c r="D254" s="1">
        <v>20.3</v>
      </c>
      <c r="E254" s="1">
        <v>414</v>
      </c>
      <c r="F254" s="1">
        <v>15</v>
      </c>
      <c r="G254" s="1">
        <v>0.43737977744533268</v>
      </c>
      <c r="H254" s="1">
        <v>1.9379560038348087</v>
      </c>
      <c r="I254" s="1">
        <v>817.0333527174231</v>
      </c>
      <c r="J254" s="1" t="s">
        <v>16</v>
      </c>
      <c r="K254" s="1">
        <f t="shared" si="9"/>
        <v>0.50894255341082395</v>
      </c>
      <c r="L254" s="1">
        <f t="shared" si="10"/>
        <v>0.96644511035734282</v>
      </c>
      <c r="M254" s="1">
        <f t="shared" si="11"/>
        <v>406.95253732514664</v>
      </c>
    </row>
    <row r="255" spans="1:19" x14ac:dyDescent="0.3">
      <c r="A255" s="1">
        <v>253</v>
      </c>
      <c r="C255" s="1" t="s">
        <v>29</v>
      </c>
      <c r="D255" s="1">
        <v>20.3</v>
      </c>
      <c r="E255" s="1">
        <v>415</v>
      </c>
      <c r="F255" s="1">
        <v>30</v>
      </c>
      <c r="G255" s="1">
        <v>0.47832455999372298</v>
      </c>
      <c r="H255" s="1">
        <v>1.9157435149762769</v>
      </c>
      <c r="I255" s="1">
        <v>1186.5516762668176</v>
      </c>
      <c r="J255" s="1" t="s">
        <v>16</v>
      </c>
      <c r="K255" s="1">
        <f t="shared" si="9"/>
        <v>0.55658659928039611</v>
      </c>
      <c r="L255" s="1">
        <f t="shared" si="10"/>
        <v>0.95536789745688699</v>
      </c>
      <c r="M255" s="1">
        <f t="shared" si="11"/>
        <v>591.00428852528319</v>
      </c>
    </row>
    <row r="256" spans="1:19" x14ac:dyDescent="0.3">
      <c r="A256" s="1">
        <v>254</v>
      </c>
      <c r="C256" s="1" t="s">
        <v>29</v>
      </c>
      <c r="D256" s="1">
        <v>20.3</v>
      </c>
      <c r="E256" s="1">
        <v>416</v>
      </c>
      <c r="F256" s="1">
        <v>45</v>
      </c>
      <c r="G256" s="1">
        <v>0.52026845994103976</v>
      </c>
      <c r="H256" s="1">
        <v>1.9024160216611581</v>
      </c>
      <c r="I256" s="1">
        <v>1583.9758493942552</v>
      </c>
      <c r="J256" s="1" t="s">
        <v>16</v>
      </c>
      <c r="K256" s="1">
        <f t="shared" si="9"/>
        <v>0.6053932351607294</v>
      </c>
      <c r="L256" s="1">
        <f t="shared" si="10"/>
        <v>0.94872156971661348</v>
      </c>
      <c r="M256" s="1">
        <f t="shared" si="11"/>
        <v>788.95554120137251</v>
      </c>
    </row>
    <row r="257" spans="1:19" x14ac:dyDescent="0.3">
      <c r="A257" s="1">
        <v>255</v>
      </c>
      <c r="C257" s="1" t="s">
        <v>29</v>
      </c>
      <c r="D257" s="1">
        <v>20.3</v>
      </c>
      <c r="E257" s="1">
        <v>417</v>
      </c>
      <c r="F257" s="1">
        <v>0</v>
      </c>
      <c r="G257" s="1">
        <v>0.39176293163148596</v>
      </c>
      <c r="H257" s="1">
        <v>1.9335135060631026</v>
      </c>
      <c r="I257" s="1">
        <v>399.26825315641321</v>
      </c>
      <c r="J257" s="1" t="s">
        <v>16</v>
      </c>
      <c r="K257" s="1">
        <f t="shared" si="9"/>
        <v>0.45586201520521658</v>
      </c>
      <c r="L257" s="1">
        <f t="shared" si="10"/>
        <v>0.96422966777725183</v>
      </c>
      <c r="M257" s="1">
        <f t="shared" si="11"/>
        <v>198.86976236033453</v>
      </c>
      <c r="N257" s="1">
        <f>SLOPE(K257:K260,F257:F260)</f>
        <v>3.9557586461389238E-3</v>
      </c>
      <c r="O257" s="1">
        <f>SLOPE(L257:L260,F257:F260)</f>
        <v>-1.4769617200608061E-4</v>
      </c>
      <c r="P257" s="1">
        <f>SLOPE(M257:M260,F257:F260)</f>
        <v>8.7969129334763867</v>
      </c>
      <c r="Q257" s="1">
        <f>(N257*84.63/0.31*60)/1000</f>
        <v>6.4795326623755561E-2</v>
      </c>
      <c r="R257" s="1">
        <f>O257*84.63/0.31*60/1000</f>
        <v>-2.4192632974596E-3</v>
      </c>
      <c r="S257" s="1">
        <f>(P257*84.63/0.31*60)/1000</f>
        <v>144.09343385034319</v>
      </c>
    </row>
    <row r="258" spans="1:19" x14ac:dyDescent="0.3">
      <c r="A258" s="1">
        <v>256</v>
      </c>
      <c r="C258" s="1" t="s">
        <v>29</v>
      </c>
      <c r="D258" s="1">
        <v>20.3</v>
      </c>
      <c r="E258" s="1">
        <v>418</v>
      </c>
      <c r="F258" s="1">
        <v>15</v>
      </c>
      <c r="G258" s="1">
        <v>0.43088075665041042</v>
      </c>
      <c r="H258" s="1">
        <v>1.9212966371909099</v>
      </c>
      <c r="I258" s="1">
        <v>604.54898280238297</v>
      </c>
      <c r="J258" s="1" t="s">
        <v>16</v>
      </c>
      <c r="K258" s="1">
        <f t="shared" si="9"/>
        <v>0.50138018219796832</v>
      </c>
      <c r="L258" s="1">
        <f t="shared" si="10"/>
        <v>0.95813720068200092</v>
      </c>
      <c r="M258" s="1">
        <f t="shared" si="11"/>
        <v>301.11713514571164</v>
      </c>
    </row>
    <row r="259" spans="1:19" x14ac:dyDescent="0.3">
      <c r="A259" s="1">
        <v>257</v>
      </c>
      <c r="C259" s="1" t="s">
        <v>29</v>
      </c>
      <c r="D259" s="1">
        <v>20.3</v>
      </c>
      <c r="E259" s="1">
        <v>419</v>
      </c>
      <c r="F259" s="1">
        <v>30</v>
      </c>
      <c r="G259" s="1">
        <v>0.48070341094354807</v>
      </c>
      <c r="H259" s="1">
        <v>1.9135222660904241</v>
      </c>
      <c r="I259" s="1">
        <v>870.30506312623243</v>
      </c>
      <c r="J259" s="1" t="s">
        <v>16</v>
      </c>
      <c r="K259" s="1">
        <f t="shared" ref="K259:K322" si="12">(G259*28*1)/(0.082*(D259+273.15))</f>
        <v>0.55935467073458922</v>
      </c>
      <c r="L259" s="1">
        <f t="shared" ref="L259:L322" si="13">(H259*12*1)/(0.082*(D259+273.15))</f>
        <v>0.95426017616684156</v>
      </c>
      <c r="M259" s="1">
        <f t="shared" ref="M259:M322" si="14">(I259*12*1)/(0.0821*(D259+273.15))</f>
        <v>433.48640849015061</v>
      </c>
    </row>
    <row r="260" spans="1:19" x14ac:dyDescent="0.3">
      <c r="A260" s="1">
        <v>258</v>
      </c>
      <c r="C260" s="1" t="s">
        <v>29</v>
      </c>
      <c r="D260" s="1">
        <v>20.3</v>
      </c>
      <c r="E260" s="1">
        <v>420</v>
      </c>
      <c r="F260" s="1">
        <v>45</v>
      </c>
      <c r="G260" s="1">
        <v>0.54513221006861201</v>
      </c>
      <c r="H260" s="1">
        <v>1.9212966371909099</v>
      </c>
      <c r="I260" s="1">
        <v>1193.7553165358877</v>
      </c>
      <c r="J260" s="1" t="s">
        <v>16</v>
      </c>
      <c r="K260" s="1">
        <f t="shared" si="12"/>
        <v>0.63432511799995583</v>
      </c>
      <c r="L260" s="1">
        <f t="shared" si="13"/>
        <v>0.95813720068200092</v>
      </c>
      <c r="M260" s="1">
        <f t="shared" si="14"/>
        <v>594.59231791934087</v>
      </c>
    </row>
    <row r="261" spans="1:19" x14ac:dyDescent="0.3">
      <c r="A261" s="1">
        <v>259</v>
      </c>
      <c r="C261" s="1" t="s">
        <v>29</v>
      </c>
      <c r="D261" s="1">
        <v>20.3</v>
      </c>
      <c r="E261" s="1">
        <v>421</v>
      </c>
      <c r="F261" s="1">
        <v>0</v>
      </c>
      <c r="G261" s="1">
        <v>0.39259077176202506</v>
      </c>
      <c r="H261" s="1">
        <v>1.9301816327343229</v>
      </c>
      <c r="I261" s="1">
        <v>375.0472887507396</v>
      </c>
      <c r="J261" s="1" t="s">
        <v>16</v>
      </c>
      <c r="K261" s="1">
        <f t="shared" si="12"/>
        <v>0.45682530407127575</v>
      </c>
      <c r="L261" s="1">
        <f t="shared" si="13"/>
        <v>0.96256808584218345</v>
      </c>
      <c r="M261" s="1">
        <f t="shared" si="14"/>
        <v>186.80564907956375</v>
      </c>
      <c r="N261" s="1">
        <f>SLOPE(K261:K264,F261:F264)</f>
        <v>6.0521852426866302E-3</v>
      </c>
      <c r="O261" s="1">
        <f>SLOPE(L261:L264,F261:F264)</f>
        <v>-1.7354300210714306E-4</v>
      </c>
      <c r="P261" s="1">
        <f>SLOPE(M261:M264,F261:F264)</f>
        <v>11.829467390722563</v>
      </c>
      <c r="Q261" s="1">
        <f>(N261*84.63/0.31*60)/1000</f>
        <v>9.9134794275206981E-2</v>
      </c>
      <c r="R261" s="1">
        <f>O261*84.63/0.31*60/1000</f>
        <v>-2.8426343745150033E-3</v>
      </c>
      <c r="S261" s="1">
        <f>(P261*84.63/0.31*60)/1000</f>
        <v>193.76667586003558</v>
      </c>
    </row>
    <row r="262" spans="1:19" x14ac:dyDescent="0.3">
      <c r="A262" s="1">
        <v>260</v>
      </c>
      <c r="C262" s="1" t="s">
        <v>29</v>
      </c>
      <c r="D262" s="1">
        <v>20.3</v>
      </c>
      <c r="E262" s="1">
        <v>422</v>
      </c>
      <c r="F262" s="1">
        <v>15</v>
      </c>
      <c r="G262" s="1">
        <v>0.48022764075358304</v>
      </c>
      <c r="H262" s="1">
        <v>1.9101903927616442</v>
      </c>
      <c r="I262" s="1">
        <v>778.36707799725104</v>
      </c>
      <c r="J262" s="1" t="s">
        <v>16</v>
      </c>
      <c r="K262" s="1">
        <f t="shared" si="12"/>
        <v>0.55880105644375055</v>
      </c>
      <c r="L262" s="1">
        <f t="shared" si="13"/>
        <v>0.95259859423177307</v>
      </c>
      <c r="M262" s="1">
        <f t="shared" si="14"/>
        <v>387.69342317276835</v>
      </c>
    </row>
    <row r="263" spans="1:19" x14ac:dyDescent="0.3">
      <c r="A263" s="1">
        <v>261</v>
      </c>
      <c r="C263" s="1" t="s">
        <v>29</v>
      </c>
      <c r="D263" s="1">
        <v>20.3</v>
      </c>
      <c r="E263" s="1">
        <v>423</v>
      </c>
      <c r="F263" s="1">
        <v>30</v>
      </c>
      <c r="G263" s="1">
        <v>0.54223952731362468</v>
      </c>
      <c r="H263" s="1">
        <v>1.8946416505606722</v>
      </c>
      <c r="I263" s="1">
        <v>1067.2432607795697</v>
      </c>
      <c r="J263" s="1" t="s">
        <v>16</v>
      </c>
      <c r="K263" s="1">
        <f t="shared" si="12"/>
        <v>0.63095914311165702</v>
      </c>
      <c r="L263" s="1">
        <f t="shared" si="13"/>
        <v>0.944844545201454</v>
      </c>
      <c r="M263" s="1">
        <f t="shared" si="14"/>
        <v>531.57848632847765</v>
      </c>
    </row>
    <row r="264" spans="1:19" x14ac:dyDescent="0.3">
      <c r="A264" s="1">
        <v>262</v>
      </c>
      <c r="C264" s="1" t="s">
        <v>29</v>
      </c>
      <c r="D264" s="1">
        <v>20.3</v>
      </c>
      <c r="E264" s="1">
        <v>424</v>
      </c>
      <c r="F264" s="1">
        <v>45</v>
      </c>
      <c r="G264" s="1">
        <v>0.63197930054482809</v>
      </c>
      <c r="H264" s="1">
        <v>1.9179647638621304</v>
      </c>
      <c r="I264" s="1">
        <v>1466.2486719766282</v>
      </c>
      <c r="J264" s="1" t="s">
        <v>16</v>
      </c>
      <c r="K264" s="1">
        <f t="shared" si="12"/>
        <v>0.73538187064963845</v>
      </c>
      <c r="L264" s="1">
        <f t="shared" si="13"/>
        <v>0.95647561874693265</v>
      </c>
      <c r="M264" s="1">
        <f t="shared" si="14"/>
        <v>730.31733089712213</v>
      </c>
    </row>
    <row r="265" spans="1:19" x14ac:dyDescent="0.3">
      <c r="A265" s="1">
        <v>263</v>
      </c>
      <c r="C265" s="1" t="s">
        <v>29</v>
      </c>
      <c r="D265" s="1">
        <v>20.3</v>
      </c>
      <c r="E265" s="1">
        <v>425</v>
      </c>
      <c r="F265" s="1">
        <v>0</v>
      </c>
      <c r="G265" s="1">
        <v>0.39315218058618379</v>
      </c>
      <c r="H265" s="1">
        <v>1.9346241305060292</v>
      </c>
      <c r="I265" s="1">
        <v>392.7811739366141</v>
      </c>
      <c r="J265" s="1" t="s">
        <v>16</v>
      </c>
      <c r="K265" s="1">
        <f t="shared" si="12"/>
        <v>0.45747856893446531</v>
      </c>
      <c r="L265" s="1">
        <f t="shared" si="13"/>
        <v>0.96478352842227455</v>
      </c>
      <c r="M265" s="1">
        <f t="shared" si="14"/>
        <v>195.63864169733327</v>
      </c>
      <c r="N265" s="1">
        <f>SLOPE(K265:K268,F265:F268)</f>
        <v>8.7736054659717563E-3</v>
      </c>
      <c r="O265" s="1">
        <f>SLOPE(L265:L268,F265:F268)</f>
        <v>-1.2184934190501669E-4</v>
      </c>
      <c r="P265" s="1">
        <f>SLOPE(M265:M268,F265:F268)</f>
        <v>10.983244765001466</v>
      </c>
      <c r="Q265" s="1">
        <f>(N265*84.63/0.31*60)/1000</f>
        <v>0.14371165753261736</v>
      </c>
      <c r="R265" s="1">
        <f>O265*84.63/0.31*60/1000</f>
        <v>-1.9958922204041732E-3</v>
      </c>
      <c r="S265" s="1">
        <f>(P265*84.63/0.31*60)/1000</f>
        <v>179.90554925072399</v>
      </c>
    </row>
    <row r="266" spans="1:19" x14ac:dyDescent="0.3">
      <c r="A266" s="1">
        <v>264</v>
      </c>
      <c r="C266" s="1" t="s">
        <v>29</v>
      </c>
      <c r="D266" s="1">
        <v>20.3</v>
      </c>
      <c r="E266" s="1">
        <v>426</v>
      </c>
      <c r="F266" s="1">
        <v>15</v>
      </c>
      <c r="G266" s="1">
        <v>0.49437704620314293</v>
      </c>
      <c r="H266" s="1">
        <v>1.9090797683187175</v>
      </c>
      <c r="I266" s="1">
        <v>716.95199152989426</v>
      </c>
      <c r="J266" s="1" t="s">
        <v>16</v>
      </c>
      <c r="K266" s="1">
        <f t="shared" si="12"/>
        <v>0.57526554545329134</v>
      </c>
      <c r="L266" s="1">
        <f t="shared" si="13"/>
        <v>0.95204473358675024</v>
      </c>
      <c r="M266" s="1">
        <f t="shared" si="14"/>
        <v>357.1034537611057</v>
      </c>
    </row>
    <row r="267" spans="1:19" x14ac:dyDescent="0.3">
      <c r="A267" s="1">
        <v>265</v>
      </c>
      <c r="C267" s="1" t="s">
        <v>29</v>
      </c>
      <c r="D267" s="1">
        <v>20.3</v>
      </c>
      <c r="E267" s="1">
        <v>427</v>
      </c>
      <c r="F267" s="1">
        <v>30</v>
      </c>
      <c r="G267" s="1">
        <v>0.59319451465887907</v>
      </c>
      <c r="H267" s="1">
        <v>1.9124116416474974</v>
      </c>
      <c r="I267" s="1">
        <v>977.20075976695659</v>
      </c>
      <c r="J267" s="1" t="s">
        <v>16</v>
      </c>
      <c r="K267" s="1">
        <f t="shared" si="12"/>
        <v>0.6902512336604737</v>
      </c>
      <c r="L267" s="1">
        <f t="shared" si="13"/>
        <v>0.95370631552181862</v>
      </c>
      <c r="M267" s="1">
        <f t="shared" si="14"/>
        <v>486.72961433039876</v>
      </c>
    </row>
    <row r="268" spans="1:19" x14ac:dyDescent="0.3">
      <c r="A268" s="1">
        <v>266</v>
      </c>
      <c r="C268" s="1" t="s">
        <v>29</v>
      </c>
      <c r="D268" s="1">
        <v>20.3</v>
      </c>
      <c r="E268" s="1">
        <v>428</v>
      </c>
      <c r="F268" s="1">
        <v>45</v>
      </c>
      <c r="G268" s="1">
        <v>0.73721015116129274</v>
      </c>
      <c r="H268" s="1">
        <v>1.9212966371909099</v>
      </c>
      <c r="I268" s="1">
        <v>1408.5775169133549</v>
      </c>
      <c r="J268" s="1" t="s">
        <v>16</v>
      </c>
      <c r="K268" s="1">
        <f t="shared" si="12"/>
        <v>0.85783027949732571</v>
      </c>
      <c r="L268" s="1">
        <f t="shared" si="13"/>
        <v>0.95813720068200092</v>
      </c>
      <c r="M268" s="1">
        <f t="shared" si="14"/>
        <v>701.59215975764221</v>
      </c>
    </row>
    <row r="269" spans="1:19" x14ac:dyDescent="0.3">
      <c r="A269" s="1">
        <v>267</v>
      </c>
      <c r="C269" s="1" t="s">
        <v>29</v>
      </c>
      <c r="D269" s="1">
        <v>20.3</v>
      </c>
      <c r="E269" s="1">
        <v>429</v>
      </c>
      <c r="F269" s="1">
        <v>0</v>
      </c>
      <c r="G269" s="1">
        <v>0.39220064020625373</v>
      </c>
      <c r="H269" s="1">
        <v>1.940177252720662</v>
      </c>
      <c r="I269" s="1">
        <v>401.34387831868759</v>
      </c>
      <c r="J269" s="1" t="s">
        <v>129</v>
      </c>
      <c r="K269" s="1">
        <f t="shared" si="12"/>
        <v>0.45637134035278809</v>
      </c>
      <c r="L269" s="1">
        <f t="shared" si="13"/>
        <v>0.96755283164738848</v>
      </c>
      <c r="M269" s="1">
        <f t="shared" si="14"/>
        <v>199.90360133828338</v>
      </c>
      <c r="N269" s="1">
        <f>SLOPE(K269:K272,F269:F272)</f>
        <v>3.6664029101272829E-4</v>
      </c>
      <c r="O269" s="1">
        <f>SLOPE(L269:L272,F269:F272)</f>
        <v>-1.7723540640729229E-4</v>
      </c>
      <c r="P269" s="1">
        <f>SLOPE(M269:M272,F269:F272)</f>
        <v>5.4011888881036798</v>
      </c>
      <c r="Q269" s="1">
        <f>(N269*84.63/0.31*60)/1000</f>
        <v>6.0055679667884885E-3</v>
      </c>
      <c r="R269" s="1">
        <f>O269*84.63/0.31*60/1000</f>
        <v>-2.9031159569514477E-3</v>
      </c>
      <c r="S269" s="1">
        <f>(P269*84.63/0.31*60)/1000</f>
        <v>88.471473987138282</v>
      </c>
    </row>
    <row r="270" spans="1:19" x14ac:dyDescent="0.3">
      <c r="A270" s="1">
        <v>268</v>
      </c>
      <c r="C270" s="1" t="s">
        <v>29</v>
      </c>
      <c r="D270" s="1">
        <v>20.3</v>
      </c>
      <c r="E270" s="1">
        <v>430</v>
      </c>
      <c r="F270" s="1">
        <v>15</v>
      </c>
      <c r="G270" s="1">
        <v>0.39779569764024247</v>
      </c>
      <c r="H270" s="1">
        <v>1.9201860127479835</v>
      </c>
      <c r="I270" s="1">
        <v>547.57036998225988</v>
      </c>
      <c r="J270" s="1" t="s">
        <v>129</v>
      </c>
      <c r="K270" s="1">
        <f t="shared" si="12"/>
        <v>0.46288184441305041</v>
      </c>
      <c r="L270" s="1">
        <f t="shared" si="13"/>
        <v>0.9575833400369782</v>
      </c>
      <c r="M270" s="1">
        <f t="shared" si="14"/>
        <v>272.7369093161355</v>
      </c>
    </row>
    <row r="271" spans="1:19" x14ac:dyDescent="0.3">
      <c r="A271" s="1">
        <v>269</v>
      </c>
      <c r="C271" s="1" t="s">
        <v>29</v>
      </c>
      <c r="D271" s="1">
        <v>20.3</v>
      </c>
      <c r="E271" s="1">
        <v>431</v>
      </c>
      <c r="F271" s="1">
        <v>30</v>
      </c>
      <c r="G271" s="1">
        <v>0.40469436539473536</v>
      </c>
      <c r="H271" s="1">
        <v>1.9135222660904241</v>
      </c>
      <c r="I271" s="1">
        <v>699.208098508136</v>
      </c>
      <c r="J271" s="1" t="s">
        <v>129</v>
      </c>
      <c r="K271" s="1">
        <f t="shared" si="12"/>
        <v>0.47090925163021041</v>
      </c>
      <c r="L271" s="1">
        <f t="shared" si="13"/>
        <v>0.95426017616684156</v>
      </c>
      <c r="M271" s="1">
        <f t="shared" si="14"/>
        <v>348.26547638452251</v>
      </c>
    </row>
    <row r="272" spans="1:19" x14ac:dyDescent="0.3">
      <c r="A272" s="1">
        <v>270</v>
      </c>
      <c r="C272" s="1" t="s">
        <v>29</v>
      </c>
      <c r="D272" s="1">
        <v>20.3</v>
      </c>
      <c r="E272" s="1">
        <v>432</v>
      </c>
      <c r="F272" s="1">
        <v>45</v>
      </c>
      <c r="G272" s="1">
        <v>0.40565542117846476</v>
      </c>
      <c r="H272" s="1">
        <v>1.9246285105196899</v>
      </c>
      <c r="I272" s="1">
        <v>892.99282707452676</v>
      </c>
      <c r="J272" s="1" t="s">
        <v>129</v>
      </c>
      <c r="K272" s="1">
        <f t="shared" si="12"/>
        <v>0.47202755249770451</v>
      </c>
      <c r="L272" s="1">
        <f t="shared" si="13"/>
        <v>0.95979878261706941</v>
      </c>
      <c r="M272" s="1">
        <f t="shared" si="14"/>
        <v>444.78685672067172</v>
      </c>
    </row>
    <row r="273" spans="1:19" x14ac:dyDescent="0.3">
      <c r="A273" s="1">
        <v>271</v>
      </c>
      <c r="C273" s="1" t="s">
        <v>29</v>
      </c>
      <c r="D273" s="1">
        <v>20.3</v>
      </c>
      <c r="E273" s="1" t="s">
        <v>114</v>
      </c>
      <c r="G273" s="1">
        <v>0.38939359608546004</v>
      </c>
      <c r="H273">
        <v>1.9290710082913962</v>
      </c>
      <c r="I273">
        <v>398.2554601649851</v>
      </c>
      <c r="K273" s="1">
        <f t="shared" si="12"/>
        <v>0.45310501603684017</v>
      </c>
      <c r="L273" s="1">
        <f t="shared" si="13"/>
        <v>0.96201422519716051</v>
      </c>
      <c r="M273" s="1">
        <f t="shared" si="14"/>
        <v>198.36530476839417</v>
      </c>
    </row>
    <row r="274" spans="1:19" x14ac:dyDescent="0.3">
      <c r="A274" s="1">
        <v>272</v>
      </c>
      <c r="C274" s="1" t="s">
        <v>29</v>
      </c>
      <c r="D274" s="1">
        <v>20.3</v>
      </c>
      <c r="E274" s="1" t="s">
        <v>115</v>
      </c>
      <c r="G274" s="1">
        <v>0.39156310815170059</v>
      </c>
      <c r="H274">
        <v>1.9379560038348087</v>
      </c>
      <c r="I274">
        <v>396.51609828840219</v>
      </c>
      <c r="K274" s="1">
        <f t="shared" si="12"/>
        <v>0.45562949720306434</v>
      </c>
      <c r="L274" s="1">
        <f t="shared" si="13"/>
        <v>0.96644511035734282</v>
      </c>
      <c r="M274" s="1">
        <f t="shared" si="14"/>
        <v>197.49895368658363</v>
      </c>
    </row>
    <row r="275" spans="1:19" x14ac:dyDescent="0.3">
      <c r="A275" s="1">
        <v>273</v>
      </c>
      <c r="C275" s="1" t="s">
        <v>29</v>
      </c>
      <c r="D275" s="1">
        <v>20.3</v>
      </c>
      <c r="E275" s="1" t="s">
        <v>116</v>
      </c>
      <c r="G275" s="1">
        <v>0.39049738292617897</v>
      </c>
      <c r="H275">
        <v>1.9390666282777356</v>
      </c>
      <c r="I275">
        <v>394.46048879789504</v>
      </c>
      <c r="K275" s="1">
        <f t="shared" si="12"/>
        <v>0.45438940119158583</v>
      </c>
      <c r="L275" s="1">
        <f t="shared" si="13"/>
        <v>0.96699897100236576</v>
      </c>
      <c r="M275" s="1">
        <f t="shared" si="14"/>
        <v>196.47508422626203</v>
      </c>
    </row>
    <row r="276" spans="1:19" x14ac:dyDescent="0.3">
      <c r="A276" s="1">
        <v>274</v>
      </c>
      <c r="B276" s="1" t="s">
        <v>70</v>
      </c>
      <c r="C276" s="1" t="s">
        <v>29</v>
      </c>
      <c r="D276" s="1">
        <v>22.7</v>
      </c>
      <c r="E276" s="1">
        <v>601</v>
      </c>
      <c r="F276" s="1">
        <v>0</v>
      </c>
      <c r="G276" s="1">
        <v>0.39321302711861722</v>
      </c>
      <c r="H276">
        <v>1.8461846931560966</v>
      </c>
      <c r="I276">
        <v>407.33241241311561</v>
      </c>
      <c r="J276" s="1" t="s">
        <v>129</v>
      </c>
      <c r="K276" s="1">
        <f t="shared" si="12"/>
        <v>0.4538376302807241</v>
      </c>
      <c r="L276" s="1">
        <f t="shared" si="13"/>
        <v>0.91321064637539451</v>
      </c>
      <c r="M276" s="1">
        <f t="shared" si="14"/>
        <v>201.24054491342116</v>
      </c>
      <c r="N276" s="1">
        <f>SLOPE(K276:K279,F276:F279)</f>
        <v>8.5348654724611722E-4</v>
      </c>
      <c r="O276" s="1">
        <f>SLOPE(L276:L279,F276:F279)</f>
        <v>5.9348405436593734E-4</v>
      </c>
      <c r="P276" s="1">
        <f>SLOPE(M276:M279,F276:F279)</f>
        <v>12.721697061760832</v>
      </c>
      <c r="Q276" s="1">
        <f>(N276*84.63/0.31*60)/1000</f>
        <v>1.39801096438914E-2</v>
      </c>
      <c r="R276" s="1">
        <f>O276*84.63/0.31*60/1000</f>
        <v>9.7212688105140534E-3</v>
      </c>
      <c r="S276" s="1">
        <f>(P276*84.63/0.31*60)/1000</f>
        <v>208.38139787164241</v>
      </c>
    </row>
    <row r="277" spans="1:19" x14ac:dyDescent="0.3">
      <c r="A277" s="1">
        <v>275</v>
      </c>
      <c r="B277" s="1" t="s">
        <v>142</v>
      </c>
      <c r="C277" s="1" t="s">
        <v>29</v>
      </c>
      <c r="D277" s="1">
        <v>22.7</v>
      </c>
      <c r="E277" s="1">
        <v>602</v>
      </c>
      <c r="F277" s="1">
        <v>15</v>
      </c>
      <c r="G277" s="1">
        <v>0.40519280793983087</v>
      </c>
      <c r="H277">
        <v>1.8700363793384331</v>
      </c>
      <c r="I277">
        <v>889.03631271944516</v>
      </c>
      <c r="J277" s="1" t="s">
        <v>129</v>
      </c>
      <c r="K277" s="1">
        <f t="shared" si="12"/>
        <v>0.46766442381048673</v>
      </c>
      <c r="L277" s="1">
        <f t="shared" si="13"/>
        <v>0.92500882335977763</v>
      </c>
      <c r="M277" s="1">
        <f t="shared" si="14"/>
        <v>439.2239521514669</v>
      </c>
    </row>
    <row r="278" spans="1:19" x14ac:dyDescent="0.3">
      <c r="A278" s="1">
        <v>276</v>
      </c>
      <c r="C278" s="1" t="s">
        <v>29</v>
      </c>
      <c r="D278" s="1">
        <v>22.7</v>
      </c>
      <c r="E278" s="1">
        <v>603</v>
      </c>
      <c r="F278" s="1">
        <v>30</v>
      </c>
      <c r="G278" s="1">
        <v>0.42171199082604188</v>
      </c>
      <c r="H278">
        <v>1.8743730495534034</v>
      </c>
      <c r="I278">
        <v>1495.4084889242226</v>
      </c>
      <c r="J278" s="1" t="s">
        <v>129</v>
      </c>
      <c r="K278" s="1">
        <f t="shared" si="12"/>
        <v>0.48673049308644267</v>
      </c>
      <c r="L278" s="1">
        <f t="shared" si="13"/>
        <v>0.92715394644784732</v>
      </c>
      <c r="M278" s="1">
        <f t="shared" si="14"/>
        <v>738.7990987421274</v>
      </c>
    </row>
    <row r="279" spans="1:19" x14ac:dyDescent="0.3">
      <c r="A279" s="1">
        <v>277</v>
      </c>
      <c r="C279" s="1" t="s">
        <v>29</v>
      </c>
      <c r="D279" s="1">
        <v>22.7</v>
      </c>
      <c r="E279" s="1">
        <v>604</v>
      </c>
      <c r="F279" s="1">
        <v>45</v>
      </c>
      <c r="G279" s="1">
        <v>0.42468043209147538</v>
      </c>
      <c r="H279">
        <v>1.9047297410581951</v>
      </c>
      <c r="I279">
        <v>1492.7122104147375</v>
      </c>
      <c r="J279" s="1" t="s">
        <v>129</v>
      </c>
      <c r="K279" s="1">
        <f t="shared" si="12"/>
        <v>0.49015660121771132</v>
      </c>
      <c r="L279" s="1">
        <f t="shared" si="13"/>
        <v>0.94216980806433481</v>
      </c>
      <c r="M279" s="1">
        <f t="shared" si="14"/>
        <v>737.46701580457591</v>
      </c>
    </row>
    <row r="280" spans="1:19" x14ac:dyDescent="0.3">
      <c r="A280" s="1">
        <v>278</v>
      </c>
      <c r="C280" s="1" t="s">
        <v>29</v>
      </c>
      <c r="D280" s="1">
        <v>22.7</v>
      </c>
      <c r="E280" s="1">
        <v>605</v>
      </c>
      <c r="F280" s="1">
        <v>0</v>
      </c>
      <c r="G280" s="1">
        <v>0.39854272848155453</v>
      </c>
      <c r="H280">
        <v>1.8505213633710669</v>
      </c>
      <c r="I280">
        <v>403.27629712823892</v>
      </c>
      <c r="J280" s="1" t="s">
        <v>16</v>
      </c>
      <c r="K280" s="1">
        <f t="shared" si="12"/>
        <v>0.45998905169822907</v>
      </c>
      <c r="L280" s="1">
        <f t="shared" si="13"/>
        <v>0.9153557694634642</v>
      </c>
      <c r="M280" s="1">
        <f t="shared" si="14"/>
        <v>199.2366414054126</v>
      </c>
      <c r="N280" s="1">
        <f>SLOPE(K280:K283,F280:F283)</f>
        <v>1.6646287710516624E-3</v>
      </c>
      <c r="O280" s="1">
        <f>SLOPE(L280:L283,F280:F283)</f>
        <v>-3.1819325806365929E-4</v>
      </c>
      <c r="P280" s="1">
        <f>SLOPE(M280:M283,F280:F283)</f>
        <v>12.518921226210395</v>
      </c>
      <c r="Q280" s="1">
        <f>(N280*84.63/0.31*60)/1000</f>
        <v>2.726661926982623E-2</v>
      </c>
      <c r="R280" s="1">
        <f>O280*84.63/0.31*60/1000</f>
        <v>-5.2120055670827389E-3</v>
      </c>
      <c r="S280" s="1">
        <f>(P280*84.63/0.31*60)/1000</f>
        <v>205.05992968532627</v>
      </c>
    </row>
    <row r="281" spans="1:19" x14ac:dyDescent="0.3">
      <c r="A281" s="1">
        <v>279</v>
      </c>
      <c r="C281" s="1" t="s">
        <v>29</v>
      </c>
      <c r="D281" s="1">
        <v>22.7</v>
      </c>
      <c r="E281" s="1">
        <v>606</v>
      </c>
      <c r="F281" s="1">
        <v>15</v>
      </c>
      <c r="G281" s="1">
        <v>0.42506594394412905</v>
      </c>
      <c r="H281">
        <v>1.8483530282635821</v>
      </c>
      <c r="I281">
        <v>875.26735612274183</v>
      </c>
      <c r="J281" s="1" t="s">
        <v>16</v>
      </c>
      <c r="K281" s="1">
        <f t="shared" si="12"/>
        <v>0.49060155032566827</v>
      </c>
      <c r="L281" s="1">
        <f t="shared" si="13"/>
        <v>0.91428320791942963</v>
      </c>
      <c r="M281" s="1">
        <f t="shared" si="14"/>
        <v>432.4214678807096</v>
      </c>
    </row>
    <row r="282" spans="1:19" x14ac:dyDescent="0.3">
      <c r="A282" s="1">
        <v>280</v>
      </c>
      <c r="C282" s="1" t="s">
        <v>29</v>
      </c>
      <c r="D282" s="1">
        <v>22.7</v>
      </c>
      <c r="E282" s="1">
        <v>607</v>
      </c>
      <c r="F282" s="1">
        <v>30</v>
      </c>
      <c r="G282" s="1">
        <v>0.45277460835361366</v>
      </c>
      <c r="H282">
        <v>1.823417174527503</v>
      </c>
      <c r="I282">
        <v>1381.3108725184932</v>
      </c>
      <c r="J282" s="1" t="s">
        <v>16</v>
      </c>
      <c r="K282" s="1">
        <f t="shared" si="12"/>
        <v>0.52258226746007508</v>
      </c>
      <c r="L282" s="1">
        <f t="shared" si="13"/>
        <v>0.90194875016302911</v>
      </c>
      <c r="M282" s="1">
        <f t="shared" si="14"/>
        <v>682.429740942227</v>
      </c>
    </row>
    <row r="283" spans="1:19" x14ac:dyDescent="0.3">
      <c r="A283" s="1">
        <v>281</v>
      </c>
      <c r="C283" s="1" t="s">
        <v>29</v>
      </c>
      <c r="D283" s="1">
        <v>22.7</v>
      </c>
      <c r="E283" s="1">
        <v>608</v>
      </c>
      <c r="F283" s="1">
        <v>45</v>
      </c>
      <c r="G283" s="1">
        <v>0.46141971164937279</v>
      </c>
      <c r="H283">
        <v>1.8266696771887307</v>
      </c>
      <c r="I283">
        <v>1501.5769814795456</v>
      </c>
      <c r="J283" s="1" t="s">
        <v>16</v>
      </c>
      <c r="K283" s="1">
        <f t="shared" si="12"/>
        <v>0.53256025120600992</v>
      </c>
      <c r="L283" s="1">
        <f t="shared" si="13"/>
        <v>0.90355759247908141</v>
      </c>
      <c r="M283" s="1">
        <f t="shared" si="14"/>
        <v>741.84661169542642</v>
      </c>
    </row>
    <row r="284" spans="1:19" x14ac:dyDescent="0.3">
      <c r="A284" s="1">
        <v>282</v>
      </c>
      <c r="C284" s="1" t="s">
        <v>29</v>
      </c>
      <c r="D284" s="1">
        <v>22.7</v>
      </c>
      <c r="E284" s="1">
        <v>609</v>
      </c>
      <c r="F284" s="1">
        <v>0</v>
      </c>
      <c r="G284" s="1">
        <v>0.39886077575999385</v>
      </c>
      <c r="H284">
        <v>1.8461846931560966</v>
      </c>
      <c r="I284">
        <v>397.45190663866003</v>
      </c>
      <c r="J284" s="1" t="s">
        <v>16</v>
      </c>
      <c r="K284" s="1">
        <f t="shared" si="12"/>
        <v>0.46035613471229353</v>
      </c>
      <c r="L284" s="1">
        <f t="shared" si="13"/>
        <v>0.91321064637539451</v>
      </c>
      <c r="M284" s="1">
        <f t="shared" si="14"/>
        <v>196.35913035990643</v>
      </c>
      <c r="N284" s="1">
        <f>SLOPE(K284:K287,F284:F287)</f>
        <v>1.7755694153022642E-3</v>
      </c>
      <c r="O284" s="1">
        <f>SLOPE(L284:L287,F284:F287)</f>
        <v>-2.1808751395374119E-4</v>
      </c>
      <c r="P284" s="1">
        <f>SLOPE(M284:M287,F284:F287)</f>
        <v>12.65487459326418</v>
      </c>
      <c r="Q284" s="1">
        <f>(N284*84.63/0.31*60)/1000</f>
        <v>2.9083827022651089E-2</v>
      </c>
      <c r="R284" s="1">
        <f>O284*84.63/0.31*60/1000</f>
        <v>-3.5722734785622805E-3</v>
      </c>
      <c r="S284" s="1">
        <f>(P284*84.63/0.31*60)/1000</f>
        <v>207.28684583766727</v>
      </c>
    </row>
    <row r="285" spans="1:19" x14ac:dyDescent="0.3">
      <c r="A285" s="1">
        <v>283</v>
      </c>
      <c r="C285" s="1" t="s">
        <v>29</v>
      </c>
      <c r="D285" s="1">
        <v>22.7</v>
      </c>
      <c r="E285" s="1">
        <v>610</v>
      </c>
      <c r="F285" s="1">
        <v>15</v>
      </c>
      <c r="G285" s="1">
        <v>0.42636704644683532</v>
      </c>
      <c r="H285">
        <v>1.8407638553873837</v>
      </c>
      <c r="I285">
        <v>869.30064579860584</v>
      </c>
      <c r="J285" s="1" t="s">
        <v>16</v>
      </c>
      <c r="K285" s="1">
        <f t="shared" si="12"/>
        <v>0.49210325356502305</v>
      </c>
      <c r="L285" s="1">
        <f t="shared" si="13"/>
        <v>0.91052924251530754</v>
      </c>
      <c r="M285" s="1">
        <f t="shared" si="14"/>
        <v>429.47364443141373</v>
      </c>
    </row>
    <row r="286" spans="1:19" x14ac:dyDescent="0.3">
      <c r="A286" s="1">
        <v>284</v>
      </c>
      <c r="C286" s="1" t="s">
        <v>29</v>
      </c>
      <c r="D286" s="1">
        <v>22.7</v>
      </c>
      <c r="E286" s="1">
        <v>611</v>
      </c>
      <c r="F286" s="1">
        <v>30</v>
      </c>
      <c r="G286" s="1">
        <v>0.45964635712716573</v>
      </c>
      <c r="H286">
        <v>1.8299221798499581</v>
      </c>
      <c r="I286">
        <v>1403.3889679492002</v>
      </c>
      <c r="J286" s="1" t="s">
        <v>16</v>
      </c>
      <c r="K286" s="1">
        <f t="shared" si="12"/>
        <v>0.53051348530940778</v>
      </c>
      <c r="L286" s="1">
        <f t="shared" si="13"/>
        <v>0.90516643479513348</v>
      </c>
      <c r="M286" s="1">
        <f t="shared" si="14"/>
        <v>693.33731377397078</v>
      </c>
    </row>
    <row r="287" spans="1:19" x14ac:dyDescent="0.3">
      <c r="A287" s="1">
        <v>285</v>
      </c>
      <c r="C287" s="1" t="s">
        <v>29</v>
      </c>
      <c r="D287" s="1">
        <v>22.7</v>
      </c>
      <c r="E287" s="1">
        <v>612</v>
      </c>
      <c r="F287" s="1">
        <v>45</v>
      </c>
      <c r="G287" s="1">
        <v>0.46468692460061284</v>
      </c>
      <c r="H287">
        <v>1.8277538447424733</v>
      </c>
      <c r="I287">
        <v>1500.1635310678485</v>
      </c>
      <c r="J287" s="1" t="s">
        <v>16</v>
      </c>
      <c r="K287" s="1">
        <f t="shared" si="12"/>
        <v>0.53633119489594516</v>
      </c>
      <c r="L287" s="1">
        <f t="shared" si="13"/>
        <v>0.9040938732510988</v>
      </c>
      <c r="M287" s="1">
        <f t="shared" si="14"/>
        <v>741.14830357559651</v>
      </c>
    </row>
    <row r="288" spans="1:19" x14ac:dyDescent="0.3">
      <c r="A288" s="1">
        <v>286</v>
      </c>
      <c r="C288" s="1" t="s">
        <v>29</v>
      </c>
      <c r="D288" s="1">
        <v>22.7</v>
      </c>
      <c r="E288" s="1">
        <v>613</v>
      </c>
      <c r="F288" s="1">
        <v>0</v>
      </c>
      <c r="G288" s="1">
        <v>0.39755003546097134</v>
      </c>
      <c r="H288">
        <v>1.8494371958173244</v>
      </c>
      <c r="I288">
        <v>414.35872314933061</v>
      </c>
      <c r="J288" s="1" t="s">
        <v>16</v>
      </c>
      <c r="K288" s="1">
        <f t="shared" si="12"/>
        <v>0.45884330774523996</v>
      </c>
      <c r="L288" s="1">
        <f t="shared" si="13"/>
        <v>0.91481948869144691</v>
      </c>
      <c r="M288" s="1">
        <f t="shared" si="14"/>
        <v>204.71185865668616</v>
      </c>
      <c r="N288" s="1">
        <f>SLOPE(K288:K291,F288:F291)</f>
        <v>2.1240387250172246E-3</v>
      </c>
      <c r="O288" s="1">
        <f>SLOPE(L288:L291,F288:F291)</f>
        <v>-2.7886600144905183E-4</v>
      </c>
      <c r="P288" s="1">
        <f>SLOPE(M288:M291,F288:F291)</f>
        <v>16.082138739269109</v>
      </c>
      <c r="Q288" s="1">
        <f>(N288*84.63/0.31*60)/1000</f>
        <v>3.4791754315782145E-2</v>
      </c>
      <c r="R288" s="1">
        <f>O288*84.63/0.31*60/1000</f>
        <v>-4.5678251037354692E-3</v>
      </c>
      <c r="S288" s="1">
        <f>(P288*84.63/0.31*60)/1000</f>
        <v>263.42543254922793</v>
      </c>
    </row>
    <row r="289" spans="1:19" x14ac:dyDescent="0.3">
      <c r="A289" s="1">
        <v>287</v>
      </c>
      <c r="C289" s="1" t="s">
        <v>29</v>
      </c>
      <c r="D289" s="1">
        <v>22.7</v>
      </c>
      <c r="E289" s="1">
        <v>614</v>
      </c>
      <c r="F289" s="1">
        <v>15</v>
      </c>
      <c r="G289" s="1">
        <v>0.42818858995062398</v>
      </c>
      <c r="H289">
        <v>1.8353430176186709</v>
      </c>
      <c r="I289">
        <v>945.09083166718506</v>
      </c>
      <c r="J289" s="1" t="s">
        <v>16</v>
      </c>
      <c r="K289" s="1">
        <f t="shared" si="12"/>
        <v>0.49420563810011964</v>
      </c>
      <c r="L289" s="1">
        <f t="shared" si="13"/>
        <v>0.90784783865522045</v>
      </c>
      <c r="M289" s="1">
        <f t="shared" si="14"/>
        <v>466.91740740850224</v>
      </c>
    </row>
    <row r="290" spans="1:19" x14ac:dyDescent="0.3">
      <c r="A290" s="1">
        <v>288</v>
      </c>
      <c r="C290" s="1" t="s">
        <v>29</v>
      </c>
      <c r="D290" s="1">
        <v>22.7</v>
      </c>
      <c r="E290" s="1">
        <v>615</v>
      </c>
      <c r="F290" s="1">
        <v>30</v>
      </c>
      <c r="G290" s="1">
        <v>0.46711564927233112</v>
      </c>
      <c r="H290">
        <v>1.8353430176186709</v>
      </c>
      <c r="I290">
        <v>1584.1517293242703</v>
      </c>
      <c r="J290" s="1" t="s">
        <v>16</v>
      </c>
      <c r="K290" s="1">
        <f t="shared" si="12"/>
        <v>0.53913437427607402</v>
      </c>
      <c r="L290" s="1">
        <f t="shared" si="13"/>
        <v>0.90784783865522045</v>
      </c>
      <c r="M290" s="1">
        <f t="shared" si="14"/>
        <v>782.64225364769868</v>
      </c>
    </row>
    <row r="291" spans="1:19" x14ac:dyDescent="0.3">
      <c r="A291" s="1">
        <v>289</v>
      </c>
      <c r="C291" s="1" t="s">
        <v>29</v>
      </c>
      <c r="D291" s="1">
        <v>22.7</v>
      </c>
      <c r="E291" s="1">
        <v>616</v>
      </c>
      <c r="F291" s="1">
        <v>45</v>
      </c>
      <c r="G291" s="1">
        <v>0.47658960305129577</v>
      </c>
      <c r="H291">
        <v>1.8212488394200179</v>
      </c>
      <c r="I291">
        <v>1828.9369707955022</v>
      </c>
      <c r="J291" s="1" t="s">
        <v>16</v>
      </c>
      <c r="K291" s="1">
        <f t="shared" si="12"/>
        <v>0.5500689986041164</v>
      </c>
      <c r="L291" s="1">
        <f t="shared" si="13"/>
        <v>0.90087618861899432</v>
      </c>
      <c r="M291" s="1">
        <f t="shared" si="14"/>
        <v>903.57718020707603</v>
      </c>
    </row>
    <row r="292" spans="1:19" x14ac:dyDescent="0.3">
      <c r="A292" s="1">
        <v>290</v>
      </c>
      <c r="C292" s="1" t="s">
        <v>29</v>
      </c>
      <c r="D292" s="1">
        <v>22.7</v>
      </c>
      <c r="E292" s="1">
        <v>617</v>
      </c>
      <c r="F292" s="1">
        <v>0</v>
      </c>
      <c r="G292" s="1">
        <v>0.39568994077191721</v>
      </c>
      <c r="H292">
        <v>1.8505213633710669</v>
      </c>
      <c r="I292">
        <v>390.90421945564719</v>
      </c>
      <c r="J292" s="1" t="s">
        <v>16</v>
      </c>
      <c r="K292" s="1">
        <f t="shared" si="12"/>
        <v>0.45669642829934759</v>
      </c>
      <c r="L292" s="1">
        <f t="shared" si="13"/>
        <v>0.9153557694634642</v>
      </c>
      <c r="M292" s="1">
        <f t="shared" si="14"/>
        <v>193.12427819377004</v>
      </c>
      <c r="N292" s="1">
        <f>SLOPE(K292:K295,F292:F295)</f>
        <v>3.2232113380402444E-3</v>
      </c>
      <c r="O292" s="1">
        <f>SLOPE(L292:L295,F292:F295)</f>
        <v>-1.2155697499060796E-4</v>
      </c>
      <c r="P292" s="1">
        <f>SLOPE(M292:M295,F292:F295)</f>
        <v>12.208018398201876</v>
      </c>
      <c r="Q292" s="1">
        <f>(N292*84.63/0.31*60)/1000</f>
        <v>5.2796201717099207E-2</v>
      </c>
      <c r="R292" s="1">
        <f>O292*84.63/0.31*60/1000</f>
        <v>-1.9911032503461584E-3</v>
      </c>
      <c r="S292" s="1">
        <f>(P292*84.63/0.31*60)/1000</f>
        <v>199.96734136254673</v>
      </c>
    </row>
    <row r="293" spans="1:19" x14ac:dyDescent="0.3">
      <c r="A293" s="1">
        <v>291</v>
      </c>
      <c r="C293" s="1" t="s">
        <v>29</v>
      </c>
      <c r="D293" s="1">
        <v>22.7</v>
      </c>
      <c r="E293" s="1">
        <v>618</v>
      </c>
      <c r="F293" s="1">
        <v>15</v>
      </c>
      <c r="G293" s="1">
        <v>0.43147507849449679</v>
      </c>
      <c r="H293">
        <v>1.8461846931560966</v>
      </c>
      <c r="I293">
        <v>700.51322118746452</v>
      </c>
      <c r="J293" s="1" t="s">
        <v>16</v>
      </c>
      <c r="K293" s="1">
        <f t="shared" si="12"/>
        <v>0.49799882924545275</v>
      </c>
      <c r="L293" s="1">
        <f t="shared" si="13"/>
        <v>0.91321064637539451</v>
      </c>
      <c r="M293" s="1">
        <f t="shared" si="14"/>
        <v>346.08505990396901</v>
      </c>
    </row>
    <row r="294" spans="1:19" x14ac:dyDescent="0.3">
      <c r="A294" s="1">
        <v>292</v>
      </c>
      <c r="C294" s="1" t="s">
        <v>29</v>
      </c>
      <c r="D294" s="1">
        <v>22.7</v>
      </c>
      <c r="E294" s="1">
        <v>619</v>
      </c>
      <c r="F294" s="1">
        <v>30</v>
      </c>
      <c r="G294" s="1">
        <v>0.48357700538064408</v>
      </c>
      <c r="H294">
        <v>1.8353430176186709</v>
      </c>
      <c r="I294">
        <v>1156.7759888766359</v>
      </c>
      <c r="J294" s="1" t="s">
        <v>16</v>
      </c>
      <c r="K294" s="1">
        <f t="shared" si="12"/>
        <v>0.55813370118583638</v>
      </c>
      <c r="L294" s="1">
        <f t="shared" si="13"/>
        <v>0.90784783865522045</v>
      </c>
      <c r="M294" s="1">
        <f t="shared" si="14"/>
        <v>571.4994025768824</v>
      </c>
    </row>
    <row r="295" spans="1:19" x14ac:dyDescent="0.3">
      <c r="A295" s="1">
        <v>293</v>
      </c>
      <c r="C295" s="1" t="s">
        <v>29</v>
      </c>
      <c r="D295" s="1">
        <v>22.7</v>
      </c>
      <c r="E295" s="1">
        <v>620</v>
      </c>
      <c r="F295" s="1">
        <v>45</v>
      </c>
      <c r="G295" s="1">
        <v>0.51795502484103761</v>
      </c>
      <c r="H295">
        <v>1.8418480229411267</v>
      </c>
      <c r="I295">
        <v>1474.333455889127</v>
      </c>
      <c r="J295" s="1" t="s">
        <v>16</v>
      </c>
      <c r="K295" s="1">
        <f t="shared" si="12"/>
        <v>0.59781203788789861</v>
      </c>
      <c r="L295" s="1">
        <f t="shared" si="13"/>
        <v>0.91106552328732515</v>
      </c>
      <c r="M295" s="1">
        <f t="shared" si="14"/>
        <v>728.38708387955933</v>
      </c>
    </row>
    <row r="296" spans="1:19" x14ac:dyDescent="0.3">
      <c r="A296" s="1">
        <v>294</v>
      </c>
      <c r="C296" s="1" t="s">
        <v>29</v>
      </c>
      <c r="D296" s="1">
        <v>22.7</v>
      </c>
      <c r="E296" s="1">
        <v>621</v>
      </c>
      <c r="F296" s="1">
        <v>0</v>
      </c>
      <c r="G296" s="1">
        <v>0.39896679151947367</v>
      </c>
      <c r="H296">
        <v>1.8732888819996607</v>
      </c>
      <c r="I296">
        <v>401.83750208847016</v>
      </c>
      <c r="J296" s="1" t="s">
        <v>16</v>
      </c>
      <c r="K296" s="1">
        <f t="shared" si="12"/>
        <v>0.46047849571698179</v>
      </c>
      <c r="L296" s="1">
        <f t="shared" si="13"/>
        <v>0.92661766567582993</v>
      </c>
      <c r="M296" s="1">
        <f t="shared" si="14"/>
        <v>198.52581189860643</v>
      </c>
      <c r="N296" s="1">
        <f>SLOPE(K296:K299,F296:F299)</f>
        <v>2.8423349016290815E-3</v>
      </c>
      <c r="O296" s="1">
        <f>SLOPE(L296:L299,F296:F299)</f>
        <v>-3.2176846321044635E-4</v>
      </c>
      <c r="P296" s="1">
        <f>SLOPE(M296:M299,F296:F299)</f>
        <v>12.383642087686097</v>
      </c>
      <c r="Q296" s="1">
        <f>(N296*84.63/0.31*60)/1000</f>
        <v>4.6557445688684355E-2</v>
      </c>
      <c r="R296" s="1">
        <f>O296*84.63/0.31*60/1000</f>
        <v>-5.2705674273871104E-3</v>
      </c>
      <c r="S296" s="1">
        <f>(P296*84.63/0.31*60)/1000</f>
        <v>202.84405739629821</v>
      </c>
    </row>
    <row r="297" spans="1:19" x14ac:dyDescent="0.3">
      <c r="A297" s="1">
        <v>295</v>
      </c>
      <c r="C297" s="1" t="s">
        <v>29</v>
      </c>
      <c r="D297" s="1">
        <v>22.7</v>
      </c>
      <c r="E297" s="1">
        <v>622</v>
      </c>
      <c r="F297" s="1">
        <v>15</v>
      </c>
      <c r="G297" s="1">
        <v>0.44498726893000889</v>
      </c>
      <c r="H297">
        <v>1.8505213633710669</v>
      </c>
      <c r="I297">
        <v>871.39450199469206</v>
      </c>
      <c r="J297" s="1" t="s">
        <v>16</v>
      </c>
      <c r="K297" s="1">
        <f t="shared" si="12"/>
        <v>0.51359429547934432</v>
      </c>
      <c r="L297" s="1">
        <f t="shared" si="13"/>
        <v>0.9153557694634642</v>
      </c>
      <c r="M297" s="1">
        <f t="shared" si="14"/>
        <v>430.50810363237554</v>
      </c>
    </row>
    <row r="298" spans="1:19" x14ac:dyDescent="0.3">
      <c r="A298" s="1">
        <v>296</v>
      </c>
      <c r="C298" s="1" t="s">
        <v>29</v>
      </c>
      <c r="D298" s="1">
        <v>22.7</v>
      </c>
      <c r="E298" s="1">
        <v>623</v>
      </c>
      <c r="F298" s="1">
        <v>30</v>
      </c>
      <c r="G298" s="1">
        <v>0.48806821846405968</v>
      </c>
      <c r="H298">
        <v>1.8537738660322949</v>
      </c>
      <c r="I298">
        <v>1297.3333969893324</v>
      </c>
      <c r="J298" s="1" t="s">
        <v>16</v>
      </c>
      <c r="K298" s="1">
        <f t="shared" si="12"/>
        <v>0.56331735829353502</v>
      </c>
      <c r="L298" s="1">
        <f t="shared" si="13"/>
        <v>0.9169646117795166</v>
      </c>
      <c r="M298" s="1">
        <f t="shared" si="14"/>
        <v>640.9410883799992</v>
      </c>
    </row>
    <row r="299" spans="1:19" x14ac:dyDescent="0.3">
      <c r="A299" s="1">
        <v>297</v>
      </c>
      <c r="C299" s="1" t="s">
        <v>29</v>
      </c>
      <c r="D299" s="1">
        <v>22.7</v>
      </c>
      <c r="E299" s="1">
        <v>624</v>
      </c>
      <c r="F299" s="1">
        <v>45</v>
      </c>
      <c r="G299" s="1">
        <v>0.50773896074571456</v>
      </c>
      <c r="H299">
        <v>1.8396796878336412</v>
      </c>
      <c r="I299">
        <v>1513.1487537811008</v>
      </c>
      <c r="J299" s="1" t="s">
        <v>16</v>
      </c>
      <c r="K299" s="1">
        <f t="shared" si="12"/>
        <v>0.58602088652703899</v>
      </c>
      <c r="L299" s="1">
        <f t="shared" si="13"/>
        <v>0.90999296174329014</v>
      </c>
      <c r="M299" s="1">
        <f t="shared" si="14"/>
        <v>747.56358803370335</v>
      </c>
    </row>
    <row r="300" spans="1:19" x14ac:dyDescent="0.3">
      <c r="A300" s="1">
        <v>298</v>
      </c>
      <c r="C300" s="1" t="s">
        <v>29</v>
      </c>
      <c r="D300" s="1">
        <v>22.7</v>
      </c>
      <c r="E300" s="1">
        <v>625</v>
      </c>
      <c r="F300" s="1">
        <v>0</v>
      </c>
      <c r="G300" s="1">
        <v>0.40182921702542734</v>
      </c>
      <c r="H300">
        <v>1.8873830601983141</v>
      </c>
      <c r="I300">
        <v>395.10557895524306</v>
      </c>
      <c r="J300" s="1" t="s">
        <v>16</v>
      </c>
      <c r="K300" s="1">
        <f t="shared" si="12"/>
        <v>0.46378224284356223</v>
      </c>
      <c r="L300" s="1">
        <f t="shared" si="13"/>
        <v>0.93358931571205628</v>
      </c>
      <c r="M300" s="1">
        <f t="shared" si="14"/>
        <v>195.19993888098875</v>
      </c>
      <c r="N300" s="1">
        <f>SLOPE(K300:K303,F300:F303)</f>
        <v>4.6852399486021689E-3</v>
      </c>
      <c r="O300" s="1">
        <f>SLOPE(L300:L303,F300:F303)</f>
        <v>-3.503701043847037E-4</v>
      </c>
      <c r="P300" s="1">
        <f>SLOPE(M300:M303,F300:F303)</f>
        <v>11.938718681074999</v>
      </c>
      <c r="Q300" s="1">
        <f>(N300*84.63/0.31*60)/1000</f>
        <v>7.6744230358103516E-2</v>
      </c>
      <c r="R300" s="1">
        <f>O300*84.63/0.31*60/1000</f>
        <v>-5.7390623098214468E-3</v>
      </c>
      <c r="S300" s="1">
        <f>(P300*84.63/0.31*60)/1000</f>
        <v>195.55621199600847</v>
      </c>
    </row>
    <row r="301" spans="1:19" x14ac:dyDescent="0.3">
      <c r="A301" s="1">
        <v>299</v>
      </c>
      <c r="C301" s="1" t="s">
        <v>29</v>
      </c>
      <c r="D301" s="1">
        <v>22.7</v>
      </c>
      <c r="E301" s="1">
        <v>626</v>
      </c>
      <c r="F301" s="1">
        <v>15</v>
      </c>
      <c r="G301" s="1">
        <v>0.44506437130053966</v>
      </c>
      <c r="H301">
        <v>1.86027887135475</v>
      </c>
      <c r="I301">
        <v>672.91779518420276</v>
      </c>
      <c r="J301" s="1" t="s">
        <v>16</v>
      </c>
      <c r="K301" s="1">
        <f t="shared" si="12"/>
        <v>0.51368328530093577</v>
      </c>
      <c r="L301" s="1">
        <f t="shared" si="13"/>
        <v>0.92018229641162097</v>
      </c>
      <c r="M301" s="1">
        <f t="shared" si="14"/>
        <v>332.45167744585456</v>
      </c>
    </row>
    <row r="302" spans="1:19" x14ac:dyDescent="0.3">
      <c r="A302" s="1">
        <v>300</v>
      </c>
      <c r="C302" s="1" t="s">
        <v>29</v>
      </c>
      <c r="D302" s="1">
        <v>22.7</v>
      </c>
      <c r="E302" s="1">
        <v>627</v>
      </c>
      <c r="F302" s="1">
        <v>30</v>
      </c>
      <c r="G302" s="1">
        <v>0.53381883757773729</v>
      </c>
      <c r="H302">
        <v>1.8581105362472652</v>
      </c>
      <c r="I302">
        <v>1197.9171437908917</v>
      </c>
      <c r="J302" s="1" t="s">
        <v>16</v>
      </c>
      <c r="K302" s="1">
        <f t="shared" si="12"/>
        <v>0.61612169368032765</v>
      </c>
      <c r="L302" s="1">
        <f t="shared" si="13"/>
        <v>0.91910973486758629</v>
      </c>
      <c r="M302" s="1">
        <f t="shared" si="14"/>
        <v>591.82498478200159</v>
      </c>
    </row>
    <row r="303" spans="1:19" x14ac:dyDescent="0.3">
      <c r="A303" s="1">
        <v>301</v>
      </c>
      <c r="C303" s="1" t="s">
        <v>29</v>
      </c>
      <c r="D303" s="1">
        <v>22.7</v>
      </c>
      <c r="E303" s="1">
        <v>628</v>
      </c>
      <c r="F303" s="1">
        <v>45</v>
      </c>
      <c r="G303" s="1">
        <v>0.57521317275642825</v>
      </c>
      <c r="H303">
        <v>1.8526896984785524</v>
      </c>
      <c r="I303">
        <v>1428.3680485007417</v>
      </c>
      <c r="J303" s="1" t="s">
        <v>16</v>
      </c>
      <c r="K303" s="1">
        <f t="shared" si="12"/>
        <v>0.66389810414720674</v>
      </c>
      <c r="L303" s="1">
        <f t="shared" si="13"/>
        <v>0.91642833100749932</v>
      </c>
      <c r="M303" s="1">
        <f t="shared" si="14"/>
        <v>705.67810382268976</v>
      </c>
    </row>
    <row r="304" spans="1:19" x14ac:dyDescent="0.3">
      <c r="A304" s="1">
        <v>302</v>
      </c>
      <c r="C304" s="1" t="s">
        <v>29</v>
      </c>
      <c r="D304" s="1">
        <v>22.7</v>
      </c>
      <c r="E304" s="1">
        <v>629</v>
      </c>
      <c r="F304" s="1">
        <v>0</v>
      </c>
      <c r="G304" s="1">
        <v>0.39754039766465499</v>
      </c>
      <c r="H304">
        <v>1.8808780548758588</v>
      </c>
      <c r="I304">
        <v>408.32377728807825</v>
      </c>
      <c r="J304" s="1" t="s">
        <v>129</v>
      </c>
      <c r="K304" s="1">
        <f t="shared" si="12"/>
        <v>0.458832184017541</v>
      </c>
      <c r="L304" s="1">
        <f t="shared" si="13"/>
        <v>0.9303716310799518</v>
      </c>
      <c r="M304" s="1">
        <f t="shared" si="14"/>
        <v>201.73032378091571</v>
      </c>
      <c r="N304" s="1">
        <f>SLOPE(K304:K307,F304:F307)</f>
        <v>3.2592522157847467E-4</v>
      </c>
      <c r="O304" s="1">
        <f>SLOPE(L304:L307,F304:F307)</f>
        <v>-3.5752051467811502E-6</v>
      </c>
      <c r="P304" s="1">
        <f>SLOPE(M304:M307,F304:F307)</f>
        <v>13.759938363711951</v>
      </c>
      <c r="Q304" s="1">
        <f>(N304*84.63/0.31*60)/1000</f>
        <v>5.3386551294554146E-3</v>
      </c>
      <c r="R304" s="1">
        <f>O304*84.63/0.31*60/1000</f>
        <v>-5.8561860304275237E-5</v>
      </c>
      <c r="S304" s="1">
        <f>(P304*84.63/0.31*60)/1000</f>
        <v>225.38779039760172</v>
      </c>
    </row>
    <row r="305" spans="1:19" x14ac:dyDescent="0.3">
      <c r="A305" s="1">
        <v>303</v>
      </c>
      <c r="C305" s="1" t="s">
        <v>29</v>
      </c>
      <c r="D305" s="1">
        <v>22.7</v>
      </c>
      <c r="E305" s="1">
        <v>630</v>
      </c>
      <c r="F305" s="1">
        <v>15</v>
      </c>
      <c r="G305" s="1">
        <v>0.40511570556930016</v>
      </c>
      <c r="H305">
        <v>1.8559422011397797</v>
      </c>
      <c r="I305">
        <v>1111.378886033091</v>
      </c>
      <c r="J305" s="1" t="s">
        <v>129</v>
      </c>
      <c r="K305" s="1">
        <f t="shared" si="12"/>
        <v>0.46757543398889534</v>
      </c>
      <c r="L305" s="1">
        <f t="shared" si="13"/>
        <v>0.91803717332355139</v>
      </c>
      <c r="M305" s="1">
        <f t="shared" si="14"/>
        <v>549.07119054336476</v>
      </c>
    </row>
    <row r="306" spans="1:19" x14ac:dyDescent="0.3">
      <c r="A306" s="1">
        <v>304</v>
      </c>
      <c r="C306" s="1" t="s">
        <v>29</v>
      </c>
      <c r="D306" s="1">
        <v>22.7</v>
      </c>
      <c r="E306" s="1">
        <v>631</v>
      </c>
      <c r="F306" s="1">
        <v>30</v>
      </c>
      <c r="G306" s="1">
        <v>0.4065902884057005</v>
      </c>
      <c r="H306">
        <v>1.8711205468921757</v>
      </c>
      <c r="I306">
        <v>1458.0680534273508</v>
      </c>
      <c r="J306" s="1" t="s">
        <v>129</v>
      </c>
      <c r="K306" s="1">
        <f t="shared" si="12"/>
        <v>0.46927736432683065</v>
      </c>
      <c r="L306" s="1">
        <f t="shared" si="13"/>
        <v>0.92554510413179514</v>
      </c>
      <c r="M306" s="1">
        <f t="shared" si="14"/>
        <v>720.35124299164056</v>
      </c>
    </row>
    <row r="307" spans="1:19" x14ac:dyDescent="0.3">
      <c r="A307" s="1">
        <v>305</v>
      </c>
      <c r="C307" s="1" t="s">
        <v>29</v>
      </c>
      <c r="D307" s="1">
        <v>22.7</v>
      </c>
      <c r="E307" s="1">
        <v>632</v>
      </c>
      <c r="F307" s="1">
        <v>45</v>
      </c>
      <c r="G307" s="1">
        <v>0.41116824165596316</v>
      </c>
      <c r="H307">
        <v>1.875457217107146</v>
      </c>
      <c r="I307">
        <v>1685.3401569009632</v>
      </c>
      <c r="J307" s="1" t="s">
        <v>129</v>
      </c>
      <c r="K307" s="1">
        <f t="shared" si="12"/>
        <v>0.47456113498381963</v>
      </c>
      <c r="L307" s="1">
        <f t="shared" si="13"/>
        <v>0.92769022721986483</v>
      </c>
      <c r="M307" s="1">
        <f t="shared" si="14"/>
        <v>832.63389115042128</v>
      </c>
    </row>
    <row r="308" spans="1:19" x14ac:dyDescent="0.3">
      <c r="A308" s="1">
        <v>306</v>
      </c>
      <c r="C308" s="1" t="s">
        <v>29</v>
      </c>
      <c r="D308" s="1">
        <v>22.7</v>
      </c>
      <c r="E308" s="1" t="s">
        <v>114</v>
      </c>
      <c r="G308" s="1">
        <v>0.3910927119290219</v>
      </c>
      <c r="H308" s="1">
        <v>1.8678680442309479</v>
      </c>
      <c r="I308" s="1">
        <v>391.71134838039558</v>
      </c>
      <c r="K308" s="1">
        <f t="shared" si="12"/>
        <v>0.4513904101869608</v>
      </c>
      <c r="L308" s="1">
        <f t="shared" si="13"/>
        <v>0.92393626181574284</v>
      </c>
      <c r="M308" s="1">
        <f t="shared" si="14"/>
        <v>193.52303620978333</v>
      </c>
    </row>
    <row r="309" spans="1:19" x14ac:dyDescent="0.3">
      <c r="A309" s="1">
        <v>307</v>
      </c>
      <c r="C309" s="1" t="s">
        <v>29</v>
      </c>
      <c r="D309" s="1">
        <v>22.7</v>
      </c>
      <c r="E309" s="1" t="s">
        <v>115</v>
      </c>
      <c r="G309" s="1">
        <v>0.39541044467874326</v>
      </c>
      <c r="H309" s="1">
        <v>1.9611064538528087</v>
      </c>
      <c r="I309" s="1">
        <v>511.73668337476585</v>
      </c>
      <c r="K309" s="1">
        <f t="shared" si="12"/>
        <v>0.45637384019607874</v>
      </c>
      <c r="L309" s="1">
        <f t="shared" si="13"/>
        <v>0.97005640820924022</v>
      </c>
      <c r="M309" s="1">
        <f t="shared" si="14"/>
        <v>252.82095378670843</v>
      </c>
    </row>
    <row r="310" spans="1:19" x14ac:dyDescent="0.3">
      <c r="A310" s="1">
        <v>308</v>
      </c>
      <c r="C310" s="1" t="s">
        <v>29</v>
      </c>
      <c r="D310" s="1">
        <v>22.7</v>
      </c>
      <c r="E310" s="1" t="s">
        <v>116</v>
      </c>
      <c r="G310" s="1">
        <v>0.3958634211056114</v>
      </c>
      <c r="H310" s="1">
        <v>1.8732888819996607</v>
      </c>
      <c r="I310" s="1">
        <v>403.86019836727792</v>
      </c>
      <c r="K310" s="1">
        <f t="shared" si="12"/>
        <v>0.45689665539792823</v>
      </c>
      <c r="L310" s="1">
        <f t="shared" si="13"/>
        <v>0.92661766567582993</v>
      </c>
      <c r="M310" s="1">
        <f t="shared" si="14"/>
        <v>199.5251148976734</v>
      </c>
    </row>
    <row r="311" spans="1:19" x14ac:dyDescent="0.3">
      <c r="A311" s="1">
        <v>309</v>
      </c>
      <c r="B311" s="1" t="s">
        <v>143</v>
      </c>
      <c r="C311" s="1" t="s">
        <v>29</v>
      </c>
      <c r="D311" s="1">
        <v>19.5</v>
      </c>
      <c r="E311" s="1">
        <v>101</v>
      </c>
      <c r="F311" s="1">
        <v>0</v>
      </c>
      <c r="G311" s="1">
        <v>0.39976672861373014</v>
      </c>
      <c r="H311">
        <v>1.8169121692050476</v>
      </c>
      <c r="I311">
        <v>389.09207854851292</v>
      </c>
      <c r="J311" s="1" t="s">
        <v>129</v>
      </c>
      <c r="K311" s="1">
        <f t="shared" si="12"/>
        <v>0.4664469920026188</v>
      </c>
      <c r="L311" s="1">
        <f t="shared" si="13"/>
        <v>0.9085582974109826</v>
      </c>
      <c r="M311" s="1">
        <f t="shared" si="14"/>
        <v>194.33093921591183</v>
      </c>
      <c r="N311" s="1">
        <f>SLOPE(K311:K314,F311:F314)</f>
        <v>4.0828156631132924E-4</v>
      </c>
      <c r="O311" s="1">
        <f>SLOPE(L311:L314,F311:F314)</f>
        <v>8.6743162905229541E-5</v>
      </c>
      <c r="P311" s="1">
        <f>SLOPE(M311:M314,F311:F314)</f>
        <v>6.6146902941696837</v>
      </c>
      <c r="Q311" s="1">
        <f>(N311*84.63/0.31*60)/1000</f>
        <v>6.6876520561795728E-3</v>
      </c>
      <c r="R311" s="1">
        <f>O311*84.63/0.31*60/1000</f>
        <v>1.4208530083876596E-3</v>
      </c>
      <c r="S311" s="1">
        <f>(P311*84.63/0.31*60)/1000</f>
        <v>108.34862701849941</v>
      </c>
    </row>
    <row r="312" spans="1:19" x14ac:dyDescent="0.3">
      <c r="A312" s="1">
        <v>310</v>
      </c>
      <c r="B312" s="1" t="s">
        <v>144</v>
      </c>
      <c r="C312" s="1" t="s">
        <v>29</v>
      </c>
      <c r="D312" s="1">
        <v>19.5</v>
      </c>
      <c r="E312" s="1">
        <v>102</v>
      </c>
      <c r="F312" s="1">
        <v>15</v>
      </c>
      <c r="G312" s="1">
        <v>0.40416156373398221</v>
      </c>
      <c r="H312">
        <v>1.8656997091234628</v>
      </c>
      <c r="I312">
        <v>544.67690152101716</v>
      </c>
      <c r="J312" s="1" t="s">
        <v>129</v>
      </c>
      <c r="K312" s="1">
        <f t="shared" si="12"/>
        <v>0.47157487652992219</v>
      </c>
      <c r="L312" s="1">
        <f t="shared" si="13"/>
        <v>0.93295481197807895</v>
      </c>
      <c r="M312" s="1">
        <f t="shared" si="14"/>
        <v>272.03733943042653</v>
      </c>
    </row>
    <row r="313" spans="1:19" x14ac:dyDescent="0.3">
      <c r="A313" s="1">
        <v>311</v>
      </c>
      <c r="C313" s="1" t="s">
        <v>29</v>
      </c>
      <c r="D313" s="1">
        <v>19.5</v>
      </c>
      <c r="E313" s="1">
        <v>103</v>
      </c>
      <c r="F313" s="1">
        <v>30</v>
      </c>
      <c r="G313" s="1">
        <v>0.40995387932010408</v>
      </c>
      <c r="H313">
        <v>1.8461846931560966</v>
      </c>
      <c r="I313">
        <v>798.97417686627591</v>
      </c>
      <c r="J313" s="1" t="s">
        <v>129</v>
      </c>
      <c r="K313" s="1">
        <f t="shared" si="12"/>
        <v>0.47833333837402187</v>
      </c>
      <c r="L313" s="1">
        <f t="shared" si="13"/>
        <v>0.92319620615124021</v>
      </c>
      <c r="M313" s="1">
        <f t="shared" si="14"/>
        <v>399.04539506147921</v>
      </c>
    </row>
    <row r="314" spans="1:19" x14ac:dyDescent="0.3">
      <c r="A314" s="1">
        <v>312</v>
      </c>
      <c r="C314" s="1" t="s">
        <v>29</v>
      </c>
      <c r="D314" s="1">
        <v>19.5</v>
      </c>
      <c r="E314" s="1">
        <v>104</v>
      </c>
      <c r="F314" s="1">
        <v>45</v>
      </c>
      <c r="G314" s="1">
        <v>0.41533176966462321</v>
      </c>
      <c r="H314">
        <v>1.8320905149574436</v>
      </c>
      <c r="I314">
        <v>966.52751304899766</v>
      </c>
      <c r="J314" s="1" t="s">
        <v>129</v>
      </c>
      <c r="K314" s="1">
        <f t="shared" si="12"/>
        <v>0.48460824970348537</v>
      </c>
      <c r="L314" s="1">
        <f t="shared" si="13"/>
        <v>0.91614832416519032</v>
      </c>
      <c r="M314" s="1">
        <f t="shared" si="14"/>
        <v>482.72943538071178</v>
      </c>
    </row>
    <row r="315" spans="1:19" x14ac:dyDescent="0.3">
      <c r="A315" s="1">
        <v>313</v>
      </c>
      <c r="C315" s="1" t="s">
        <v>29</v>
      </c>
      <c r="D315" s="1">
        <v>19.5</v>
      </c>
      <c r="E315" s="1">
        <v>105</v>
      </c>
      <c r="F315" s="1">
        <v>0</v>
      </c>
      <c r="G315" s="1">
        <v>0.40072087044904797</v>
      </c>
      <c r="H315">
        <v>1.8299221798499581</v>
      </c>
      <c r="I315">
        <v>399.5330905207104</v>
      </c>
      <c r="J315" s="1" t="s">
        <v>16</v>
      </c>
      <c r="K315" s="1">
        <f t="shared" si="12"/>
        <v>0.46756028272236222</v>
      </c>
      <c r="L315" s="1">
        <f t="shared" si="13"/>
        <v>0.91506403462887487</v>
      </c>
      <c r="M315" s="1">
        <f t="shared" si="14"/>
        <v>199.54567314339459</v>
      </c>
      <c r="N315" s="1">
        <f>SLOPE(K315:K318,F315:F318)</f>
        <v>5.4922342174014112E-4</v>
      </c>
      <c r="O315" s="1">
        <f>SLOPE(L315:L318,F315:F318)</f>
        <v>6.5057372178925669E-5</v>
      </c>
      <c r="P315" s="1">
        <f>SLOPE(M315:M318,F315:F318)</f>
        <v>6.8074080868925648</v>
      </c>
      <c r="Q315" s="1">
        <f>(N315*84.63/0.31*60)/1000</f>
        <v>8.9962796481035095E-3</v>
      </c>
      <c r="R315" s="1">
        <f>O315*84.63/0.31*60/1000</f>
        <v>1.0656397562908023E-3</v>
      </c>
      <c r="S315" s="1">
        <f>(P315*84.63/0.31*60)/1000</f>
        <v>111.5053444633002</v>
      </c>
    </row>
    <row r="316" spans="1:19" x14ac:dyDescent="0.3">
      <c r="A316" s="1">
        <v>314</v>
      </c>
      <c r="C316" s="1" t="s">
        <v>29</v>
      </c>
      <c r="D316" s="1">
        <v>19.5</v>
      </c>
      <c r="E316" s="1">
        <v>106</v>
      </c>
      <c r="F316" s="1">
        <v>15</v>
      </c>
      <c r="G316" s="1">
        <v>0.40750587905575303</v>
      </c>
      <c r="H316">
        <v>1.8678680442309479</v>
      </c>
      <c r="I316">
        <v>609.34372004623481</v>
      </c>
      <c r="J316" s="1" t="s">
        <v>16</v>
      </c>
      <c r="K316" s="1">
        <f t="shared" si="12"/>
        <v>0.47547701672942727</v>
      </c>
      <c r="L316" s="1">
        <f t="shared" si="13"/>
        <v>0.9340391015143944</v>
      </c>
      <c r="M316" s="1">
        <f t="shared" si="14"/>
        <v>304.3349992208548</v>
      </c>
    </row>
    <row r="317" spans="1:19" x14ac:dyDescent="0.3">
      <c r="A317" s="1">
        <v>315</v>
      </c>
      <c r="C317" s="1" t="s">
        <v>29</v>
      </c>
      <c r="D317" s="1">
        <v>19.5</v>
      </c>
      <c r="E317" s="1">
        <v>107</v>
      </c>
      <c r="F317" s="1">
        <v>30</v>
      </c>
      <c r="G317" s="1">
        <v>0.41745208485421853</v>
      </c>
      <c r="H317">
        <v>1.8613630389084925</v>
      </c>
      <c r="I317">
        <v>879.2601098374389</v>
      </c>
      <c r="J317" s="1" t="s">
        <v>16</v>
      </c>
      <c r="K317" s="1">
        <f t="shared" si="12"/>
        <v>0.48708222908069321</v>
      </c>
      <c r="L317" s="1">
        <f t="shared" si="13"/>
        <v>0.93078623290544815</v>
      </c>
      <c r="M317" s="1">
        <f t="shared" si="14"/>
        <v>439.14397742870301</v>
      </c>
    </row>
    <row r="318" spans="1:19" x14ac:dyDescent="0.3">
      <c r="A318" s="1">
        <v>316</v>
      </c>
      <c r="C318" s="1" t="s">
        <v>29</v>
      </c>
      <c r="D318" s="1">
        <v>19.5</v>
      </c>
      <c r="E318" s="1">
        <v>108</v>
      </c>
      <c r="F318" s="1">
        <v>45</v>
      </c>
      <c r="G318" s="1">
        <v>0.42094096712073448</v>
      </c>
      <c r="H318">
        <v>1.8385955202798989</v>
      </c>
      <c r="I318">
        <v>991.05526426218341</v>
      </c>
      <c r="J318" s="1" t="s">
        <v>16</v>
      </c>
      <c r="K318" s="1">
        <f t="shared" si="12"/>
        <v>0.49115304969228063</v>
      </c>
      <c r="L318" s="1">
        <f t="shared" si="13"/>
        <v>0.91940119277413657</v>
      </c>
      <c r="M318" s="1">
        <f t="shared" si="14"/>
        <v>494.97975141874008</v>
      </c>
    </row>
    <row r="319" spans="1:19" x14ac:dyDescent="0.3">
      <c r="A319" s="1">
        <v>317</v>
      </c>
      <c r="C319" s="1" t="s">
        <v>29</v>
      </c>
      <c r="D319" s="1">
        <v>19.5</v>
      </c>
      <c r="E319" s="1">
        <v>109</v>
      </c>
      <c r="F319" s="1">
        <v>0</v>
      </c>
      <c r="G319" s="1">
        <v>0.40057630350430284</v>
      </c>
      <c r="H319">
        <v>1.8104071638825923</v>
      </c>
      <c r="I319">
        <v>392.14805581794053</v>
      </c>
      <c r="J319" s="1" t="s">
        <v>16</v>
      </c>
      <c r="K319" s="1">
        <f t="shared" si="12"/>
        <v>0.46739160231027993</v>
      </c>
      <c r="L319" s="1">
        <f t="shared" si="13"/>
        <v>0.90530542880203635</v>
      </c>
      <c r="M319" s="1">
        <f t="shared" si="14"/>
        <v>195.85723842818504</v>
      </c>
      <c r="N319" s="1">
        <f>SLOPE(K319:K322,F319:F322)</f>
        <v>8.9273170981184517E-4</v>
      </c>
      <c r="O319" s="1">
        <f>SLOPE(L319:L322,F319:F322)</f>
        <v>1.1565755054030976E-4</v>
      </c>
      <c r="P319" s="1">
        <f>SLOPE(M319:M322,F319:F322)</f>
        <v>6.6000066628324712</v>
      </c>
      <c r="Q319" s="1">
        <f>(N319*84.63/0.31*60)/1000</f>
        <v>1.4622945406718022E-2</v>
      </c>
      <c r="R319" s="1">
        <f>O319*84.63/0.31*60/1000</f>
        <v>1.8944706778502738E-3</v>
      </c>
      <c r="S319" s="1">
        <f>(P319*84.63/0.31*60)/1000</f>
        <v>108.1081091371959</v>
      </c>
    </row>
    <row r="320" spans="1:19" x14ac:dyDescent="0.3">
      <c r="A320" s="1">
        <v>318</v>
      </c>
      <c r="C320" s="1" t="s">
        <v>29</v>
      </c>
      <c r="D320" s="1">
        <v>19.5</v>
      </c>
      <c r="E320" s="1">
        <v>110</v>
      </c>
      <c r="F320" s="1">
        <v>15</v>
      </c>
      <c r="G320" s="1">
        <v>0.40730348533310989</v>
      </c>
      <c r="H320">
        <v>1.8310063474037011</v>
      </c>
      <c r="I320">
        <v>690.44652987602001</v>
      </c>
      <c r="J320" s="1" t="s">
        <v>16</v>
      </c>
      <c r="K320" s="1">
        <f t="shared" si="12"/>
        <v>0.47524086415251204</v>
      </c>
      <c r="L320" s="1">
        <f t="shared" si="13"/>
        <v>0.9156061793970327</v>
      </c>
      <c r="M320" s="1">
        <f t="shared" si="14"/>
        <v>344.84156842695739</v>
      </c>
    </row>
    <row r="321" spans="1:19" x14ac:dyDescent="0.3">
      <c r="A321" s="1">
        <v>319</v>
      </c>
      <c r="C321" s="1" t="s">
        <v>29</v>
      </c>
      <c r="D321" s="1">
        <v>19.5</v>
      </c>
      <c r="E321" s="1">
        <v>111</v>
      </c>
      <c r="F321" s="1">
        <v>30</v>
      </c>
      <c r="G321" s="1">
        <v>0.42003501426699824</v>
      </c>
      <c r="H321">
        <v>1.8364271851724139</v>
      </c>
      <c r="I321">
        <v>974.25957419767371</v>
      </c>
      <c r="J321" s="1" t="s">
        <v>16</v>
      </c>
      <c r="K321" s="1">
        <f t="shared" si="12"/>
        <v>0.49009598577656449</v>
      </c>
      <c r="L321" s="1">
        <f t="shared" si="13"/>
        <v>0.91831690323782122</v>
      </c>
      <c r="M321" s="1">
        <f t="shared" si="14"/>
        <v>486.5911914737743</v>
      </c>
    </row>
    <row r="322" spans="1:19" x14ac:dyDescent="0.3">
      <c r="A322" s="1">
        <v>320</v>
      </c>
      <c r="C322" s="1" t="s">
        <v>29</v>
      </c>
      <c r="D322" s="1">
        <v>19.5</v>
      </c>
      <c r="E322" s="1">
        <v>112</v>
      </c>
      <c r="F322" s="1">
        <v>45</v>
      </c>
      <c r="G322" s="1">
        <v>0.43458808670467536</v>
      </c>
      <c r="H322">
        <v>1.8201646718662754</v>
      </c>
      <c r="I322">
        <v>958.27491223146205</v>
      </c>
      <c r="J322" s="1" t="s">
        <v>16</v>
      </c>
      <c r="K322" s="1">
        <f t="shared" si="12"/>
        <v>0.50707648059285471</v>
      </c>
      <c r="L322" s="1">
        <f t="shared" si="13"/>
        <v>0.91018473171545566</v>
      </c>
      <c r="M322" s="1">
        <f t="shared" si="14"/>
        <v>478.60769722086962</v>
      </c>
    </row>
    <row r="323" spans="1:19" x14ac:dyDescent="0.3">
      <c r="A323" s="1">
        <v>321</v>
      </c>
      <c r="C323" s="1" t="s">
        <v>29</v>
      </c>
      <c r="D323" s="1">
        <v>19.5</v>
      </c>
      <c r="E323" s="1">
        <v>113</v>
      </c>
      <c r="F323" s="1">
        <v>0</v>
      </c>
      <c r="G323" s="1">
        <v>0.41990008511856947</v>
      </c>
      <c r="H323">
        <v>1.8201646718662754</v>
      </c>
      <c r="I323">
        <v>392.49898143739637</v>
      </c>
      <c r="J323" s="1" t="s">
        <v>16</v>
      </c>
      <c r="K323" s="1">
        <f t="shared" ref="K323:K379" si="15">(G323*28*1)/(0.082*(D323+273.15))</f>
        <v>0.48993855072528769</v>
      </c>
      <c r="L323" s="1">
        <f t="shared" ref="L323:L379" si="16">(H323*12*1)/(0.082*(D323+273.15))</f>
        <v>0.91018473171545566</v>
      </c>
      <c r="M323" s="1">
        <f t="shared" ref="M323:M379" si="17">(I323*12*1)/(0.0821*(D323+273.15))</f>
        <v>196.03250723724992</v>
      </c>
      <c r="N323" s="1">
        <f>SLOPE(K323:K326,F323:F326)</f>
        <v>4.004098137474865E-4</v>
      </c>
      <c r="O323" s="1">
        <f>SLOPE(L323:L326,F323:F326)</f>
        <v>-8.3128864450846918E-5</v>
      </c>
      <c r="P323" s="1">
        <f>SLOPE(M323:M326,F323:F326)</f>
        <v>6.9315827923963358</v>
      </c>
      <c r="Q323" s="1">
        <f>(N323*84.63/0.31*60)/1000</f>
        <v>6.5587127491838282E-3</v>
      </c>
      <c r="R323" s="1">
        <f>O323*84.63/0.31*60/1000</f>
        <v>-1.3616507997048723E-3</v>
      </c>
      <c r="S323" s="1">
        <f>(P323*84.63/0.31*60)/1000</f>
        <v>113.53932613945196</v>
      </c>
    </row>
    <row r="324" spans="1:19" x14ac:dyDescent="0.3">
      <c r="A324" s="1">
        <v>322</v>
      </c>
      <c r="C324" s="1" t="s">
        <v>29</v>
      </c>
      <c r="D324" s="1">
        <v>19.5</v>
      </c>
      <c r="E324" s="1">
        <v>114</v>
      </c>
      <c r="F324" s="1">
        <v>15</v>
      </c>
      <c r="G324" s="1">
        <v>0.43911785097335632</v>
      </c>
      <c r="H324">
        <v>1.8418480229411267</v>
      </c>
      <c r="I324">
        <v>632.83819026880064</v>
      </c>
      <c r="J324" s="1" t="s">
        <v>16</v>
      </c>
      <c r="K324" s="1">
        <f t="shared" si="15"/>
        <v>0.51236180017143507</v>
      </c>
      <c r="L324" s="1">
        <f t="shared" si="16"/>
        <v>0.92102762707860975</v>
      </c>
      <c r="M324" s="1">
        <f t="shared" si="17"/>
        <v>316.06924598774759</v>
      </c>
    </row>
    <row r="325" spans="1:19" x14ac:dyDescent="0.3">
      <c r="A325" s="1">
        <v>323</v>
      </c>
      <c r="C325" s="1" t="s">
        <v>29</v>
      </c>
      <c r="D325" s="1">
        <v>19.5</v>
      </c>
      <c r="E325" s="1">
        <v>115</v>
      </c>
      <c r="F325" s="1">
        <v>30</v>
      </c>
      <c r="G325" s="1">
        <v>0.4288343223038189</v>
      </c>
      <c r="H325">
        <v>1.8429321904948692</v>
      </c>
      <c r="I325">
        <v>929.75148292341714</v>
      </c>
      <c r="J325" s="1" t="s">
        <v>16</v>
      </c>
      <c r="K325" s="1">
        <f t="shared" si="15"/>
        <v>0.50036300019197699</v>
      </c>
      <c r="L325" s="1">
        <f t="shared" si="16"/>
        <v>0.92156977184676747</v>
      </c>
      <c r="M325" s="1">
        <f t="shared" si="17"/>
        <v>464.36175104851674</v>
      </c>
    </row>
    <row r="326" spans="1:19" x14ac:dyDescent="0.3">
      <c r="A326" s="1">
        <v>324</v>
      </c>
      <c r="C326" s="1" t="s">
        <v>29</v>
      </c>
      <c r="D326" s="1">
        <v>19.5</v>
      </c>
      <c r="E326" s="1">
        <v>116</v>
      </c>
      <c r="F326" s="1">
        <v>45</v>
      </c>
      <c r="G326" s="1">
        <v>0.440486418050277</v>
      </c>
      <c r="H326">
        <v>1.8114913314363348</v>
      </c>
      <c r="I326">
        <v>987.45340269582448</v>
      </c>
      <c r="J326" s="1" t="s">
        <v>16</v>
      </c>
      <c r="K326" s="1">
        <f t="shared" si="15"/>
        <v>0.51395864140581471</v>
      </c>
      <c r="L326" s="1">
        <f t="shared" si="16"/>
        <v>0.90584757357019408</v>
      </c>
      <c r="M326" s="1">
        <f t="shared" si="17"/>
        <v>493.18081183681034</v>
      </c>
    </row>
    <row r="327" spans="1:19" x14ac:dyDescent="0.3">
      <c r="A327" s="1">
        <v>325</v>
      </c>
      <c r="C327" s="1" t="s">
        <v>29</v>
      </c>
      <c r="D327" s="1">
        <v>19.5</v>
      </c>
      <c r="E327" s="1">
        <v>117</v>
      </c>
      <c r="F327" s="1">
        <v>0</v>
      </c>
      <c r="G327" s="1">
        <v>0.4033905400286748</v>
      </c>
      <c r="H327">
        <v>1.8114913314363348</v>
      </c>
      <c r="I327">
        <v>463.53217557557474</v>
      </c>
      <c r="J327" s="1" t="s">
        <v>16</v>
      </c>
      <c r="K327" s="1">
        <f t="shared" si="15"/>
        <v>0.47067524766548297</v>
      </c>
      <c r="L327" s="1">
        <f t="shared" si="16"/>
        <v>0.90584757357019408</v>
      </c>
      <c r="M327" s="1">
        <f t="shared" si="17"/>
        <v>231.50983533879673</v>
      </c>
      <c r="N327" s="1">
        <f>SLOPE(K327:K330,F327:F330)</f>
        <v>1.1651693175928522E-3</v>
      </c>
      <c r="O327" s="1">
        <f>SLOPE(L327:L330,F327:F330)</f>
        <v>7.2285969087693071E-4</v>
      </c>
      <c r="P327" s="1">
        <f>SLOPE(M327:M330,F327:F330)</f>
        <v>6.0283674420674087</v>
      </c>
      <c r="Q327" s="1">
        <f>(N327*84.63/0.31*60)/1000</f>
        <v>1.9085473422170918E-2</v>
      </c>
      <c r="R327" s="1">
        <f>O327*84.63/0.31*60/1000</f>
        <v>1.1840441736564126E-2</v>
      </c>
      <c r="S327" s="1">
        <f>(P327*84.63/0.31*60)/1000</f>
        <v>98.744658701064154</v>
      </c>
    </row>
    <row r="328" spans="1:19" x14ac:dyDescent="0.3">
      <c r="A328" s="1">
        <v>326</v>
      </c>
      <c r="C328" s="1" t="s">
        <v>29</v>
      </c>
      <c r="D328" s="1">
        <v>19.5</v>
      </c>
      <c r="E328" s="1">
        <v>118</v>
      </c>
      <c r="F328" s="1">
        <v>15</v>
      </c>
      <c r="G328" s="1">
        <v>0.41886884091272086</v>
      </c>
      <c r="H328">
        <v>1.892803897967027</v>
      </c>
      <c r="I328">
        <v>597.73782997612159</v>
      </c>
      <c r="J328" s="1" t="s">
        <v>16</v>
      </c>
      <c r="K328" s="1">
        <f t="shared" si="15"/>
        <v>0.48873529711910024</v>
      </c>
      <c r="L328" s="1">
        <f t="shared" si="16"/>
        <v>0.94650843118202155</v>
      </c>
      <c r="M328" s="1">
        <f t="shared" si="17"/>
        <v>298.53847021883729</v>
      </c>
    </row>
    <row r="329" spans="1:19" x14ac:dyDescent="0.3">
      <c r="A329" s="1">
        <v>327</v>
      </c>
      <c r="C329" s="1" t="s">
        <v>29</v>
      </c>
      <c r="D329" s="1">
        <v>19.5</v>
      </c>
      <c r="E329" s="1">
        <v>119</v>
      </c>
      <c r="F329" s="1">
        <v>30</v>
      </c>
      <c r="G329" s="1">
        <v>0.43808660676750766</v>
      </c>
      <c r="H329">
        <v>1.8917197304132845</v>
      </c>
      <c r="I329">
        <v>843.32337681839022</v>
      </c>
      <c r="J329" s="1" t="s">
        <v>16</v>
      </c>
      <c r="K329" s="1">
        <f t="shared" si="15"/>
        <v>0.51115854656524751</v>
      </c>
      <c r="L329" s="1">
        <f t="shared" si="16"/>
        <v>0.94596628641386382</v>
      </c>
      <c r="M329" s="1">
        <f t="shared" si="17"/>
        <v>421.19547766485482</v>
      </c>
    </row>
    <row r="330" spans="1:19" x14ac:dyDescent="0.3">
      <c r="A330" s="1">
        <v>328</v>
      </c>
      <c r="C330" s="1" t="s">
        <v>29</v>
      </c>
      <c r="D330" s="1">
        <v>19.5</v>
      </c>
      <c r="E330" s="1">
        <v>120</v>
      </c>
      <c r="F330" s="1">
        <v>45</v>
      </c>
      <c r="G330" s="1">
        <v>0.44691482819327738</v>
      </c>
      <c r="H330">
        <v>1.8841305575370864</v>
      </c>
      <c r="I330">
        <v>985.17433575613654</v>
      </c>
      <c r="J330" s="1" t="s">
        <v>16</v>
      </c>
      <c r="K330" s="1">
        <f t="shared" si="15"/>
        <v>0.52145929706307648</v>
      </c>
      <c r="L330" s="1">
        <f t="shared" si="16"/>
        <v>0.94217127303675985</v>
      </c>
      <c r="M330" s="1">
        <f t="shared" si="17"/>
        <v>492.04253829349466</v>
      </c>
    </row>
    <row r="331" spans="1:19" x14ac:dyDescent="0.3">
      <c r="A331" s="1">
        <v>329</v>
      </c>
      <c r="C331" s="1" t="s">
        <v>29</v>
      </c>
      <c r="D331" s="1">
        <v>19.5</v>
      </c>
      <c r="E331" s="1">
        <v>121</v>
      </c>
      <c r="F331" s="1">
        <v>0</v>
      </c>
      <c r="G331" s="1">
        <v>0.40436395745662546</v>
      </c>
      <c r="H331">
        <v>1.790892147915226</v>
      </c>
      <c r="I331">
        <v>393.72917069226645</v>
      </c>
      <c r="J331" s="1" t="s">
        <v>16</v>
      </c>
      <c r="K331" s="1">
        <f t="shared" si="15"/>
        <v>0.47181102910683753</v>
      </c>
      <c r="L331" s="1">
        <f t="shared" si="16"/>
        <v>0.89554682297519772</v>
      </c>
      <c r="M331" s="1">
        <f t="shared" si="17"/>
        <v>196.6469217845829</v>
      </c>
      <c r="N331" s="1">
        <f>SLOPE(K331:K334,F331:F334)</f>
        <v>7.5816222550614593E-4</v>
      </c>
      <c r="O331" s="1">
        <f>SLOPE(L331:L334,F331:F334)</f>
        <v>8.4574583832600916E-4</v>
      </c>
      <c r="P331" s="1">
        <f>SLOPE(M331:M334,F331:F334)</f>
        <v>4.4801628743797703</v>
      </c>
      <c r="Q331" s="1">
        <f>(N331*84.63/0.31*60)/1000</f>
        <v>1.241869725379067E-2</v>
      </c>
      <c r="R331" s="1">
        <f>O331*84.63/0.31*60/1000</f>
        <v>1.3853316831780029E-2</v>
      </c>
      <c r="S331" s="1">
        <f>(P331*84.63/0.31*60)/1000</f>
        <v>73.385067882340635</v>
      </c>
    </row>
    <row r="332" spans="1:19" x14ac:dyDescent="0.3">
      <c r="A332" s="1">
        <v>330</v>
      </c>
      <c r="C332" s="1" t="s">
        <v>29</v>
      </c>
      <c r="D332" s="1">
        <v>19.5</v>
      </c>
      <c r="E332" s="1">
        <v>122</v>
      </c>
      <c r="F332" s="1">
        <v>15</v>
      </c>
      <c r="G332" s="1">
        <v>0.43340263775776527</v>
      </c>
      <c r="H332">
        <v>1.8700363793384331</v>
      </c>
      <c r="I332">
        <v>532.91894368247301</v>
      </c>
      <c r="J332" s="1" t="s">
        <v>16</v>
      </c>
      <c r="K332" s="1">
        <f t="shared" si="15"/>
        <v>0.50569330121377942</v>
      </c>
      <c r="L332" s="1">
        <f t="shared" si="16"/>
        <v>0.93512339105070974</v>
      </c>
      <c r="M332" s="1">
        <f t="shared" si="17"/>
        <v>266.1648606111475</v>
      </c>
    </row>
    <row r="333" spans="1:19" x14ac:dyDescent="0.3">
      <c r="A333" s="1">
        <v>331</v>
      </c>
      <c r="C333" s="1" t="s">
        <v>29</v>
      </c>
      <c r="D333" s="1">
        <v>19.5</v>
      </c>
      <c r="E333" s="1">
        <v>123</v>
      </c>
      <c r="F333" s="1">
        <v>30</v>
      </c>
      <c r="G333" s="1">
        <v>0.43106065325289405</v>
      </c>
      <c r="H333">
        <v>1.8797938873221163</v>
      </c>
      <c r="I333">
        <v>696.52046747276734</v>
      </c>
      <c r="J333" s="1" t="s">
        <v>16</v>
      </c>
      <c r="K333" s="1">
        <f t="shared" si="15"/>
        <v>0.50296067853804527</v>
      </c>
      <c r="L333" s="1">
        <f t="shared" si="16"/>
        <v>0.94000269396412905</v>
      </c>
      <c r="M333" s="1">
        <f t="shared" si="17"/>
        <v>347.87517939718839</v>
      </c>
    </row>
    <row r="334" spans="1:19" x14ac:dyDescent="0.3">
      <c r="A334" s="1">
        <v>332</v>
      </c>
      <c r="C334" s="1" t="s">
        <v>29</v>
      </c>
      <c r="D334" s="1">
        <v>19.5</v>
      </c>
      <c r="E334" s="1">
        <v>124</v>
      </c>
      <c r="F334" s="1">
        <v>45</v>
      </c>
      <c r="G334" s="1">
        <v>0.43763363034063962</v>
      </c>
      <c r="H334">
        <v>1.8722047144459182</v>
      </c>
      <c r="I334">
        <v>787.7075148949699</v>
      </c>
      <c r="J334" s="1" t="s">
        <v>16</v>
      </c>
      <c r="K334" s="1">
        <f t="shared" si="15"/>
        <v>0.51063001460738955</v>
      </c>
      <c r="L334" s="1">
        <f t="shared" si="16"/>
        <v>0.93620768058702508</v>
      </c>
      <c r="M334" s="1">
        <f t="shared" si="17"/>
        <v>393.4182925748911</v>
      </c>
    </row>
    <row r="335" spans="1:19" x14ac:dyDescent="0.3">
      <c r="A335" s="1">
        <v>333</v>
      </c>
      <c r="C335" s="1" t="s">
        <v>29</v>
      </c>
      <c r="D335" s="1">
        <v>19.5</v>
      </c>
      <c r="E335" s="1">
        <v>125</v>
      </c>
      <c r="F335" s="1">
        <v>0</v>
      </c>
      <c r="G335" s="1">
        <v>0.40629151671989394</v>
      </c>
      <c r="H335">
        <v>1.7963129856839388</v>
      </c>
      <c r="I335">
        <v>397.60592399386564</v>
      </c>
      <c r="J335" s="1" t="s">
        <v>16</v>
      </c>
      <c r="K335" s="1">
        <f t="shared" si="15"/>
        <v>0.47406010126793557</v>
      </c>
      <c r="L335" s="1">
        <f t="shared" si="16"/>
        <v>0.89825754681598635</v>
      </c>
      <c r="M335" s="1">
        <f t="shared" si="17"/>
        <v>198.5831552669467</v>
      </c>
      <c r="N335" s="1">
        <f>SLOPE(K335:K338,F335:F338)</f>
        <v>8.8268585415893924E-4</v>
      </c>
      <c r="O335" s="1">
        <f>SLOPE(L335:L338,F335:F338)</f>
        <v>7.1201679551377833E-4</v>
      </c>
      <c r="P335" s="1">
        <f>SLOPE(M335:M338,F335:F338)</f>
        <v>5.7668566417865668</v>
      </c>
      <c r="Q335" s="1">
        <f>(N335*84.63/0.31*60)/1000</f>
        <v>1.4458394291123422E-2</v>
      </c>
      <c r="R335" s="1">
        <f>O335*84.63/0.31*60/1000</f>
        <v>1.1662835110515688E-2</v>
      </c>
      <c r="S335" s="1">
        <f>(P335*84.63/0.31*60)/1000</f>
        <v>94.461111792463967</v>
      </c>
    </row>
    <row r="336" spans="1:19" x14ac:dyDescent="0.3">
      <c r="A336" s="1">
        <v>334</v>
      </c>
      <c r="C336" s="1" t="s">
        <v>29</v>
      </c>
      <c r="D336" s="1">
        <v>19.5</v>
      </c>
      <c r="E336" s="1">
        <v>126</v>
      </c>
      <c r="F336" s="1">
        <v>15</v>
      </c>
      <c r="G336" s="1">
        <v>0.41812673059636252</v>
      </c>
      <c r="H336">
        <v>1.86027887135475</v>
      </c>
      <c r="I336">
        <v>558.4068663822253</v>
      </c>
      <c r="J336" s="1" t="s">
        <v>16</v>
      </c>
      <c r="K336" s="1">
        <f t="shared" si="15"/>
        <v>0.48786940433707754</v>
      </c>
      <c r="L336" s="1">
        <f t="shared" si="16"/>
        <v>0.93024408813729043</v>
      </c>
      <c r="M336" s="1">
        <f t="shared" si="17"/>
        <v>278.89473158508935</v>
      </c>
    </row>
    <row r="337" spans="1:19" x14ac:dyDescent="0.3">
      <c r="A337" s="1">
        <v>335</v>
      </c>
      <c r="C337" s="1" t="s">
        <v>29</v>
      </c>
      <c r="D337" s="1">
        <v>19.5</v>
      </c>
      <c r="E337" s="1">
        <v>127</v>
      </c>
      <c r="F337" s="1">
        <v>30</v>
      </c>
      <c r="G337" s="1">
        <v>0.43251596049666174</v>
      </c>
      <c r="H337">
        <v>1.8884672277520567</v>
      </c>
      <c r="I337">
        <v>798.5062760403348</v>
      </c>
      <c r="J337" s="1" t="s">
        <v>16</v>
      </c>
      <c r="K337" s="1">
        <f t="shared" si="15"/>
        <v>0.50465872801967426</v>
      </c>
      <c r="L337" s="1">
        <f t="shared" si="16"/>
        <v>0.94433985210939064</v>
      </c>
      <c r="M337" s="1">
        <f t="shared" si="17"/>
        <v>398.81170331605944</v>
      </c>
    </row>
    <row r="338" spans="1:19" x14ac:dyDescent="0.3">
      <c r="A338" s="1">
        <v>336</v>
      </c>
      <c r="C338" s="1" t="s">
        <v>29</v>
      </c>
      <c r="D338" s="1">
        <v>19.5</v>
      </c>
      <c r="E338" s="1">
        <v>128</v>
      </c>
      <c r="F338" s="1">
        <v>45</v>
      </c>
      <c r="G338" s="1">
        <v>0.43932024469599951</v>
      </c>
      <c r="H338">
        <v>1.8581105362472652</v>
      </c>
      <c r="I338">
        <v>894.89677056435698</v>
      </c>
      <c r="J338" s="1" t="s">
        <v>16</v>
      </c>
      <c r="K338" s="1">
        <f t="shared" si="15"/>
        <v>0.51259795274835029</v>
      </c>
      <c r="L338" s="1">
        <f t="shared" si="16"/>
        <v>0.9291597986009752</v>
      </c>
      <c r="M338" s="1">
        <f t="shared" si="17"/>
        <v>446.95366344595169</v>
      </c>
    </row>
    <row r="339" spans="1:19" x14ac:dyDescent="0.3">
      <c r="A339" s="1">
        <v>337</v>
      </c>
      <c r="C339" s="1" t="s">
        <v>29</v>
      </c>
      <c r="D339" s="1">
        <v>19.5</v>
      </c>
      <c r="E339" s="1">
        <v>129</v>
      </c>
      <c r="F339" s="1">
        <v>0</v>
      </c>
      <c r="G339" s="1">
        <v>0.40316887071339891</v>
      </c>
      <c r="H339">
        <v>1.8071546612213645</v>
      </c>
      <c r="I339">
        <v>399.6286202726734</v>
      </c>
      <c r="J339" s="1" t="s">
        <v>129</v>
      </c>
      <c r="K339" s="1">
        <f t="shared" si="15"/>
        <v>0.47041660436695665</v>
      </c>
      <c r="L339" s="1">
        <f t="shared" si="16"/>
        <v>0.90367899449756328</v>
      </c>
      <c r="M339" s="1">
        <f t="shared" si="17"/>
        <v>199.5933852080845</v>
      </c>
      <c r="N339" s="1">
        <f>SLOPE(K339:K342,F339:F342)</f>
        <v>1.0836029672170329E-3</v>
      </c>
      <c r="O339" s="1">
        <f>SLOPE(L339:L342,F339:F342)</f>
        <v>-6.1443073724538614E-5</v>
      </c>
      <c r="P339" s="1">
        <f>SLOPE(M339:M342,F339:F342)</f>
        <v>3.5052009124882719</v>
      </c>
      <c r="Q339" s="1">
        <f>(N339*84.63/0.31*60)/1000</f>
        <v>1.7749416603015E-2</v>
      </c>
      <c r="R339" s="1">
        <f>O339*84.63/0.31*60/1000</f>
        <v>-1.0064375476079425E-3</v>
      </c>
      <c r="S339" s="1">
        <f>(P339*84.63/0.31*60)/1000</f>
        <v>57.4151909465579</v>
      </c>
    </row>
    <row r="340" spans="1:19" x14ac:dyDescent="0.3">
      <c r="A340" s="1">
        <v>338</v>
      </c>
      <c r="C340" s="1" t="s">
        <v>29</v>
      </c>
      <c r="D340" s="1">
        <v>19.5</v>
      </c>
      <c r="E340" s="1">
        <v>130</v>
      </c>
      <c r="F340" s="1">
        <v>15</v>
      </c>
      <c r="G340" s="1">
        <v>0.41438726562562161</v>
      </c>
      <c r="H340">
        <v>1.8396796878336412</v>
      </c>
      <c r="I340">
        <v>591.89394361879511</v>
      </c>
      <c r="J340" s="1" t="s">
        <v>129</v>
      </c>
      <c r="K340" s="1">
        <f t="shared" si="15"/>
        <v>0.48350620434454733</v>
      </c>
      <c r="L340" s="1">
        <f t="shared" si="16"/>
        <v>0.91994333754229418</v>
      </c>
      <c r="M340" s="1">
        <f t="shared" si="17"/>
        <v>295.61975769010428</v>
      </c>
    </row>
    <row r="341" spans="1:19" x14ac:dyDescent="0.3">
      <c r="A341" s="1">
        <v>339</v>
      </c>
      <c r="C341" s="1" t="s">
        <v>29</v>
      </c>
      <c r="D341" s="1">
        <v>19.5</v>
      </c>
      <c r="E341" s="1">
        <v>131</v>
      </c>
      <c r="F341" s="1">
        <v>30</v>
      </c>
      <c r="G341" s="1">
        <v>0.4168159902973399</v>
      </c>
      <c r="H341">
        <v>1.808238828775107</v>
      </c>
      <c r="I341">
        <v>673.75611749734719</v>
      </c>
      <c r="J341" s="1" t="s">
        <v>129</v>
      </c>
      <c r="K341" s="1">
        <f t="shared" si="15"/>
        <v>0.48634003526753083</v>
      </c>
      <c r="L341" s="1">
        <f t="shared" si="16"/>
        <v>0.90422113926572101</v>
      </c>
      <c r="M341" s="1">
        <f t="shared" si="17"/>
        <v>336.50558912471115</v>
      </c>
    </row>
    <row r="342" spans="1:19" x14ac:dyDescent="0.3">
      <c r="A342" s="1">
        <v>340</v>
      </c>
      <c r="C342" s="1" t="s">
        <v>29</v>
      </c>
      <c r="D342" s="1">
        <v>19.5</v>
      </c>
      <c r="E342" s="1">
        <v>132</v>
      </c>
      <c r="F342" s="1">
        <v>45</v>
      </c>
      <c r="G342" s="1">
        <v>0.44879419847496416</v>
      </c>
      <c r="H342">
        <v>1.8114913314363348</v>
      </c>
      <c r="I342">
        <v>723.24930215465088</v>
      </c>
      <c r="J342" s="1" t="s">
        <v>129</v>
      </c>
      <c r="K342" s="1">
        <f t="shared" si="15"/>
        <v>0.52365214242014713</v>
      </c>
      <c r="L342" s="1">
        <f t="shared" si="16"/>
        <v>0.90584757357019408</v>
      </c>
      <c r="M342" s="1">
        <f t="shared" si="17"/>
        <v>361.22482035429579</v>
      </c>
    </row>
    <row r="343" spans="1:19" x14ac:dyDescent="0.3">
      <c r="A343" s="1">
        <v>341</v>
      </c>
      <c r="C343" s="1" t="s">
        <v>29</v>
      </c>
      <c r="D343" s="1">
        <v>19.5</v>
      </c>
      <c r="E343" s="1" t="s">
        <v>145</v>
      </c>
      <c r="G343" s="1">
        <v>0.40367003612184882</v>
      </c>
      <c r="H343">
        <v>2.3438176003239333</v>
      </c>
      <c r="I343">
        <v>492.61026232103734</v>
      </c>
      <c r="K343" s="1">
        <f t="shared" si="15"/>
        <v>0.47100136312884233</v>
      </c>
      <c r="L343" s="1">
        <f t="shared" si="16"/>
        <v>1.1720406547356244</v>
      </c>
      <c r="M343" s="1">
        <f t="shared" si="17"/>
        <v>246.03280360103278</v>
      </c>
    </row>
    <row r="344" spans="1:19" x14ac:dyDescent="0.3">
      <c r="A344" s="1">
        <v>342</v>
      </c>
      <c r="C344" s="1" t="s">
        <v>29</v>
      </c>
      <c r="D344" s="1">
        <v>19.5</v>
      </c>
      <c r="E344" s="1" t="s">
        <v>146</v>
      </c>
      <c r="G344" s="1">
        <v>0.40848893428002003</v>
      </c>
      <c r="H344">
        <v>2.4500660205907043</v>
      </c>
      <c r="I344">
        <v>392.97955457737334</v>
      </c>
      <c r="K344" s="1">
        <f t="shared" si="15"/>
        <v>0.47662404353158733</v>
      </c>
      <c r="L344" s="1">
        <f t="shared" si="16"/>
        <v>1.2251708420150791</v>
      </c>
      <c r="M344" s="1">
        <f t="shared" si="17"/>
        <v>196.2725281341082</v>
      </c>
    </row>
    <row r="345" spans="1:19" x14ac:dyDescent="0.3">
      <c r="A345" s="1">
        <v>343</v>
      </c>
      <c r="C345" s="1" t="s">
        <v>29</v>
      </c>
      <c r="D345" s="1">
        <v>19.5</v>
      </c>
      <c r="E345" s="1" t="s">
        <v>147</v>
      </c>
      <c r="G345" s="1">
        <v>0.40454707558663594</v>
      </c>
      <c r="H345">
        <v>2.5096952360465457</v>
      </c>
      <c r="I345">
        <v>397.68975622518008</v>
      </c>
      <c r="K345" s="1">
        <f t="shared" si="15"/>
        <v>0.47202469096214184</v>
      </c>
      <c r="L345" s="1">
        <f t="shared" si="16"/>
        <v>1.2549888042637525</v>
      </c>
      <c r="M345" s="1">
        <f t="shared" si="17"/>
        <v>198.62502503800107</v>
      </c>
    </row>
    <row r="346" spans="1:19" x14ac:dyDescent="0.3">
      <c r="A346" s="1">
        <v>344</v>
      </c>
      <c r="B346" s="9">
        <v>45184</v>
      </c>
      <c r="C346" s="1" t="s">
        <v>29</v>
      </c>
      <c r="D346" s="1">
        <v>16</v>
      </c>
      <c r="E346" s="1">
        <v>401</v>
      </c>
      <c r="F346" s="1">
        <v>0</v>
      </c>
      <c r="G346" s="1">
        <v>0.47396126885987838</v>
      </c>
      <c r="H346" s="1">
        <v>1.9260100755667509</v>
      </c>
      <c r="I346" s="1">
        <v>1029.1298694853224</v>
      </c>
      <c r="J346" s="1" t="s">
        <v>129</v>
      </c>
      <c r="K346" s="1">
        <f t="shared" si="15"/>
        <v>0.5597109917663039</v>
      </c>
      <c r="L346" s="1">
        <f t="shared" si="16"/>
        <v>0.97477134016866129</v>
      </c>
      <c r="M346" s="1">
        <f t="shared" si="17"/>
        <v>520.21764130885833</v>
      </c>
      <c r="N346" s="1">
        <f>SLOPE(K346:K349,F346:F349)</f>
        <v>-1.810026617415423E-3</v>
      </c>
      <c r="O346" s="1">
        <f>SLOPE(L346:L349,F346:F349)</f>
        <v>-1.020411252786853E-3</v>
      </c>
      <c r="P346" s="1">
        <f>SLOPE(M346:M349,F346:F349)</f>
        <v>1.6897341897157991</v>
      </c>
      <c r="Q346" s="1">
        <f>(N346*84.63/0.31*60)/1000</f>
        <v>-2.9648235993264629E-2</v>
      </c>
      <c r="R346" s="1">
        <f>O346*84.63/0.31*60/1000</f>
        <v>-1.6714336320648653E-2</v>
      </c>
      <c r="S346" s="1">
        <f>(P346*84.63/0.31*60)/1000</f>
        <v>27.677846027544792</v>
      </c>
    </row>
    <row r="347" spans="1:19" x14ac:dyDescent="0.3">
      <c r="A347" s="1">
        <v>345</v>
      </c>
      <c r="B347" s="1" t="s">
        <v>148</v>
      </c>
      <c r="C347" s="1" t="s">
        <v>29</v>
      </c>
      <c r="D347" s="1">
        <v>16</v>
      </c>
      <c r="E347" s="1">
        <v>402</v>
      </c>
      <c r="F347" s="1">
        <v>15</v>
      </c>
      <c r="G347" s="1">
        <v>0.40669366890822628</v>
      </c>
      <c r="H347" s="1">
        <v>1.918110831234257</v>
      </c>
      <c r="I347" s="1">
        <v>804.79211821984802</v>
      </c>
      <c r="J347" s="1" t="s">
        <v>129</v>
      </c>
      <c r="K347" s="1">
        <f t="shared" si="15"/>
        <v>0.4802732453587823</v>
      </c>
      <c r="L347" s="1">
        <f t="shared" si="16"/>
        <v>0.97077346026035449</v>
      </c>
      <c r="M347" s="1">
        <f t="shared" si="17"/>
        <v>406.81654463461308</v>
      </c>
    </row>
    <row r="348" spans="1:19" x14ac:dyDescent="0.3">
      <c r="A348" s="1">
        <v>346</v>
      </c>
      <c r="C348" s="1" t="s">
        <v>29</v>
      </c>
      <c r="D348" s="1">
        <v>16</v>
      </c>
      <c r="E348" s="1">
        <v>403</v>
      </c>
      <c r="F348" s="1">
        <v>30</v>
      </c>
      <c r="G348" s="1">
        <v>0.40239038677509187</v>
      </c>
      <c r="H348" s="1">
        <v>1.7680251889168768</v>
      </c>
      <c r="I348" s="1">
        <v>1090.1424789779383</v>
      </c>
      <c r="J348" s="1" t="s">
        <v>129</v>
      </c>
      <c r="K348" s="1">
        <f t="shared" si="15"/>
        <v>0.47519140751920352</v>
      </c>
      <c r="L348" s="1">
        <f t="shared" si="16"/>
        <v>0.89481374200252728</v>
      </c>
      <c r="M348" s="1">
        <f t="shared" si="17"/>
        <v>551.05907030772744</v>
      </c>
    </row>
    <row r="349" spans="1:19" x14ac:dyDescent="0.3">
      <c r="A349" s="1">
        <v>347</v>
      </c>
      <c r="C349" s="1" t="s">
        <v>29</v>
      </c>
      <c r="D349" s="1">
        <v>16</v>
      </c>
      <c r="E349" s="1">
        <v>404</v>
      </c>
      <c r="F349" s="1">
        <v>45</v>
      </c>
      <c r="G349" s="1">
        <v>0.39875949247525971</v>
      </c>
      <c r="H349" s="1">
        <v>1.8752292191435771</v>
      </c>
      <c r="I349" s="1">
        <v>1101.1504293264347</v>
      </c>
      <c r="J349" s="1" t="s">
        <v>129</v>
      </c>
      <c r="K349" s="1">
        <f t="shared" si="15"/>
        <v>0.47090360684205901</v>
      </c>
      <c r="L349" s="1">
        <f t="shared" si="16"/>
        <v>0.94907068361526103</v>
      </c>
      <c r="M349" s="1">
        <f t="shared" si="17"/>
        <v>556.62350890361017</v>
      </c>
    </row>
    <row r="350" spans="1:19" x14ac:dyDescent="0.3">
      <c r="A350" s="1">
        <v>348</v>
      </c>
      <c r="C350" s="1" t="s">
        <v>29</v>
      </c>
      <c r="D350" s="1">
        <v>16</v>
      </c>
      <c r="E350" s="1">
        <v>405</v>
      </c>
      <c r="F350" s="1">
        <v>0</v>
      </c>
      <c r="G350" s="1">
        <v>0.39382224467072613</v>
      </c>
      <c r="H350" s="1">
        <v>1.9451939546599497</v>
      </c>
      <c r="I350" s="1">
        <v>521.80775071078415</v>
      </c>
      <c r="J350" s="1" t="s">
        <v>16</v>
      </c>
      <c r="K350" s="1">
        <f t="shared" si="15"/>
        <v>0.46507310539218533</v>
      </c>
      <c r="L350" s="1">
        <f t="shared" si="16"/>
        <v>0.98448047708883457</v>
      </c>
      <c r="M350" s="1">
        <f t="shared" si="17"/>
        <v>263.77001128846973</v>
      </c>
      <c r="N350" s="1">
        <f>SLOPE(K350:K353,F350:F353)</f>
        <v>1.0196193391523761E-3</v>
      </c>
      <c r="O350" s="1">
        <f>SLOPE(L350:L353,F350:F353)</f>
        <v>8.0757174147795471E-3</v>
      </c>
      <c r="P350" s="1">
        <f>SLOPE(M350:M353,F350:F353)</f>
        <v>6.6461108492118788</v>
      </c>
      <c r="Q350" s="1">
        <f>(N350*84.63/0.31*60)/1000</f>
        <v>1.6701364775315922E-2</v>
      </c>
      <c r="R350" s="1">
        <f>O350*84.63/0.31*60/1000</f>
        <v>0.13228025125408896</v>
      </c>
      <c r="S350" s="1">
        <f>(P350*84.63/0.31*60)/1000</f>
        <v>108.86329571009057</v>
      </c>
    </row>
    <row r="351" spans="1:19" x14ac:dyDescent="0.3">
      <c r="A351" s="1">
        <v>349</v>
      </c>
      <c r="C351" s="1" t="s">
        <v>29</v>
      </c>
      <c r="D351" s="1">
        <v>16</v>
      </c>
      <c r="E351" s="1">
        <v>406</v>
      </c>
      <c r="F351" s="1">
        <v>15</v>
      </c>
      <c r="G351" s="1">
        <v>0.40547376526780643</v>
      </c>
      <c r="H351" s="1">
        <v>-0.36251385390428226</v>
      </c>
      <c r="I351" s="1">
        <v>779.22428487164245</v>
      </c>
      <c r="J351" s="1" t="s">
        <v>16</v>
      </c>
      <c r="K351" s="1">
        <f t="shared" si="15"/>
        <v>0.47883263507836599</v>
      </c>
      <c r="L351" s="1">
        <f t="shared" si="16"/>
        <v>-0.18347158183790957</v>
      </c>
      <c r="M351" s="1">
        <f t="shared" si="17"/>
        <v>393.89219139974551</v>
      </c>
    </row>
    <row r="352" spans="1:19" x14ac:dyDescent="0.3">
      <c r="A352" s="1">
        <v>350</v>
      </c>
      <c r="C352" s="1" t="s">
        <v>29</v>
      </c>
      <c r="D352" s="1">
        <v>16</v>
      </c>
      <c r="E352" s="1">
        <v>407</v>
      </c>
      <c r="F352" s="1">
        <v>30</v>
      </c>
      <c r="G352" s="1">
        <v>0.42392600852171536</v>
      </c>
      <c r="H352" s="1">
        <v>2.4981410579345091</v>
      </c>
      <c r="I352" s="1">
        <v>1005.866231055012</v>
      </c>
      <c r="J352" s="1" t="s">
        <v>16</v>
      </c>
      <c r="K352" s="1">
        <f t="shared" si="15"/>
        <v>0.50062328349316665</v>
      </c>
      <c r="L352" s="1">
        <f t="shared" si="16"/>
        <v>1.2643320706703041</v>
      </c>
      <c r="M352" s="1">
        <f t="shared" si="17"/>
        <v>508.45804179540659</v>
      </c>
    </row>
    <row r="353" spans="1:19" x14ac:dyDescent="0.3">
      <c r="A353" s="1">
        <v>351</v>
      </c>
      <c r="C353" s="1" t="s">
        <v>29</v>
      </c>
      <c r="D353" s="1">
        <v>16</v>
      </c>
      <c r="E353" s="1">
        <v>408</v>
      </c>
      <c r="F353" s="1">
        <v>45</v>
      </c>
      <c r="G353" s="1">
        <v>0.43084199766425274</v>
      </c>
      <c r="H353" s="1">
        <v>1.7894659949622167</v>
      </c>
      <c r="I353" s="1">
        <v>1103.6498284966335</v>
      </c>
      <c r="J353" s="1" t="s">
        <v>16</v>
      </c>
      <c r="K353" s="1">
        <f t="shared" si="15"/>
        <v>0.50879052287820392</v>
      </c>
      <c r="L353" s="1">
        <f t="shared" si="16"/>
        <v>0.90566513032507401</v>
      </c>
      <c r="M353" s="1">
        <f t="shared" si="17"/>
        <v>557.88693695050995</v>
      </c>
    </row>
    <row r="354" spans="1:19" x14ac:dyDescent="0.3">
      <c r="A354" s="1">
        <v>352</v>
      </c>
      <c r="C354" s="1" t="s">
        <v>29</v>
      </c>
      <c r="D354" s="1">
        <v>16</v>
      </c>
      <c r="E354" s="1">
        <v>409</v>
      </c>
      <c r="F354" s="1">
        <v>0</v>
      </c>
      <c r="G354" s="1">
        <v>0.39591625249443874</v>
      </c>
      <c r="H354" s="1">
        <v>1.9677632241813603</v>
      </c>
      <c r="I354" s="1">
        <v>437.88071240504428</v>
      </c>
      <c r="J354" s="1" t="s">
        <v>16</v>
      </c>
      <c r="K354" s="1">
        <f t="shared" si="15"/>
        <v>0.46754596398376586</v>
      </c>
      <c r="L354" s="1">
        <f t="shared" si="16"/>
        <v>0.99590299111256808</v>
      </c>
      <c r="M354" s="1">
        <f t="shared" si="17"/>
        <v>221.34550569007993</v>
      </c>
      <c r="N354" s="1">
        <f>SLOPE(K354:K357,F354:F357)</f>
        <v>6.0679563727350722E-4</v>
      </c>
      <c r="O354" s="1">
        <f>SLOPE(L354:L357,F354:F357)</f>
        <v>-1.6448420194176139E-3</v>
      </c>
      <c r="P354" s="1">
        <f>SLOPE(M354:M357,F354:F357)</f>
        <v>7.9116578322133249</v>
      </c>
      <c r="Q354" s="1">
        <f>(N354*84.63/0.31*60)/1000</f>
        <v>9.9393125385400481E-3</v>
      </c>
      <c r="R354" s="1">
        <f>O354*84.63/0.31*60/1000</f>
        <v>-2.6942512278060517E-2</v>
      </c>
      <c r="S354" s="1">
        <f>(P354*84.63/0.31*60)/1000</f>
        <v>129.59295529165425</v>
      </c>
    </row>
    <row r="355" spans="1:19" x14ac:dyDescent="0.3">
      <c r="A355" s="1">
        <v>353</v>
      </c>
      <c r="C355" s="1" t="s">
        <v>29</v>
      </c>
      <c r="D355" s="1">
        <v>16</v>
      </c>
      <c r="E355" s="1">
        <v>410</v>
      </c>
      <c r="F355" s="1">
        <v>15</v>
      </c>
      <c r="G355" s="1">
        <v>0.40245762555842207</v>
      </c>
      <c r="H355" s="1">
        <v>1.9813047858942066</v>
      </c>
      <c r="I355" s="1">
        <v>653.98162896402027</v>
      </c>
      <c r="J355" s="1" t="s">
        <v>16</v>
      </c>
      <c r="K355" s="1">
        <f t="shared" si="15"/>
        <v>0.47527081123544695</v>
      </c>
      <c r="L355" s="1">
        <f t="shared" si="16"/>
        <v>1.0027564995268081</v>
      </c>
      <c r="M355" s="1">
        <f t="shared" si="17"/>
        <v>330.58294250960881</v>
      </c>
    </row>
    <row r="356" spans="1:19" x14ac:dyDescent="0.3">
      <c r="A356" s="1">
        <v>354</v>
      </c>
      <c r="C356" s="1" t="s">
        <v>29</v>
      </c>
      <c r="D356" s="1">
        <v>16</v>
      </c>
      <c r="E356" s="1">
        <v>411</v>
      </c>
      <c r="F356" s="1">
        <v>30</v>
      </c>
      <c r="G356" s="1">
        <v>0.41325425305316105</v>
      </c>
      <c r="H356" s="1">
        <v>1.822191435768262</v>
      </c>
      <c r="I356" s="1">
        <v>910.79783647960335</v>
      </c>
      <c r="J356" s="1" t="s">
        <v>16</v>
      </c>
      <c r="K356" s="1">
        <f t="shared" si="15"/>
        <v>0.48802077938653288</v>
      </c>
      <c r="L356" s="1">
        <f t="shared" si="16"/>
        <v>0.92222777565948733</v>
      </c>
      <c r="M356" s="1">
        <f t="shared" si="17"/>
        <v>460.40166188120537</v>
      </c>
    </row>
    <row r="357" spans="1:19" x14ac:dyDescent="0.3">
      <c r="A357" s="1">
        <v>355</v>
      </c>
      <c r="C357" s="1" t="s">
        <v>29</v>
      </c>
      <c r="D357" s="1">
        <v>16</v>
      </c>
      <c r="E357" s="1">
        <v>412</v>
      </c>
      <c r="F357" s="1">
        <v>45</v>
      </c>
      <c r="G357" s="1">
        <v>0.41800899558865551</v>
      </c>
      <c r="H357" s="1">
        <v>1.8583022670025191</v>
      </c>
      <c r="I357" s="1">
        <v>1134.8442527554587</v>
      </c>
      <c r="J357" s="1" t="s">
        <v>16</v>
      </c>
      <c r="K357" s="1">
        <f t="shared" si="15"/>
        <v>0.49363575646374591</v>
      </c>
      <c r="L357" s="1">
        <f t="shared" si="16"/>
        <v>0.94050379809746099</v>
      </c>
      <c r="M357" s="1">
        <f t="shared" si="17"/>
        <v>573.65549084354734</v>
      </c>
    </row>
    <row r="358" spans="1:19" x14ac:dyDescent="0.3">
      <c r="A358" s="1">
        <v>356</v>
      </c>
      <c r="C358" s="1" t="s">
        <v>29</v>
      </c>
      <c r="D358" s="1">
        <v>16</v>
      </c>
      <c r="E358" s="1">
        <v>413</v>
      </c>
      <c r="F358" s="1">
        <v>0</v>
      </c>
      <c r="G358" s="1">
        <v>0.39456187128735853</v>
      </c>
      <c r="H358" s="1">
        <v>1.8188060453400507</v>
      </c>
      <c r="I358" s="1">
        <v>433.02316739294702</v>
      </c>
      <c r="J358" s="1" t="s">
        <v>16</v>
      </c>
      <c r="K358" s="1">
        <f t="shared" si="15"/>
        <v>0.46594654627086279</v>
      </c>
      <c r="L358" s="1">
        <f t="shared" si="16"/>
        <v>0.92051439855592765</v>
      </c>
      <c r="M358" s="1">
        <f t="shared" si="17"/>
        <v>218.89005212326373</v>
      </c>
      <c r="N358" s="1">
        <f>SLOPE(K358:K361,F358:F361)</f>
        <v>8.2035382267484937E-4</v>
      </c>
      <c r="O358" s="1">
        <f>SLOPE(L358:L361,F358:F361)</f>
        <v>4.1501800952898016E-4</v>
      </c>
      <c r="P358" s="1">
        <f>SLOPE(M358:M361,F358:F361)</f>
        <v>7.4080749823005476</v>
      </c>
      <c r="Q358" s="1">
        <f>(N358*84.63/0.31*60)/1000</f>
        <v>1.3437395615414034E-2</v>
      </c>
      <c r="R358" s="1">
        <f>O358*84.63/0.31*60/1000</f>
        <v>6.7979949960846947E-3</v>
      </c>
      <c r="S358" s="1">
        <f>(P358*84.63/0.31*60)/1000</f>
        <v>121.34426821008296</v>
      </c>
    </row>
    <row r="359" spans="1:19" x14ac:dyDescent="0.3">
      <c r="A359" s="1">
        <v>357</v>
      </c>
      <c r="C359" s="1" t="s">
        <v>29</v>
      </c>
      <c r="D359" s="1">
        <v>16</v>
      </c>
      <c r="E359" s="1">
        <v>414</v>
      </c>
      <c r="F359" s="1">
        <v>15</v>
      </c>
      <c r="G359" s="1">
        <v>0.40504151594639787</v>
      </c>
      <c r="H359" s="1">
        <v>1.8594307304785898</v>
      </c>
      <c r="I359" s="1">
        <v>651.76669830220374</v>
      </c>
      <c r="J359" s="1" t="s">
        <v>16</v>
      </c>
      <c r="K359" s="1">
        <f t="shared" si="15"/>
        <v>0.47832218261680115</v>
      </c>
      <c r="L359" s="1">
        <f t="shared" si="16"/>
        <v>0.94107492379864777</v>
      </c>
      <c r="M359" s="1">
        <f t="shared" si="17"/>
        <v>329.4633112184394</v>
      </c>
    </row>
    <row r="360" spans="1:19" x14ac:dyDescent="0.3">
      <c r="A360" s="1">
        <v>358</v>
      </c>
      <c r="C360" s="1" t="s">
        <v>29</v>
      </c>
      <c r="D360" s="1">
        <v>16</v>
      </c>
      <c r="E360" s="1">
        <v>415</v>
      </c>
      <c r="F360" s="1">
        <v>30</v>
      </c>
      <c r="G360" s="1">
        <v>0.41884467761004551</v>
      </c>
      <c r="H360" s="1">
        <v>1.8470176322418139</v>
      </c>
      <c r="I360" s="1">
        <v>931.09907871917585</v>
      </c>
      <c r="J360" s="1" t="s">
        <v>16</v>
      </c>
      <c r="K360" s="1">
        <f t="shared" si="15"/>
        <v>0.49462263122277134</v>
      </c>
      <c r="L360" s="1">
        <f t="shared" si="16"/>
        <v>0.9347925410855944</v>
      </c>
      <c r="M360" s="1">
        <f t="shared" si="17"/>
        <v>470.66379173153405</v>
      </c>
    </row>
    <row r="361" spans="1:19" x14ac:dyDescent="0.3">
      <c r="A361" s="1">
        <v>359</v>
      </c>
      <c r="C361" s="1" t="s">
        <v>29</v>
      </c>
      <c r="D361" s="1">
        <v>16</v>
      </c>
      <c r="E361" s="1">
        <v>416</v>
      </c>
      <c r="F361" s="1">
        <v>45</v>
      </c>
      <c r="G361" s="1">
        <v>0.42469445175977505</v>
      </c>
      <c r="H361" s="1">
        <v>1.8639445843828719</v>
      </c>
      <c r="I361" s="1">
        <v>1072.6702270079311</v>
      </c>
      <c r="J361" s="1" t="s">
        <v>16</v>
      </c>
      <c r="K361" s="1">
        <f t="shared" si="15"/>
        <v>0.50153075453594853</v>
      </c>
      <c r="L361" s="1">
        <f t="shared" si="16"/>
        <v>0.94335942660339445</v>
      </c>
      <c r="M361" s="1">
        <f t="shared" si="17"/>
        <v>542.22697440059289</v>
      </c>
    </row>
    <row r="362" spans="1:19" x14ac:dyDescent="0.3">
      <c r="A362" s="1">
        <v>360</v>
      </c>
      <c r="C362" s="1" t="s">
        <v>29</v>
      </c>
      <c r="D362" s="1">
        <v>16</v>
      </c>
      <c r="E362" s="1">
        <v>417</v>
      </c>
      <c r="F362" s="1">
        <v>0</v>
      </c>
      <c r="G362" s="1">
        <v>0.39733787248484925</v>
      </c>
      <c r="H362" s="1">
        <v>1.8650730478589423</v>
      </c>
      <c r="I362" s="1">
        <v>496.94127937462423</v>
      </c>
      <c r="J362" s="1" t="s">
        <v>16</v>
      </c>
      <c r="K362" s="1">
        <f t="shared" si="15"/>
        <v>0.46922478541291252</v>
      </c>
      <c r="L362" s="1">
        <f t="shared" si="16"/>
        <v>0.94393055230458101</v>
      </c>
      <c r="M362" s="1">
        <f t="shared" si="17"/>
        <v>251.2001914341098</v>
      </c>
      <c r="N362" s="1">
        <f>SLOPE(K362:K365,F362:F365)</f>
        <v>1.7781138857442577E-3</v>
      </c>
      <c r="O362" s="1">
        <f>SLOPE(L362:L365,F362:F365)</f>
        <v>6.0920074793244053E-5</v>
      </c>
      <c r="P362" s="1">
        <f>SLOPE(M362:M365,F362:F365)</f>
        <v>6.0449643797904669</v>
      </c>
      <c r="Q362" s="1">
        <f>(N362*84.63/0.31*60)/1000</f>
        <v>2.9125505448490938E-2</v>
      </c>
      <c r="R362" s="1">
        <f>O362*84.63/0.31*60/1000</f>
        <v>9.9787082511333756E-4</v>
      </c>
      <c r="S362" s="1">
        <f>(P362*84.63/0.31*60)/1000</f>
        <v>99.016516540967842</v>
      </c>
    </row>
    <row r="363" spans="1:19" x14ac:dyDescent="0.3">
      <c r="A363" s="1">
        <v>361</v>
      </c>
      <c r="C363" s="1" t="s">
        <v>29</v>
      </c>
      <c r="D363" s="1">
        <v>16</v>
      </c>
      <c r="E363" s="1">
        <v>418</v>
      </c>
      <c r="F363" s="1">
        <v>15</v>
      </c>
      <c r="G363" s="1">
        <v>0.42104434637899141</v>
      </c>
      <c r="H363" s="1">
        <v>1.8425037783375318</v>
      </c>
      <c r="I363" s="1">
        <v>631.91766289836949</v>
      </c>
      <c r="J363" s="1" t="s">
        <v>16</v>
      </c>
      <c r="K363" s="1">
        <f t="shared" si="15"/>
        <v>0.49722026708273448</v>
      </c>
      <c r="L363" s="1">
        <f t="shared" si="16"/>
        <v>0.93250803828084761</v>
      </c>
      <c r="M363" s="1">
        <f t="shared" si="17"/>
        <v>319.42976862463365</v>
      </c>
    </row>
    <row r="364" spans="1:19" x14ac:dyDescent="0.3">
      <c r="A364" s="1">
        <v>362</v>
      </c>
      <c r="C364" s="1" t="s">
        <v>29</v>
      </c>
      <c r="D364" s="1">
        <v>16</v>
      </c>
      <c r="E364" s="1">
        <v>419</v>
      </c>
      <c r="F364" s="1">
        <v>30</v>
      </c>
      <c r="G364" s="1">
        <v>0.44679680039446756</v>
      </c>
      <c r="H364" s="1">
        <v>1.8605591939546602</v>
      </c>
      <c r="I364" s="1">
        <v>867.11524470280347</v>
      </c>
      <c r="J364" s="1" t="s">
        <v>16</v>
      </c>
      <c r="K364" s="1">
        <f t="shared" si="15"/>
        <v>0.5276318904039633</v>
      </c>
      <c r="L364" s="1">
        <f t="shared" si="16"/>
        <v>0.94164604949983421</v>
      </c>
      <c r="M364" s="1">
        <f t="shared" si="17"/>
        <v>438.32043041160546</v>
      </c>
    </row>
    <row r="365" spans="1:19" x14ac:dyDescent="0.3">
      <c r="A365" s="1">
        <v>363</v>
      </c>
      <c r="C365" s="1" t="s">
        <v>29</v>
      </c>
      <c r="D365" s="1">
        <v>16</v>
      </c>
      <c r="E365" s="1">
        <v>420</v>
      </c>
      <c r="F365" s="1">
        <v>45</v>
      </c>
      <c r="G365" s="1">
        <v>0.46403874554843239</v>
      </c>
      <c r="H365" s="1">
        <v>1.8650730478589423</v>
      </c>
      <c r="I365" s="1">
        <v>1016.4700399364277</v>
      </c>
      <c r="J365" s="1" t="s">
        <v>16</v>
      </c>
      <c r="K365" s="1">
        <f t="shared" si="15"/>
        <v>0.54799327192638247</v>
      </c>
      <c r="L365" s="1">
        <f t="shared" si="16"/>
        <v>0.94393055230458101</v>
      </c>
      <c r="M365" s="1">
        <f t="shared" si="17"/>
        <v>513.81818982797586</v>
      </c>
    </row>
    <row r="366" spans="1:19" x14ac:dyDescent="0.3">
      <c r="A366" s="1">
        <v>364</v>
      </c>
      <c r="C366" s="1" t="s">
        <v>29</v>
      </c>
      <c r="D366" s="1">
        <v>16</v>
      </c>
      <c r="E366" s="1">
        <v>421</v>
      </c>
      <c r="F366" s="1">
        <v>0</v>
      </c>
      <c r="G366" s="1">
        <v>0.39688641208248915</v>
      </c>
      <c r="H366" s="1">
        <v>1.8402468513853905</v>
      </c>
      <c r="I366" s="1">
        <v>413.42622994309289</v>
      </c>
      <c r="J366" s="1" t="s">
        <v>16</v>
      </c>
      <c r="K366" s="1">
        <f t="shared" si="15"/>
        <v>0.46869164617527809</v>
      </c>
      <c r="L366" s="1">
        <f t="shared" si="16"/>
        <v>0.93136578687847416</v>
      </c>
      <c r="M366" s="1">
        <f t="shared" si="17"/>
        <v>208.98394320608807</v>
      </c>
      <c r="N366" s="1">
        <f>SLOPE(K366:K369,F366:F369)</f>
        <v>7.7065465856515896E-3</v>
      </c>
      <c r="O366" s="1">
        <f>SLOPE(L366:L369,F366:F369)</f>
        <v>1.4468517763395936E-4</v>
      </c>
      <c r="P366" s="1">
        <f>SLOPE(M366:M369,F366:F369)</f>
        <v>7.0615876087687717</v>
      </c>
      <c r="Q366" s="1">
        <f>(N366*84.63/0.31*60)/1000</f>
        <v>0.12623323307297302</v>
      </c>
      <c r="R366" s="1">
        <f>O366*84.63/0.31*60/1000</f>
        <v>2.369943209644254E-3</v>
      </c>
      <c r="S366" s="1">
        <f>(P366*84.63/0.31*60)/1000</f>
        <v>115.66880503163249</v>
      </c>
    </row>
    <row r="367" spans="1:19" x14ac:dyDescent="0.3">
      <c r="A367" s="1">
        <v>365</v>
      </c>
      <c r="C367" s="1" t="s">
        <v>29</v>
      </c>
      <c r="D367" s="1">
        <v>16</v>
      </c>
      <c r="E367" s="1">
        <v>422</v>
      </c>
      <c r="F367" s="1">
        <v>15</v>
      </c>
      <c r="G367" s="1">
        <v>0.47332730318847915</v>
      </c>
      <c r="H367" s="1">
        <v>1.8876423173803529</v>
      </c>
      <c r="I367" s="1">
        <v>584.03572738231526</v>
      </c>
      <c r="J367" s="1" t="s">
        <v>16</v>
      </c>
      <c r="K367" s="1">
        <f t="shared" si="15"/>
        <v>0.55896232815600888</v>
      </c>
      <c r="L367" s="1">
        <f t="shared" si="16"/>
        <v>0.95535306632831452</v>
      </c>
      <c r="M367" s="1">
        <f t="shared" si="17"/>
        <v>295.22579952992476</v>
      </c>
    </row>
    <row r="368" spans="1:19" x14ac:dyDescent="0.3">
      <c r="A368" s="1">
        <v>366</v>
      </c>
      <c r="C368" s="1" t="s">
        <v>29</v>
      </c>
      <c r="D368" s="1">
        <v>16</v>
      </c>
      <c r="E368" s="1">
        <v>423</v>
      </c>
      <c r="F368" s="1">
        <v>30</v>
      </c>
      <c r="G368" s="1">
        <v>0.58217728785963752</v>
      </c>
      <c r="H368" s="1">
        <v>1.8865138539042825</v>
      </c>
      <c r="I368" s="1">
        <v>807.20029128218619</v>
      </c>
      <c r="J368" s="1" t="s">
        <v>16</v>
      </c>
      <c r="K368" s="1">
        <f t="shared" si="15"/>
        <v>0.68750560136606675</v>
      </c>
      <c r="L368" s="1">
        <f t="shared" si="16"/>
        <v>0.95478194062712796</v>
      </c>
      <c r="M368" s="1">
        <f t="shared" si="17"/>
        <v>408.03385854950272</v>
      </c>
    </row>
    <row r="369" spans="1:19" x14ac:dyDescent="0.3">
      <c r="A369" s="1">
        <v>367</v>
      </c>
      <c r="C369" s="1" t="s">
        <v>29</v>
      </c>
      <c r="D369" s="1">
        <v>16</v>
      </c>
      <c r="E369" s="1">
        <v>424</v>
      </c>
      <c r="F369" s="1">
        <v>45</v>
      </c>
      <c r="G369" s="1">
        <v>0.6868968901262249</v>
      </c>
      <c r="H369" s="1">
        <v>1.8549168765743076</v>
      </c>
      <c r="I369" s="1">
        <v>1037.5236523343765</v>
      </c>
      <c r="J369" s="1" t="s">
        <v>16</v>
      </c>
      <c r="K369" s="1">
        <f t="shared" si="15"/>
        <v>0.81117121772117162</v>
      </c>
      <c r="L369" s="1">
        <f t="shared" si="16"/>
        <v>0.93879042099390098</v>
      </c>
      <c r="M369" s="1">
        <f t="shared" si="17"/>
        <v>524.46063730466733</v>
      </c>
    </row>
    <row r="370" spans="1:19" x14ac:dyDescent="0.3">
      <c r="A370" s="1">
        <v>368</v>
      </c>
      <c r="C370" s="1" t="s">
        <v>29</v>
      </c>
      <c r="D370" s="1">
        <v>16</v>
      </c>
      <c r="E370" s="1">
        <v>425</v>
      </c>
      <c r="F370" s="1">
        <v>0</v>
      </c>
      <c r="G370" s="1">
        <v>0.39610836330395366</v>
      </c>
      <c r="H370" s="1">
        <v>1.8673299748110832</v>
      </c>
      <c r="I370" s="1">
        <v>405.92116595126015</v>
      </c>
      <c r="J370" s="1" t="s">
        <v>16</v>
      </c>
      <c r="K370" s="1">
        <f t="shared" si="15"/>
        <v>0.46777283174446138</v>
      </c>
      <c r="L370" s="1">
        <f t="shared" si="16"/>
        <v>0.94507280370695435</v>
      </c>
      <c r="M370" s="1">
        <f t="shared" si="17"/>
        <v>205.19018810921597</v>
      </c>
      <c r="N370" s="1">
        <f>SLOPE(K370:K373,F370:F373)</f>
        <v>1.4797676559123249E-2</v>
      </c>
      <c r="O370" s="1">
        <f>SLOPE(L370:L373,F370:F373)</f>
        <v>-8.7572607515290876E-5</v>
      </c>
      <c r="P370" s="1">
        <f>SLOPE(M370:M373,F370:F373)</f>
        <v>5.930055896435463</v>
      </c>
      <c r="Q370" s="1">
        <f>(N370*84.63/0.31*60)/1000</f>
        <v>0.24238594203843877</v>
      </c>
      <c r="R370" s="1">
        <f>O370*84.63/0.31*60/1000</f>
        <v>-1.4344393111004642E-3</v>
      </c>
      <c r="S370" s="1">
        <f>(P370*84.63/0.31*60)/1000</f>
        <v>97.134315583612874</v>
      </c>
    </row>
    <row r="371" spans="1:19" x14ac:dyDescent="0.3">
      <c r="A371" s="1">
        <v>369</v>
      </c>
      <c r="C371" s="1" t="s">
        <v>29</v>
      </c>
      <c r="D371" s="1">
        <v>16</v>
      </c>
      <c r="E371" s="1">
        <v>426</v>
      </c>
      <c r="F371" s="1">
        <v>15</v>
      </c>
      <c r="G371" s="1">
        <v>0.57243726981723064</v>
      </c>
      <c r="H371" s="1">
        <v>1.8932846347607055</v>
      </c>
      <c r="I371" s="1">
        <v>557.64783998925657</v>
      </c>
      <c r="J371" s="1" t="s">
        <v>16</v>
      </c>
      <c r="K371" s="1">
        <f t="shared" si="15"/>
        <v>0.67600340589880592</v>
      </c>
      <c r="L371" s="1">
        <f t="shared" si="16"/>
        <v>0.95820869483424775</v>
      </c>
      <c r="M371" s="1">
        <f t="shared" si="17"/>
        <v>281.88691495784838</v>
      </c>
    </row>
    <row r="372" spans="1:19" x14ac:dyDescent="0.3">
      <c r="A372" s="1">
        <v>370</v>
      </c>
      <c r="C372" s="1" t="s">
        <v>29</v>
      </c>
      <c r="D372" s="1">
        <v>16</v>
      </c>
      <c r="E372" s="1">
        <v>427</v>
      </c>
      <c r="F372" s="1">
        <v>30</v>
      </c>
      <c r="G372" s="1">
        <v>0.79106897658569486</v>
      </c>
      <c r="H372" s="1">
        <v>1.8639445843828719</v>
      </c>
      <c r="I372" s="1">
        <v>776.13044461151446</v>
      </c>
      <c r="J372" s="1" t="s">
        <v>16</v>
      </c>
      <c r="K372" s="1">
        <f t="shared" si="15"/>
        <v>0.93419026095829472</v>
      </c>
      <c r="L372" s="1">
        <f t="shared" si="16"/>
        <v>0.94335942660339445</v>
      </c>
      <c r="M372" s="1">
        <f t="shared" si="17"/>
        <v>392.32827771845751</v>
      </c>
    </row>
    <row r="373" spans="1:19" x14ac:dyDescent="0.3">
      <c r="A373" s="1">
        <v>371</v>
      </c>
      <c r="C373" s="1" t="s">
        <v>29</v>
      </c>
      <c r="D373" s="1">
        <v>16</v>
      </c>
      <c r="E373" s="1">
        <v>428</v>
      </c>
      <c r="F373" s="1">
        <v>45</v>
      </c>
      <c r="G373" s="1">
        <v>0.94976211078550121</v>
      </c>
      <c r="H373" s="1">
        <v>1.8684584382871536</v>
      </c>
      <c r="I373" s="1">
        <v>919.65559727508753</v>
      </c>
      <c r="J373" s="1" t="s">
        <v>16</v>
      </c>
      <c r="K373" s="1">
        <f t="shared" si="15"/>
        <v>1.1215943746807941</v>
      </c>
      <c r="L373" s="1">
        <f t="shared" si="16"/>
        <v>0.9456439294081409</v>
      </c>
      <c r="M373" s="1">
        <f t="shared" si="17"/>
        <v>464.87919534411941</v>
      </c>
    </row>
    <row r="374" spans="1:19" x14ac:dyDescent="0.3">
      <c r="A374" s="1">
        <v>372</v>
      </c>
      <c r="C374" s="1" t="s">
        <v>29</v>
      </c>
      <c r="D374" s="1">
        <v>16</v>
      </c>
      <c r="E374" s="1">
        <v>429</v>
      </c>
      <c r="F374" s="1">
        <v>0</v>
      </c>
      <c r="G374" s="1">
        <v>0.38517725824255433</v>
      </c>
      <c r="H374" s="1">
        <v>1.8662015113350128</v>
      </c>
      <c r="I374" s="1">
        <v>411.88127166481081</v>
      </c>
      <c r="J374" s="1" t="s">
        <v>129</v>
      </c>
      <c r="K374" s="1">
        <f t="shared" si="15"/>
        <v>0.45486405616088882</v>
      </c>
      <c r="L374" s="1">
        <f t="shared" si="16"/>
        <v>0.94450167800576768</v>
      </c>
      <c r="M374" s="1">
        <f t="shared" si="17"/>
        <v>208.20297806720777</v>
      </c>
      <c r="N374" s="1">
        <f>SLOPE(K374:K377,F374:F377)</f>
        <v>4.2061282832941526E-4</v>
      </c>
      <c r="O374" s="1">
        <f>SLOPE(L374:L377,F374:F377)</f>
        <v>1.4849268230853716E-4</v>
      </c>
      <c r="P374" s="1">
        <f>SLOPE(M374:M377,F374:F377)</f>
        <v>5.2405388828545219</v>
      </c>
      <c r="Q374" s="1">
        <f>(N374*84.63/0.31*60)/1000</f>
        <v>6.8896381280358215E-3</v>
      </c>
      <c r="R374" s="1">
        <f>O374*84.63/0.31*60/1000</f>
        <v>2.4323101362138384E-3</v>
      </c>
      <c r="S374" s="1">
        <f>(P374*84.63/0.31*60)/1000</f>
        <v>85.84002690115706</v>
      </c>
    </row>
    <row r="375" spans="1:19" x14ac:dyDescent="0.3">
      <c r="A375" s="1">
        <v>373</v>
      </c>
      <c r="C375" s="1" t="s">
        <v>29</v>
      </c>
      <c r="D375" s="1">
        <v>16</v>
      </c>
      <c r="E375" s="1">
        <v>430</v>
      </c>
      <c r="F375" s="1">
        <v>15</v>
      </c>
      <c r="G375" s="1">
        <v>0.3957529583063511</v>
      </c>
      <c r="H375" s="1">
        <v>1.8278337531486146</v>
      </c>
      <c r="I375" s="1">
        <v>643.3876293415143</v>
      </c>
      <c r="J375" s="1" t="s">
        <v>129</v>
      </c>
      <c r="K375" s="1">
        <f t="shared" si="15"/>
        <v>0.4673531263871748</v>
      </c>
      <c r="L375" s="1">
        <f t="shared" si="16"/>
        <v>0.92508340416542079</v>
      </c>
      <c r="M375" s="1">
        <f t="shared" si="17"/>
        <v>325.22775298585788</v>
      </c>
    </row>
    <row r="376" spans="1:19" x14ac:dyDescent="0.3">
      <c r="A376" s="1">
        <v>374</v>
      </c>
      <c r="C376" s="1" t="s">
        <v>29</v>
      </c>
      <c r="D376" s="1">
        <v>16</v>
      </c>
      <c r="E376" s="1">
        <v>431</v>
      </c>
      <c r="F376" s="1">
        <v>30</v>
      </c>
      <c r="G376" s="1">
        <v>0.39889397004192012</v>
      </c>
      <c r="H376" s="1">
        <v>1.8616876574307306</v>
      </c>
      <c r="I376" s="1">
        <v>803.50416252500088</v>
      </c>
      <c r="J376" s="1" t="s">
        <v>129</v>
      </c>
      <c r="K376" s="1">
        <f t="shared" si="15"/>
        <v>0.47106241427454576</v>
      </c>
      <c r="L376" s="1">
        <f t="shared" si="16"/>
        <v>0.942217175201021</v>
      </c>
      <c r="M376" s="1">
        <f t="shared" si="17"/>
        <v>406.16549242677189</v>
      </c>
    </row>
    <row r="377" spans="1:19" x14ac:dyDescent="0.3">
      <c r="A377" s="1">
        <v>375</v>
      </c>
      <c r="C377" s="1" t="s">
        <v>29</v>
      </c>
      <c r="D377" s="1">
        <v>16</v>
      </c>
      <c r="E377" s="1">
        <v>432</v>
      </c>
      <c r="F377" s="1">
        <v>45</v>
      </c>
      <c r="G377" s="1">
        <v>0.40193892637273182</v>
      </c>
      <c r="H377" s="1">
        <v>1.8695869017632245</v>
      </c>
      <c r="I377" s="1">
        <v>876.86859083674585</v>
      </c>
      <c r="J377" s="1" t="s">
        <v>129</v>
      </c>
      <c r="K377" s="1">
        <f t="shared" si="15"/>
        <v>0.47465826828156926</v>
      </c>
      <c r="L377" s="1">
        <f t="shared" si="16"/>
        <v>0.9462150551093278</v>
      </c>
      <c r="M377" s="1">
        <f t="shared" si="17"/>
        <v>443.25067572962917</v>
      </c>
    </row>
    <row r="378" spans="1:19" x14ac:dyDescent="0.3">
      <c r="A378" s="1">
        <v>376</v>
      </c>
      <c r="C378" s="1" t="s">
        <v>29</v>
      </c>
      <c r="D378" s="1">
        <v>16</v>
      </c>
      <c r="E378" s="1" t="s">
        <v>114</v>
      </c>
      <c r="G378" s="1">
        <v>0.39465792669211602</v>
      </c>
      <c r="H378" s="1">
        <v>1.8605591939546602</v>
      </c>
      <c r="I378" s="1">
        <v>405.50525337348773</v>
      </c>
      <c r="K378" s="1">
        <f t="shared" si="15"/>
        <v>0.46605998015121058</v>
      </c>
      <c r="L378" s="1">
        <f t="shared" si="16"/>
        <v>0.94164604949983421</v>
      </c>
      <c r="M378" s="1">
        <f t="shared" si="17"/>
        <v>204.97994733532059</v>
      </c>
    </row>
    <row r="379" spans="1:19" x14ac:dyDescent="0.3">
      <c r="A379" s="1">
        <v>377</v>
      </c>
      <c r="C379" s="1" t="s">
        <v>29</v>
      </c>
      <c r="D379" s="1">
        <v>16</v>
      </c>
      <c r="E379" s="1" t="s">
        <v>115</v>
      </c>
      <c r="G379" s="1">
        <v>0.39497490952781567</v>
      </c>
      <c r="H379" s="1">
        <v>1.9045692695214109</v>
      </c>
      <c r="I379" s="1">
        <v>415.66372190040181</v>
      </c>
      <c r="K379" s="1">
        <f t="shared" si="15"/>
        <v>0.46643431195635815</v>
      </c>
      <c r="L379" s="1">
        <f t="shared" si="16"/>
        <v>0.96391995184611456</v>
      </c>
      <c r="M379" s="1">
        <f t="shared" si="17"/>
        <v>210.11497906753956</v>
      </c>
    </row>
  </sheetData>
  <autoFilter ref="C2:S379" xr:uid="{08DE0F65-D24F-4DB2-B4CB-45B4967603B9}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0633-8C4A-48CC-BF1B-8D3E741AE875}">
  <dimension ref="A2:S382"/>
  <sheetViews>
    <sheetView workbookViewId="0"/>
  </sheetViews>
  <sheetFormatPr defaultColWidth="11.5546875" defaultRowHeight="14.4" x14ac:dyDescent="0.3"/>
  <cols>
    <col min="1" max="1" width="11.5546875" customWidth="1"/>
    <col min="2" max="2" width="18.5546875" style="1" customWidth="1"/>
    <col min="3" max="3" width="17.88671875" style="1" customWidth="1"/>
    <col min="4" max="4" width="11.5546875" style="1" customWidth="1"/>
    <col min="5" max="5" width="11.5546875" customWidth="1"/>
    <col min="6" max="9" width="11.5546875" style="1" customWidth="1"/>
    <col min="10" max="10" width="20.44140625" style="1" customWidth="1"/>
    <col min="11" max="11" width="16.5546875" customWidth="1"/>
    <col min="12" max="12" width="11.5546875" style="1" customWidth="1"/>
    <col min="13" max="13" width="17.5546875" style="1" customWidth="1"/>
    <col min="14" max="14" width="28.5546875" customWidth="1"/>
    <col min="15" max="15" width="19.109375" customWidth="1"/>
    <col min="16" max="16" width="18" customWidth="1"/>
    <col min="17" max="17" width="18.109375" customWidth="1"/>
    <col min="18" max="18" width="19.88671875" customWidth="1"/>
    <col min="19" max="19" width="19.5546875" customWidth="1"/>
    <col min="20" max="20" width="11.5546875" customWidth="1"/>
  </cols>
  <sheetData>
    <row r="2" spans="1:19" ht="16.8" x14ac:dyDescent="0.35">
      <c r="D2" s="2" t="s">
        <v>0</v>
      </c>
      <c r="E2" s="1"/>
      <c r="G2" s="2" t="s">
        <v>1</v>
      </c>
      <c r="H2" s="2" t="s">
        <v>2</v>
      </c>
      <c r="I2" s="2" t="s">
        <v>3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</row>
    <row r="3" spans="1:19" x14ac:dyDescent="0.3">
      <c r="A3" s="1">
        <v>1</v>
      </c>
      <c r="B3" s="1" t="s">
        <v>149</v>
      </c>
      <c r="D3" s="1">
        <v>18.2</v>
      </c>
      <c r="E3" s="1">
        <v>165</v>
      </c>
      <c r="F3" s="1">
        <v>0</v>
      </c>
      <c r="G3" s="1">
        <v>0.39331644804352189</v>
      </c>
      <c r="H3" s="1">
        <v>1.8264920062655128</v>
      </c>
      <c r="I3" s="1">
        <v>452.19582625726605</v>
      </c>
      <c r="J3" s="1" t="s">
        <v>129</v>
      </c>
      <c r="K3" s="1">
        <f t="shared" ref="K3:K66" si="0">(G3*28*1)/(0.082*(D3+273.15))</f>
        <v>0.46096851683787471</v>
      </c>
      <c r="L3" s="1">
        <f t="shared" ref="L3:L66" si="1">(H3*12*1)/(0.082*(D3+273.15))</f>
        <v>0.91742410541282404</v>
      </c>
      <c r="M3" s="1">
        <f t="shared" ref="M3:M66" si="2">(I3*12*1)/(0.0821*(D3+273.15))</f>
        <v>226.85565828891347</v>
      </c>
      <c r="N3" s="1">
        <f>SLOPE(K3:K6,F3:F6)</f>
        <v>5.1386643446460859E-5</v>
      </c>
      <c r="O3" s="1">
        <f>SLOPE(L3:L6,F3:F6)</f>
        <v>-2.698773471228666E-4</v>
      </c>
      <c r="P3" s="1">
        <f>SLOPE(M3:M6,F3:F6)</f>
        <v>-6.3667004224884263E-2</v>
      </c>
      <c r="Q3" s="1">
        <f>(N3*41.35/0.31*60)/1000</f>
        <v>4.112589109376432E-4</v>
      </c>
      <c r="R3" s="1">
        <f>O3*41.35/0.31*60/1000</f>
        <v>-2.1598893490704266E-3</v>
      </c>
      <c r="S3" s="1">
        <f>(P3*41.35/0.31*60)/1000</f>
        <v>-0.50954141123205765</v>
      </c>
    </row>
    <row r="4" spans="1:19" x14ac:dyDescent="0.3">
      <c r="A4" s="1">
        <v>2</v>
      </c>
      <c r="B4" s="1" t="s">
        <v>150</v>
      </c>
      <c r="C4" s="1" t="s">
        <v>15</v>
      </c>
      <c r="D4" s="1">
        <v>18.2</v>
      </c>
      <c r="E4" s="1">
        <v>166</v>
      </c>
      <c r="F4" s="1">
        <v>15</v>
      </c>
      <c r="G4" s="1">
        <v>0.3913025568503527</v>
      </c>
      <c r="H4" s="1">
        <v>1.8291784890725578</v>
      </c>
      <c r="I4" s="1">
        <v>436.03442596384065</v>
      </c>
      <c r="J4" s="1" t="s">
        <v>129</v>
      </c>
      <c r="K4" s="1">
        <f t="shared" si="0"/>
        <v>0.45860822796359574</v>
      </c>
      <c r="L4" s="1">
        <f t="shared" si="1"/>
        <v>0.91877349214843829</v>
      </c>
      <c r="M4" s="1">
        <f t="shared" si="2"/>
        <v>218.74787646177691</v>
      </c>
    </row>
    <row r="5" spans="1:19" x14ac:dyDescent="0.3">
      <c r="A5" s="1">
        <v>3</v>
      </c>
      <c r="C5" s="1" t="s">
        <v>15</v>
      </c>
      <c r="D5" s="1">
        <v>18.2</v>
      </c>
      <c r="E5" s="1">
        <v>167</v>
      </c>
      <c r="F5" s="1">
        <v>30</v>
      </c>
      <c r="G5" s="1">
        <v>0.3911079779911093</v>
      </c>
      <c r="H5" s="1">
        <v>1.8412676617042609</v>
      </c>
      <c r="I5" s="1">
        <v>435.06057254321104</v>
      </c>
      <c r="J5" s="1" t="s">
        <v>129</v>
      </c>
      <c r="K5" s="1">
        <f t="shared" si="0"/>
        <v>0.45838018072936587</v>
      </c>
      <c r="L5" s="1">
        <f t="shared" si="1"/>
        <v>0.92484573245870272</v>
      </c>
      <c r="M5" s="1">
        <f t="shared" si="2"/>
        <v>218.25931786396239</v>
      </c>
    </row>
    <row r="6" spans="1:19" x14ac:dyDescent="0.3">
      <c r="A6" s="1">
        <v>4</v>
      </c>
      <c r="C6" s="1" t="s">
        <v>15</v>
      </c>
      <c r="D6" s="1">
        <v>18.2</v>
      </c>
      <c r="E6" s="1">
        <v>168</v>
      </c>
      <c r="F6" s="1">
        <v>45</v>
      </c>
      <c r="G6" s="1">
        <v>0.39557356281074535</v>
      </c>
      <c r="H6" s="1">
        <v>1.7955974539844941</v>
      </c>
      <c r="I6" s="1">
        <v>446.1750097474611</v>
      </c>
      <c r="J6" s="1" t="s">
        <v>129</v>
      </c>
      <c r="K6" s="1">
        <f t="shared" si="0"/>
        <v>0.46361386475494104</v>
      </c>
      <c r="L6" s="1">
        <f t="shared" si="1"/>
        <v>0.90190615795325924</v>
      </c>
      <c r="M6" s="1">
        <f t="shared" si="2"/>
        <v>223.83516094360743</v>
      </c>
    </row>
    <row r="7" spans="1:19" x14ac:dyDescent="0.3">
      <c r="A7" s="1">
        <v>5</v>
      </c>
      <c r="C7" s="1" t="s">
        <v>15</v>
      </c>
      <c r="D7" s="1">
        <v>18.2</v>
      </c>
      <c r="E7" s="1">
        <v>169</v>
      </c>
      <c r="F7" s="1">
        <v>0</v>
      </c>
      <c r="G7" s="1">
        <v>0.39541789972335062</v>
      </c>
      <c r="H7" s="1">
        <v>1.784851522756314</v>
      </c>
      <c r="I7" s="1">
        <v>461.7626207675695</v>
      </c>
      <c r="J7" s="1" t="s">
        <v>16</v>
      </c>
      <c r="K7" s="1">
        <f t="shared" si="0"/>
        <v>0.46343142696755718</v>
      </c>
      <c r="L7" s="1">
        <f t="shared" si="1"/>
        <v>0.89650861101080204</v>
      </c>
      <c r="M7" s="1">
        <f t="shared" si="2"/>
        <v>231.6550866346208</v>
      </c>
      <c r="N7" s="1">
        <f>SLOPE(K7:K10,F7:F10)</f>
        <v>2.5997384702203361E-4</v>
      </c>
      <c r="O7" s="1">
        <f>SLOPE(L7:L10,F7:F10)</f>
        <v>-4.2280784382582538E-4</v>
      </c>
      <c r="P7" s="1">
        <f>SLOPE(M7:M10,F7:F10)</f>
        <v>0.3764474311655287</v>
      </c>
      <c r="Q7" s="1">
        <f>(N7*41.35/0.31*60)/1000</f>
        <v>2.0806294014892434E-3</v>
      </c>
      <c r="R7" s="1">
        <f>O7*41.35/0.31*60/1000</f>
        <v>-3.3838266468770089E-3</v>
      </c>
      <c r="S7" s="1">
        <f>(P7*41.35/0.31*60)/1000</f>
        <v>3.0127937958763762</v>
      </c>
    </row>
    <row r="8" spans="1:19" x14ac:dyDescent="0.3">
      <c r="A8" s="1">
        <v>6</v>
      </c>
      <c r="C8" s="1" t="s">
        <v>15</v>
      </c>
      <c r="D8" s="1">
        <v>18.2</v>
      </c>
      <c r="E8" s="1">
        <v>170</v>
      </c>
      <c r="F8" s="1">
        <v>15</v>
      </c>
      <c r="G8" s="1">
        <v>0.39778203286315794</v>
      </c>
      <c r="H8" s="1">
        <v>1.780821798545746</v>
      </c>
      <c r="I8" s="1">
        <v>466.54055809018973</v>
      </c>
      <c r="J8" s="1" t="s">
        <v>16</v>
      </c>
      <c r="K8" s="1">
        <f t="shared" si="0"/>
        <v>0.46620220086344993</v>
      </c>
      <c r="L8" s="1">
        <f t="shared" si="1"/>
        <v>0.89448453090738034</v>
      </c>
      <c r="M8" s="1">
        <f t="shared" si="2"/>
        <v>234.05206169199232</v>
      </c>
    </row>
    <row r="9" spans="1:19" x14ac:dyDescent="0.3">
      <c r="A9" s="1">
        <v>7</v>
      </c>
      <c r="C9" s="1" t="s">
        <v>15</v>
      </c>
      <c r="D9" s="1">
        <v>18.2</v>
      </c>
      <c r="E9" s="1">
        <v>171</v>
      </c>
      <c r="F9" s="1">
        <v>30</v>
      </c>
      <c r="G9" s="1">
        <v>0.39716910945654121</v>
      </c>
      <c r="H9" s="1">
        <v>1.7673893845105206</v>
      </c>
      <c r="I9" s="1">
        <v>458.72094198998627</v>
      </c>
      <c r="J9" s="1" t="s">
        <v>16</v>
      </c>
      <c r="K9" s="1">
        <f t="shared" si="0"/>
        <v>0.46548385207562587</v>
      </c>
      <c r="L9" s="1">
        <f t="shared" si="1"/>
        <v>0.88773759722930878</v>
      </c>
      <c r="M9" s="1">
        <f t="shared" si="2"/>
        <v>230.12915030057002</v>
      </c>
    </row>
    <row r="10" spans="1:19" x14ac:dyDescent="0.3">
      <c r="A10" s="1">
        <v>8</v>
      </c>
      <c r="C10" s="1" t="s">
        <v>15</v>
      </c>
      <c r="D10" s="1">
        <v>18.2</v>
      </c>
      <c r="E10" s="1">
        <v>172</v>
      </c>
      <c r="F10" s="1">
        <v>45</v>
      </c>
      <c r="G10" s="1">
        <v>0.40671320250242993</v>
      </c>
      <c r="H10" s="1">
        <v>1.7472407634576823</v>
      </c>
      <c r="I10" s="1">
        <v>501.88816129952619</v>
      </c>
      <c r="J10" s="1" t="s">
        <v>16</v>
      </c>
      <c r="K10" s="1">
        <f t="shared" si="0"/>
        <v>0.47666956891460022</v>
      </c>
      <c r="L10" s="1">
        <f t="shared" si="1"/>
        <v>0.87761719671220129</v>
      </c>
      <c r="M10" s="1">
        <f t="shared" si="2"/>
        <v>251.78509532337134</v>
      </c>
    </row>
    <row r="11" spans="1:19" x14ac:dyDescent="0.3">
      <c r="A11" s="1">
        <v>9</v>
      </c>
      <c r="C11" s="1" t="s">
        <v>15</v>
      </c>
      <c r="D11" s="1">
        <v>18.2</v>
      </c>
      <c r="E11" s="1">
        <v>173</v>
      </c>
      <c r="F11" s="1">
        <v>0</v>
      </c>
      <c r="G11" s="1">
        <v>0.404543648221866</v>
      </c>
      <c r="H11" s="1">
        <v>1.768732625914043</v>
      </c>
      <c r="I11" s="1">
        <v>460.22689065369184</v>
      </c>
      <c r="J11" s="1" t="s">
        <v>16</v>
      </c>
      <c r="K11" s="1">
        <f t="shared" si="0"/>
        <v>0.47412684225293733</v>
      </c>
      <c r="L11" s="1">
        <f t="shared" si="1"/>
        <v>0.88841229059711591</v>
      </c>
      <c r="M11" s="1">
        <f t="shared" si="2"/>
        <v>230.8846481526441</v>
      </c>
      <c r="N11" s="1">
        <f>SLOPE(K11:K14,F11:F14)</f>
        <v>4.4742867355897123E-4</v>
      </c>
      <c r="O11" s="1">
        <f>SLOPE(L11:L14,F11:F14)</f>
        <v>-8.5461159922239162E-5</v>
      </c>
      <c r="P11" s="1">
        <f>SLOPE(M11:M14,F11:F14)</f>
        <v>0.28305521371445536</v>
      </c>
      <c r="Q11" s="1">
        <f>(N11*41.35/0.31*60)/1000</f>
        <v>3.5808727067735734E-3</v>
      </c>
      <c r="R11" s="1">
        <f>O11*41.35/0.31*60/1000</f>
        <v>-6.8396496053895286E-4</v>
      </c>
      <c r="S11" s="1">
        <f>(P11*41.35/0.31*60)/1000</f>
        <v>2.2653547910502057</v>
      </c>
    </row>
    <row r="12" spans="1:19" x14ac:dyDescent="0.3">
      <c r="A12" s="1">
        <v>10</v>
      </c>
      <c r="C12" s="1" t="s">
        <v>15</v>
      </c>
      <c r="D12" s="1">
        <v>18.2</v>
      </c>
      <c r="E12" s="1">
        <v>174</v>
      </c>
      <c r="F12" s="1">
        <v>15</v>
      </c>
      <c r="G12" s="1">
        <v>0.43606542341929655</v>
      </c>
      <c r="H12" s="1">
        <v>1.7499272462647277</v>
      </c>
      <c r="I12" s="1">
        <v>524.31359327916255</v>
      </c>
      <c r="J12" s="1" t="s">
        <v>16</v>
      </c>
      <c r="K12" s="1">
        <f t="shared" si="0"/>
        <v>0.51107049419817352</v>
      </c>
      <c r="L12" s="1">
        <f t="shared" si="1"/>
        <v>0.87896658344781586</v>
      </c>
      <c r="M12" s="1">
        <f t="shared" si="2"/>
        <v>263.03538964001848</v>
      </c>
    </row>
    <row r="13" spans="1:19" x14ac:dyDescent="0.3">
      <c r="A13" s="1">
        <v>11</v>
      </c>
      <c r="C13" s="1" t="s">
        <v>15</v>
      </c>
      <c r="D13" s="1">
        <v>18.2</v>
      </c>
      <c r="E13" s="1">
        <v>175</v>
      </c>
      <c r="F13" s="1">
        <v>30</v>
      </c>
      <c r="G13" s="1">
        <v>0.42266866896038857</v>
      </c>
      <c r="H13" s="1">
        <v>1.7606731774929079</v>
      </c>
      <c r="I13" s="1">
        <v>484.06694151650578</v>
      </c>
      <c r="J13" s="1" t="s">
        <v>16</v>
      </c>
      <c r="K13" s="1">
        <f t="shared" si="0"/>
        <v>0.49536944212144812</v>
      </c>
      <c r="L13" s="1">
        <f t="shared" si="1"/>
        <v>0.88436413039027295</v>
      </c>
      <c r="M13" s="1">
        <f t="shared" si="2"/>
        <v>242.84462238966404</v>
      </c>
    </row>
    <row r="14" spans="1:19" x14ac:dyDescent="0.3">
      <c r="A14" s="1">
        <v>12</v>
      </c>
      <c r="C14" s="1" t="s">
        <v>15</v>
      </c>
      <c r="D14" s="1">
        <v>18.2</v>
      </c>
      <c r="E14" s="1">
        <v>176</v>
      </c>
      <c r="F14" s="1">
        <v>45</v>
      </c>
      <c r="G14" s="1">
        <v>0.42809741913327937</v>
      </c>
      <c r="H14" s="1">
        <v>1.7566434532823403</v>
      </c>
      <c r="I14" s="1">
        <v>501.85341627432535</v>
      </c>
      <c r="J14" s="1" t="s">
        <v>16</v>
      </c>
      <c r="K14" s="1">
        <f t="shared" si="0"/>
        <v>0.50173195995646103</v>
      </c>
      <c r="L14" s="1">
        <f t="shared" si="1"/>
        <v>0.88234005028685158</v>
      </c>
      <c r="M14" s="1">
        <f t="shared" si="2"/>
        <v>251.76766458848502</v>
      </c>
    </row>
    <row r="15" spans="1:19" x14ac:dyDescent="0.3">
      <c r="A15" s="1">
        <v>13</v>
      </c>
      <c r="C15" s="1" t="s">
        <v>15</v>
      </c>
      <c r="D15" s="1">
        <v>18.2</v>
      </c>
      <c r="E15" s="1">
        <v>177</v>
      </c>
      <c r="F15" s="1">
        <v>0</v>
      </c>
      <c r="G15" s="1">
        <v>0.40245192548499947</v>
      </c>
      <c r="H15" s="1">
        <v>1.7700758673175658</v>
      </c>
      <c r="I15" s="1">
        <v>460.88803884751377</v>
      </c>
      <c r="J15" s="1" t="s">
        <v>16</v>
      </c>
      <c r="K15" s="1">
        <f t="shared" si="0"/>
        <v>0.47167533448496635</v>
      </c>
      <c r="L15" s="1">
        <f t="shared" si="1"/>
        <v>0.88908698396492325</v>
      </c>
      <c r="M15" s="1">
        <f t="shared" si="2"/>
        <v>231.2163301364815</v>
      </c>
      <c r="N15" s="1">
        <f>SLOPE(K15:K18,F15:F18)</f>
        <v>1.8788051470750189E-3</v>
      </c>
      <c r="O15" s="1">
        <f>SLOPE(L15:L18,F15:F18)</f>
        <v>1.691231375303289E-3</v>
      </c>
      <c r="P15" s="1">
        <f>SLOPE(M15:M18,F15:F18)</f>
        <v>1.2073655829878711</v>
      </c>
      <c r="Q15" s="1">
        <f>(N15*41.35/0.31*60)/1000</f>
        <v>1.5036501838364909E-2</v>
      </c>
      <c r="R15" s="1">
        <f>O15*41.35/0.31*60/1000</f>
        <v>1.3535306587507933E-2</v>
      </c>
      <c r="S15" s="1">
        <f>(P15*41.35/0.31*60)/1000</f>
        <v>9.6628193915900269</v>
      </c>
    </row>
    <row r="16" spans="1:19" x14ac:dyDescent="0.3">
      <c r="A16" s="1">
        <v>14</v>
      </c>
      <c r="C16" s="1" t="s">
        <v>15</v>
      </c>
      <c r="D16" s="1">
        <v>18.2</v>
      </c>
      <c r="E16" s="1">
        <v>178</v>
      </c>
      <c r="F16" s="1">
        <v>15</v>
      </c>
      <c r="G16" s="1">
        <v>0.36061747074766881</v>
      </c>
      <c r="H16" s="1">
        <v>1.6169463473159951</v>
      </c>
      <c r="I16" s="1">
        <v>423.4487851210859</v>
      </c>
      <c r="J16" s="1" t="s">
        <v>16</v>
      </c>
      <c r="K16" s="1">
        <f t="shared" si="0"/>
        <v>0.42264517912554789</v>
      </c>
      <c r="L16" s="1">
        <f t="shared" si="1"/>
        <v>0.81217194003490656</v>
      </c>
      <c r="M16" s="1">
        <f t="shared" si="2"/>
        <v>212.43396626494419</v>
      </c>
    </row>
    <row r="17" spans="1:19" x14ac:dyDescent="0.3">
      <c r="A17" s="1">
        <v>15</v>
      </c>
      <c r="C17" s="1" t="s">
        <v>15</v>
      </c>
      <c r="D17" s="1">
        <v>18.2</v>
      </c>
      <c r="E17" s="1">
        <v>179</v>
      </c>
      <c r="F17" s="1">
        <v>30</v>
      </c>
      <c r="G17" s="1">
        <v>0.41203493430273685</v>
      </c>
      <c r="H17" s="1">
        <v>1.7754488329316558</v>
      </c>
      <c r="I17" s="1">
        <v>475.2367415404604</v>
      </c>
      <c r="J17" s="1" t="s">
        <v>16</v>
      </c>
      <c r="K17" s="1">
        <f t="shared" si="0"/>
        <v>0.48290666077078664</v>
      </c>
      <c r="L17" s="1">
        <f t="shared" si="1"/>
        <v>0.89178575743615174</v>
      </c>
      <c r="M17" s="1">
        <f t="shared" si="2"/>
        <v>238.41472562354738</v>
      </c>
    </row>
    <row r="18" spans="1:19" x14ac:dyDescent="0.3">
      <c r="A18" s="1">
        <v>16</v>
      </c>
      <c r="C18" s="1" t="s">
        <v>15</v>
      </c>
      <c r="D18" s="1">
        <v>18.2</v>
      </c>
      <c r="E18" s="1">
        <v>180</v>
      </c>
      <c r="F18" s="1">
        <v>45</v>
      </c>
      <c r="G18" s="1">
        <v>0.46546628905097404</v>
      </c>
      <c r="H18" s="1">
        <v>1.8855946280205051</v>
      </c>
      <c r="I18" s="1">
        <v>563.95865974834169</v>
      </c>
      <c r="J18" s="1" t="s">
        <v>16</v>
      </c>
      <c r="K18" s="1">
        <f t="shared" si="0"/>
        <v>0.54552843129030437</v>
      </c>
      <c r="L18" s="1">
        <f t="shared" si="1"/>
        <v>0.9471106135963393</v>
      </c>
      <c r="M18" s="1">
        <f t="shared" si="2"/>
        <v>282.92435616634066</v>
      </c>
    </row>
    <row r="19" spans="1:19" x14ac:dyDescent="0.3">
      <c r="A19" s="1">
        <v>17</v>
      </c>
      <c r="C19" s="1" t="s">
        <v>15</v>
      </c>
      <c r="D19" s="1">
        <v>18.2</v>
      </c>
      <c r="E19" s="1">
        <v>181</v>
      </c>
      <c r="F19" s="1">
        <v>0</v>
      </c>
      <c r="G19" s="1">
        <v>0.39448392119898229</v>
      </c>
      <c r="H19" s="1">
        <v>1.7875380055633587</v>
      </c>
      <c r="I19" s="1">
        <v>447.70776171632161</v>
      </c>
      <c r="J19" s="1" t="s">
        <v>16</v>
      </c>
      <c r="K19" s="1">
        <f t="shared" si="0"/>
        <v>0.46233680024325385</v>
      </c>
      <c r="L19" s="1">
        <f t="shared" si="1"/>
        <v>0.89785799774641617</v>
      </c>
      <c r="M19" s="1">
        <f t="shared" si="2"/>
        <v>224.60410536259383</v>
      </c>
      <c r="N19" s="1">
        <f>SLOPE(K19:K22,F19:F22)</f>
        <v>1.8304591334182939E-4</v>
      </c>
      <c r="O19" s="1">
        <f>SLOPE(L19:L22,F19:F22)</f>
        <v>-2.9236712604976695E-4</v>
      </c>
      <c r="P19" s="1">
        <f>SLOPE(M19:M22,F19:F22)</f>
        <v>0.10768209991790324</v>
      </c>
      <c r="Q19" s="1">
        <f>(N19*41.35/0.31*60)/1000</f>
        <v>1.4649577774228347E-3</v>
      </c>
      <c r="R19" s="1">
        <f>O19*41.35/0.31*60/1000</f>
        <v>-2.3398801281595866E-3</v>
      </c>
      <c r="S19" s="1">
        <f>(P19*41.35/0.31*60)/1000</f>
        <v>0.86180416095586432</v>
      </c>
    </row>
    <row r="20" spans="1:19" x14ac:dyDescent="0.3">
      <c r="A20" s="1">
        <v>18</v>
      </c>
      <c r="C20" s="1" t="s">
        <v>15</v>
      </c>
      <c r="D20" s="1">
        <v>18.2</v>
      </c>
      <c r="E20" s="1">
        <v>182</v>
      </c>
      <c r="F20" s="1">
        <v>15</v>
      </c>
      <c r="G20" s="1">
        <v>0.39981538194225141</v>
      </c>
      <c r="H20" s="1">
        <v>1.7526137290717725</v>
      </c>
      <c r="I20" s="1">
        <v>451.53765620846133</v>
      </c>
      <c r="J20" s="1" t="s">
        <v>16</v>
      </c>
      <c r="K20" s="1">
        <f t="shared" si="0"/>
        <v>0.46858529446115182</v>
      </c>
      <c r="L20" s="1">
        <f t="shared" si="1"/>
        <v>0.88031597018343011</v>
      </c>
      <c r="M20" s="1">
        <f t="shared" si="2"/>
        <v>226.52547036806632</v>
      </c>
    </row>
    <row r="21" spans="1:19" x14ac:dyDescent="0.3">
      <c r="A21" s="1">
        <v>19</v>
      </c>
      <c r="C21" s="1" t="s">
        <v>15</v>
      </c>
      <c r="D21" s="1">
        <v>18.2</v>
      </c>
      <c r="E21" s="1">
        <v>183</v>
      </c>
      <c r="F21" s="1">
        <v>30</v>
      </c>
      <c r="G21" s="1">
        <v>0.40564301877659126</v>
      </c>
      <c r="H21" s="1">
        <v>1.7700758673175658</v>
      </c>
      <c r="I21" s="1">
        <v>464.59384396393625</v>
      </c>
      <c r="J21" s="1" t="s">
        <v>16</v>
      </c>
      <c r="K21" s="1">
        <f t="shared" si="0"/>
        <v>0.47541530912633601</v>
      </c>
      <c r="L21" s="1">
        <f t="shared" si="1"/>
        <v>0.88908698396492325</v>
      </c>
      <c r="M21" s="1">
        <f t="shared" si="2"/>
        <v>233.07544251735999</v>
      </c>
    </row>
    <row r="22" spans="1:19" x14ac:dyDescent="0.3">
      <c r="A22" s="1">
        <v>20</v>
      </c>
      <c r="C22" s="1" t="s">
        <v>15</v>
      </c>
      <c r="D22" s="1">
        <v>18.2</v>
      </c>
      <c r="E22" s="1">
        <v>184</v>
      </c>
      <c r="F22" s="1">
        <v>45</v>
      </c>
      <c r="G22" s="1">
        <v>0.40035047380517075</v>
      </c>
      <c r="H22" s="1">
        <v>1.7526137290717725</v>
      </c>
      <c r="I22" s="1">
        <v>454.08794105820397</v>
      </c>
      <c r="J22" s="1" t="s">
        <v>16</v>
      </c>
      <c r="K22" s="1">
        <f t="shared" si="0"/>
        <v>0.46921242435528393</v>
      </c>
      <c r="L22" s="1">
        <f t="shared" si="1"/>
        <v>0.88031597018343011</v>
      </c>
      <c r="M22" s="1">
        <f t="shared" si="2"/>
        <v>227.80488630872443</v>
      </c>
    </row>
    <row r="23" spans="1:19" x14ac:dyDescent="0.3">
      <c r="A23" s="1">
        <v>21</v>
      </c>
      <c r="C23" s="1" t="s">
        <v>15</v>
      </c>
      <c r="D23" s="1">
        <v>18.2</v>
      </c>
      <c r="E23" s="1">
        <v>185</v>
      </c>
      <c r="F23" s="1">
        <v>0</v>
      </c>
      <c r="G23" s="1">
        <v>0.42410855251878965</v>
      </c>
      <c r="H23" s="1">
        <v>1.8023136610021069</v>
      </c>
      <c r="I23" s="1">
        <v>470.53027969825342</v>
      </c>
      <c r="J23" s="1" t="s">
        <v>16</v>
      </c>
      <c r="K23" s="1">
        <f t="shared" si="0"/>
        <v>0.49705699165474893</v>
      </c>
      <c r="L23" s="1">
        <f t="shared" si="1"/>
        <v>0.90527962479229507</v>
      </c>
      <c r="M23" s="1">
        <f t="shared" si="2"/>
        <v>236.05360807794204</v>
      </c>
      <c r="N23" s="1">
        <f>SLOPE(K23:K26,F23:F26)</f>
        <v>9.737616901614773E-4</v>
      </c>
      <c r="O23" s="1">
        <f>SLOPE(L23:L26,F23:F26)</f>
        <v>4.4979557853845148E-6</v>
      </c>
      <c r="P23" s="1">
        <f>SLOPE(M23:M26,F23:F26)</f>
        <v>0.19195721298842197</v>
      </c>
      <c r="Q23" s="1">
        <f>(N23*41.35/0.31*60)/1000</f>
        <v>7.7932346880342758E-3</v>
      </c>
      <c r="R23" s="1">
        <f>O23*41.35/0.31*60/1000</f>
        <v>3.5998155817867686E-5</v>
      </c>
      <c r="S23" s="1">
        <f>(P23*41.35/0.31*60)/1000</f>
        <v>1.5362769207234674</v>
      </c>
    </row>
    <row r="24" spans="1:19" x14ac:dyDescent="0.3">
      <c r="A24" s="1">
        <v>22</v>
      </c>
      <c r="C24" s="1" t="s">
        <v>15</v>
      </c>
      <c r="D24" s="1">
        <v>18.2</v>
      </c>
      <c r="E24" s="1">
        <v>186</v>
      </c>
      <c r="F24" s="1">
        <v>15</v>
      </c>
      <c r="G24" s="1">
        <v>0.43587084456005315</v>
      </c>
      <c r="H24" s="1">
        <v>1.766046143106998</v>
      </c>
      <c r="I24" s="1">
        <v>470.84397764006684</v>
      </c>
      <c r="J24" s="1" t="s">
        <v>16</v>
      </c>
      <c r="K24" s="1">
        <f t="shared" si="0"/>
        <v>0.51084244696394365</v>
      </c>
      <c r="L24" s="1">
        <f t="shared" si="1"/>
        <v>0.88706290386150177</v>
      </c>
      <c r="M24" s="1">
        <f t="shared" si="2"/>
        <v>236.21098271291595</v>
      </c>
    </row>
    <row r="25" spans="1:19" x14ac:dyDescent="0.3">
      <c r="A25" s="1">
        <v>23</v>
      </c>
      <c r="C25" s="1" t="s">
        <v>15</v>
      </c>
      <c r="D25" s="1">
        <v>18.2</v>
      </c>
      <c r="E25" s="1">
        <v>187</v>
      </c>
      <c r="F25" s="1">
        <v>30</v>
      </c>
      <c r="G25" s="1">
        <v>0.46073802277135945</v>
      </c>
      <c r="H25" s="1">
        <v>1.8036569024056297</v>
      </c>
      <c r="I25" s="1">
        <v>487.39352950073601</v>
      </c>
      <c r="J25" s="1" t="s">
        <v>16</v>
      </c>
      <c r="K25" s="1">
        <f t="shared" si="0"/>
        <v>0.53998688349851887</v>
      </c>
      <c r="L25" s="1">
        <f t="shared" si="1"/>
        <v>0.90595431816010241</v>
      </c>
      <c r="M25" s="1">
        <f t="shared" si="2"/>
        <v>244.51349074978287</v>
      </c>
    </row>
    <row r="26" spans="1:19" x14ac:dyDescent="0.3">
      <c r="A26" s="1">
        <v>24</v>
      </c>
      <c r="C26" s="1" t="s">
        <v>15</v>
      </c>
      <c r="D26" s="1">
        <v>18.2</v>
      </c>
      <c r="E26" s="1">
        <v>188</v>
      </c>
      <c r="F26" s="1">
        <v>45</v>
      </c>
      <c r="G26" s="1">
        <v>0.45736207956348651</v>
      </c>
      <c r="H26" s="1">
        <v>1.7902244883704042</v>
      </c>
      <c r="I26" s="1">
        <v>484.14536600195913</v>
      </c>
      <c r="J26" s="1" t="s">
        <v>16</v>
      </c>
      <c r="K26" s="1">
        <f t="shared" si="0"/>
        <v>0.53603026398463105</v>
      </c>
      <c r="L26" s="1">
        <f t="shared" si="1"/>
        <v>0.89920738448203075</v>
      </c>
      <c r="M26" s="1">
        <f t="shared" si="2"/>
        <v>242.8839660484075</v>
      </c>
    </row>
    <row r="27" spans="1:19" x14ac:dyDescent="0.3">
      <c r="A27" s="1">
        <v>25</v>
      </c>
      <c r="C27" s="1" t="s">
        <v>15</v>
      </c>
      <c r="D27" s="1">
        <v>18.2</v>
      </c>
      <c r="E27" s="1">
        <v>189</v>
      </c>
      <c r="F27" s="1">
        <v>0</v>
      </c>
      <c r="G27" s="1">
        <v>0.39533033923669114</v>
      </c>
      <c r="H27" s="1">
        <v>1.7861947641598364</v>
      </c>
      <c r="I27" s="1">
        <v>454.43539131021248</v>
      </c>
      <c r="J27" s="1" t="s">
        <v>16</v>
      </c>
      <c r="K27" s="1">
        <f t="shared" si="0"/>
        <v>0.46332880571215379</v>
      </c>
      <c r="L27" s="1">
        <f t="shared" si="1"/>
        <v>0.89718330437860916</v>
      </c>
      <c r="M27" s="1">
        <f t="shared" si="2"/>
        <v>227.97919365758793</v>
      </c>
      <c r="N27" s="1">
        <f>SLOPE(K27:K30,F27:F30)</f>
        <v>2.1956159664416049E-2</v>
      </c>
      <c r="O27" s="1">
        <f>SLOPE(L27:L30,F27:F30)</f>
        <v>4.5429353432348881E-4</v>
      </c>
      <c r="P27" s="1">
        <f>SLOPE(M27:M30,F27:F30)</f>
        <v>5.0729846389436943</v>
      </c>
      <c r="Q27" s="1">
        <f>(N27*41.35/0.31*60)/1000</f>
        <v>0.1757201036368265</v>
      </c>
      <c r="R27" s="1">
        <f>O27*41.35/0.31*60/1000</f>
        <v>3.6358137376018575E-3</v>
      </c>
      <c r="S27" s="1">
        <f>(P27*41.35/0.31*60)/1000</f>
        <v>40.600241578126791</v>
      </c>
    </row>
    <row r="28" spans="1:19" x14ac:dyDescent="0.3">
      <c r="A28" s="1">
        <v>26</v>
      </c>
      <c r="C28" s="1" t="s">
        <v>15</v>
      </c>
      <c r="D28" s="1">
        <v>18.2</v>
      </c>
      <c r="E28" s="1">
        <v>190</v>
      </c>
      <c r="F28" s="1">
        <v>15</v>
      </c>
      <c r="G28" s="1">
        <v>0.40342481978121647</v>
      </c>
      <c r="H28" s="1">
        <v>1.7969406953880169</v>
      </c>
      <c r="I28" s="1">
        <v>479.52824851026861</v>
      </c>
      <c r="J28" s="1" t="s">
        <v>16</v>
      </c>
      <c r="K28" s="1">
        <f t="shared" si="0"/>
        <v>0.47281557065611562</v>
      </c>
      <c r="L28" s="1">
        <f t="shared" si="1"/>
        <v>0.90258085132106658</v>
      </c>
      <c r="M28" s="1">
        <f t="shared" si="2"/>
        <v>240.56767039250997</v>
      </c>
    </row>
    <row r="29" spans="1:19" x14ac:dyDescent="0.3">
      <c r="A29" s="1">
        <v>27</v>
      </c>
      <c r="C29" s="1" t="s">
        <v>15</v>
      </c>
      <c r="D29" s="1">
        <v>18.2</v>
      </c>
      <c r="E29" s="1">
        <v>191</v>
      </c>
      <c r="F29" s="1">
        <v>30</v>
      </c>
      <c r="G29" s="1">
        <v>0.40400855635894667</v>
      </c>
      <c r="H29" s="1">
        <v>1.7794785571422236</v>
      </c>
      <c r="I29" s="1">
        <v>479.02891286238207</v>
      </c>
      <c r="J29" s="1" t="s">
        <v>16</v>
      </c>
      <c r="K29" s="1">
        <f t="shared" si="0"/>
        <v>0.47349971235880522</v>
      </c>
      <c r="L29" s="1">
        <f t="shared" si="1"/>
        <v>0.89380983753957333</v>
      </c>
      <c r="M29" s="1">
        <f t="shared" si="2"/>
        <v>240.31716583114326</v>
      </c>
    </row>
    <row r="30" spans="1:19" x14ac:dyDescent="0.3">
      <c r="A30" s="1">
        <v>28</v>
      </c>
      <c r="C30" s="1" t="s">
        <v>15</v>
      </c>
      <c r="D30" s="1">
        <v>18.2</v>
      </c>
      <c r="E30" s="1">
        <v>192</v>
      </c>
      <c r="F30" s="1">
        <v>45</v>
      </c>
      <c r="G30" s="1">
        <v>1.3318286598322056</v>
      </c>
      <c r="H30" s="1">
        <v>1.8372379374936934</v>
      </c>
      <c r="I30" s="1">
        <v>960.20581786395701</v>
      </c>
      <c r="J30" s="1" t="s">
        <v>16</v>
      </c>
      <c r="K30" s="1">
        <f t="shared" si="0"/>
        <v>1.5609087416987264</v>
      </c>
      <c r="L30" s="1">
        <f t="shared" si="1"/>
        <v>0.92282165235528135</v>
      </c>
      <c r="M30" s="1">
        <f t="shared" si="2"/>
        <v>481.71192712522821</v>
      </c>
    </row>
    <row r="31" spans="1:19" x14ac:dyDescent="0.3">
      <c r="A31" s="1">
        <v>29</v>
      </c>
      <c r="C31" s="1" t="s">
        <v>15</v>
      </c>
      <c r="D31" s="1">
        <v>18.2</v>
      </c>
      <c r="E31" s="1">
        <v>193</v>
      </c>
      <c r="F31" s="1">
        <v>0</v>
      </c>
      <c r="G31" s="1">
        <v>0.38888005005277243</v>
      </c>
      <c r="H31" s="1">
        <v>1.8103731094232425</v>
      </c>
      <c r="I31" s="1">
        <v>481.2317474601162</v>
      </c>
      <c r="J31" s="1" t="s">
        <v>129</v>
      </c>
      <c r="K31" s="1">
        <f t="shared" si="0"/>
        <v>0.45576903989743406</v>
      </c>
      <c r="L31" s="1">
        <f t="shared" si="1"/>
        <v>0.90932778499913824</v>
      </c>
      <c r="M31" s="1">
        <f t="shared" si="2"/>
        <v>241.4222744229379</v>
      </c>
      <c r="N31" s="1">
        <f>SLOPE(K31:K34,F31:F34)</f>
        <v>5.3955975618783251E-4</v>
      </c>
      <c r="O31" s="1">
        <f>SLOPE(L31:L34,F31:F34)</f>
        <v>-1.2594276199067093E-4</v>
      </c>
      <c r="P31" s="1">
        <f>SLOPE(M31:M34,F31:F34)</f>
        <v>1.7962289296884308</v>
      </c>
      <c r="Q31" s="1">
        <f>(N31*41.35/0.31*60)/1000</f>
        <v>4.3182185648452023E-3</v>
      </c>
      <c r="R31" s="1">
        <f>O31*41.35/0.31*60/1000</f>
        <v>-1.0079483628995312E-3</v>
      </c>
      <c r="S31" s="1">
        <f>(P31*41.35/0.31*60)/1000</f>
        <v>14.375625724377409</v>
      </c>
    </row>
    <row r="32" spans="1:19" x14ac:dyDescent="0.3">
      <c r="A32" s="1">
        <v>30</v>
      </c>
      <c r="C32" s="1" t="s">
        <v>15</v>
      </c>
      <c r="D32" s="1">
        <v>18.2</v>
      </c>
      <c r="E32" s="1">
        <v>194</v>
      </c>
      <c r="F32" s="1">
        <v>15</v>
      </c>
      <c r="G32" s="1">
        <v>0.39125391213554189</v>
      </c>
      <c r="H32" s="1">
        <v>1.7888812469668813</v>
      </c>
      <c r="I32" s="1">
        <v>550.34357344463604</v>
      </c>
      <c r="J32" s="1" t="s">
        <v>129</v>
      </c>
      <c r="K32" s="1">
        <f t="shared" si="0"/>
        <v>0.45855121615503824</v>
      </c>
      <c r="L32" s="1">
        <f t="shared" si="1"/>
        <v>0.8985326911142234</v>
      </c>
      <c r="M32" s="1">
        <f t="shared" si="2"/>
        <v>276.0939981958752</v>
      </c>
    </row>
    <row r="33" spans="1:19" x14ac:dyDescent="0.3">
      <c r="A33" s="1">
        <v>31</v>
      </c>
      <c r="C33" s="1" t="s">
        <v>15</v>
      </c>
      <c r="D33" s="1">
        <v>18.2</v>
      </c>
      <c r="E33" s="1">
        <v>195</v>
      </c>
      <c r="F33" s="1">
        <v>30</v>
      </c>
      <c r="G33" s="1">
        <v>0.39212951700213716</v>
      </c>
      <c r="H33" s="1">
        <v>1.7915677297739265</v>
      </c>
      <c r="I33" s="1">
        <v>632.67042158554898</v>
      </c>
      <c r="J33" s="1" t="s">
        <v>129</v>
      </c>
      <c r="K33" s="1">
        <f t="shared" si="0"/>
        <v>0.45957742870907259</v>
      </c>
      <c r="L33" s="1">
        <f t="shared" si="1"/>
        <v>0.89988207784983776</v>
      </c>
      <c r="M33" s="1">
        <f t="shared" si="2"/>
        <v>317.39537747758663</v>
      </c>
    </row>
    <row r="34" spans="1:19" x14ac:dyDescent="0.3">
      <c r="A34" s="1">
        <v>32</v>
      </c>
      <c r="C34" s="1" t="s">
        <v>15</v>
      </c>
      <c r="D34" s="1">
        <v>18.2</v>
      </c>
      <c r="E34" s="1">
        <v>196</v>
      </c>
      <c r="F34" s="1">
        <v>45</v>
      </c>
      <c r="G34" s="1">
        <v>0.41160686081240133</v>
      </c>
      <c r="H34" s="1">
        <v>1.7969406953880169</v>
      </c>
      <c r="I34" s="1">
        <v>632.81237983136964</v>
      </c>
      <c r="J34" s="1" t="s">
        <v>129</v>
      </c>
      <c r="K34" s="1">
        <f t="shared" si="0"/>
        <v>0.4824049568554809</v>
      </c>
      <c r="L34" s="1">
        <f t="shared" si="1"/>
        <v>0.90258085132106658</v>
      </c>
      <c r="M34" s="1">
        <f t="shared" si="2"/>
        <v>317.4665944801223</v>
      </c>
    </row>
    <row r="35" spans="1:19" x14ac:dyDescent="0.3">
      <c r="A35" s="1">
        <v>33</v>
      </c>
      <c r="C35" s="1" t="s">
        <v>15</v>
      </c>
      <c r="D35" s="1">
        <v>18.2</v>
      </c>
      <c r="E35" s="1"/>
      <c r="K35" s="1">
        <f t="shared" si="0"/>
        <v>0</v>
      </c>
      <c r="L35" s="1">
        <f t="shared" si="1"/>
        <v>0</v>
      </c>
      <c r="M35" s="1">
        <f t="shared" si="2"/>
        <v>0</v>
      </c>
    </row>
    <row r="36" spans="1:19" x14ac:dyDescent="0.3">
      <c r="A36" s="1">
        <v>34</v>
      </c>
      <c r="C36" s="1" t="s">
        <v>15</v>
      </c>
      <c r="D36" s="1">
        <v>18.2</v>
      </c>
      <c r="E36" s="1"/>
      <c r="K36" s="1">
        <f t="shared" si="0"/>
        <v>0</v>
      </c>
      <c r="L36" s="1">
        <f t="shared" si="1"/>
        <v>0</v>
      </c>
      <c r="M36" s="1">
        <f t="shared" si="2"/>
        <v>0</v>
      </c>
    </row>
    <row r="37" spans="1:19" x14ac:dyDescent="0.3">
      <c r="A37" s="1">
        <v>35</v>
      </c>
      <c r="C37" s="1" t="s">
        <v>15</v>
      </c>
      <c r="D37" s="1">
        <v>18.2</v>
      </c>
      <c r="E37" s="1"/>
      <c r="K37" s="1">
        <f t="shared" si="0"/>
        <v>0</v>
      </c>
      <c r="L37" s="1">
        <f t="shared" si="1"/>
        <v>0</v>
      </c>
      <c r="M37" s="1">
        <f t="shared" si="2"/>
        <v>0</v>
      </c>
    </row>
    <row r="38" spans="1:19" x14ac:dyDescent="0.3">
      <c r="A38" s="1">
        <v>36</v>
      </c>
      <c r="C38" s="1" t="s">
        <v>15</v>
      </c>
      <c r="D38" s="1">
        <v>18.2</v>
      </c>
      <c r="E38" s="1"/>
      <c r="K38" s="1">
        <f t="shared" si="0"/>
        <v>0</v>
      </c>
      <c r="L38" s="1">
        <f t="shared" si="1"/>
        <v>0</v>
      </c>
      <c r="M38" s="1">
        <f t="shared" si="2"/>
        <v>0</v>
      </c>
    </row>
    <row r="39" spans="1:19" x14ac:dyDescent="0.3">
      <c r="A39" s="1">
        <v>37</v>
      </c>
      <c r="B39" s="1" t="s">
        <v>131</v>
      </c>
      <c r="C39" s="1" t="s">
        <v>15</v>
      </c>
      <c r="D39" s="1">
        <v>15.4</v>
      </c>
      <c r="E39" s="1">
        <v>133</v>
      </c>
      <c r="F39" s="1">
        <v>0</v>
      </c>
      <c r="G39" s="1">
        <v>0.40404747213079534</v>
      </c>
      <c r="H39" s="1">
        <v>1.8694757311782344</v>
      </c>
      <c r="I39" s="1">
        <v>438.9659133757869</v>
      </c>
      <c r="J39" s="1" t="s">
        <v>129</v>
      </c>
      <c r="K39" s="1">
        <f t="shared" si="0"/>
        <v>0.47814045922050419</v>
      </c>
      <c r="L39" s="1">
        <f t="shared" si="1"/>
        <v>0.94812619760445693</v>
      </c>
      <c r="M39" s="1">
        <f t="shared" si="2"/>
        <v>222.35546502766439</v>
      </c>
      <c r="N39" s="1">
        <f>SLOPE(K39:K42,F39:F42)</f>
        <v>-1.3232282372610944E-4</v>
      </c>
      <c r="O39" s="1">
        <f>SLOPE(L39:L42,F39:F42)</f>
        <v>4.859514736911219E-4</v>
      </c>
      <c r="P39" s="1">
        <f>SLOPE(M39:M42,F39:F42)</f>
        <v>9.9481211493376992E-2</v>
      </c>
      <c r="Q39" s="1">
        <f>(N39*41.35/0.31*60)/1000</f>
        <v>-1.059009437627347E-3</v>
      </c>
      <c r="R39" s="1">
        <f>O39*41.35/0.31*60/1000</f>
        <v>3.8891793749279788E-3</v>
      </c>
      <c r="S39" s="1">
        <f>(P39*41.35/0.31*60)/1000</f>
        <v>0.79617059908086574</v>
      </c>
    </row>
    <row r="40" spans="1:19" x14ac:dyDescent="0.3">
      <c r="A40" s="1">
        <v>38</v>
      </c>
      <c r="B40" s="1" t="s">
        <v>151</v>
      </c>
      <c r="C40" s="1" t="s">
        <v>15</v>
      </c>
      <c r="D40" s="1">
        <v>15.4</v>
      </c>
      <c r="E40" s="1">
        <v>134</v>
      </c>
      <c r="F40" s="1">
        <v>15</v>
      </c>
      <c r="G40" s="1">
        <v>0.40044776323479242</v>
      </c>
      <c r="H40" s="1">
        <v>1.8855946280205051</v>
      </c>
      <c r="I40" s="1">
        <v>439.57444767430474</v>
      </c>
      <c r="J40" s="1" t="s">
        <v>129</v>
      </c>
      <c r="K40" s="1">
        <f t="shared" si="0"/>
        <v>0.47388064673976227</v>
      </c>
      <c r="L40" s="1">
        <f t="shared" si="1"/>
        <v>0.95630108220860666</v>
      </c>
      <c r="M40" s="1">
        <f t="shared" si="2"/>
        <v>222.66371430809627</v>
      </c>
    </row>
    <row r="41" spans="1:19" x14ac:dyDescent="0.3">
      <c r="A41" s="1">
        <v>39</v>
      </c>
      <c r="C41" s="1" t="s">
        <v>15</v>
      </c>
      <c r="D41" s="1">
        <v>15.4</v>
      </c>
      <c r="E41" s="1">
        <v>135</v>
      </c>
      <c r="F41" s="1">
        <v>30</v>
      </c>
      <c r="G41" s="1">
        <v>0.40083692095327922</v>
      </c>
      <c r="H41" s="1">
        <v>1.8600730413535767</v>
      </c>
      <c r="I41" s="1">
        <v>452.72792150034195</v>
      </c>
      <c r="J41" s="1" t="s">
        <v>129</v>
      </c>
      <c r="K41" s="1">
        <f t="shared" si="0"/>
        <v>0.47434116700795054</v>
      </c>
      <c r="L41" s="1">
        <f t="shared" si="1"/>
        <v>0.94335751491870301</v>
      </c>
      <c r="M41" s="1">
        <f t="shared" si="2"/>
        <v>229.32652501889956</v>
      </c>
    </row>
    <row r="42" spans="1:19" x14ac:dyDescent="0.3">
      <c r="A42" s="1">
        <v>40</v>
      </c>
      <c r="C42" s="1" t="s">
        <v>15</v>
      </c>
      <c r="D42" s="1">
        <v>15.4</v>
      </c>
      <c r="E42" s="1">
        <v>136</v>
      </c>
      <c r="F42" s="1">
        <v>45</v>
      </c>
      <c r="G42" s="1">
        <v>0.39832685366903936</v>
      </c>
      <c r="H42" s="1">
        <v>1.9258918701261816</v>
      </c>
      <c r="I42" s="1">
        <v>444.40102803220606</v>
      </c>
      <c r="J42" s="1" t="s">
        <v>129</v>
      </c>
      <c r="K42" s="1">
        <f t="shared" si="0"/>
        <v>0.47137081127813596</v>
      </c>
      <c r="L42" s="1">
        <f t="shared" si="1"/>
        <v>0.97673829371898091</v>
      </c>
      <c r="M42" s="1">
        <f t="shared" si="2"/>
        <v>225.10858869873215</v>
      </c>
    </row>
    <row r="43" spans="1:19" x14ac:dyDescent="0.3">
      <c r="A43" s="1">
        <v>41</v>
      </c>
      <c r="C43" s="1" t="s">
        <v>15</v>
      </c>
      <c r="D43" s="1">
        <v>15.4</v>
      </c>
      <c r="E43" s="1">
        <v>137</v>
      </c>
      <c r="F43" s="1">
        <v>0</v>
      </c>
      <c r="G43" s="1">
        <v>0.39847278781347195</v>
      </c>
      <c r="H43" s="1">
        <v>1.8748486967923246</v>
      </c>
      <c r="I43" s="1">
        <v>437.82826197921042</v>
      </c>
      <c r="J43" s="1" t="s">
        <v>16</v>
      </c>
      <c r="K43" s="1">
        <f t="shared" si="0"/>
        <v>0.47154350637870662</v>
      </c>
      <c r="L43" s="1">
        <f t="shared" si="1"/>
        <v>0.95085115913917351</v>
      </c>
      <c r="M43" s="1">
        <f t="shared" si="2"/>
        <v>221.77919475788477</v>
      </c>
      <c r="N43" s="1">
        <f>SLOPE(K43:K46,F43:F46)</f>
        <v>6.0865428778887826E-4</v>
      </c>
      <c r="O43" s="1">
        <f>SLOPE(L43:L46,F43:F46)</f>
        <v>3.3153698672384971E-4</v>
      </c>
      <c r="P43" s="1">
        <f>SLOPE(M43:M46,F43:F46)</f>
        <v>1.0123751163495665</v>
      </c>
      <c r="Q43" s="1">
        <f>(N43*41.35/0.31*60)/1000</f>
        <v>4.8711977032393772E-3</v>
      </c>
      <c r="R43" s="1">
        <f>O43*41.35/0.31*60/1000</f>
        <v>2.6533653679415192E-3</v>
      </c>
      <c r="S43" s="1">
        <f>(P43*41.35/0.31*60)/1000</f>
        <v>8.1022666569783048</v>
      </c>
    </row>
    <row r="44" spans="1:19" x14ac:dyDescent="0.3">
      <c r="A44" s="1">
        <v>42</v>
      </c>
      <c r="C44" s="1" t="s">
        <v>15</v>
      </c>
      <c r="D44" s="1">
        <v>15.4</v>
      </c>
      <c r="E44" s="1">
        <v>138</v>
      </c>
      <c r="F44" s="1">
        <v>15</v>
      </c>
      <c r="G44" s="1">
        <v>0.41832956039926078</v>
      </c>
      <c r="H44" s="1">
        <v>1.8667892483711894</v>
      </c>
      <c r="I44" s="1">
        <v>462.39795837124228</v>
      </c>
      <c r="J44" s="1" t="s">
        <v>16</v>
      </c>
      <c r="K44" s="1">
        <f t="shared" si="0"/>
        <v>0.49504155306301495</v>
      </c>
      <c r="L44" s="1">
        <f t="shared" si="1"/>
        <v>0.9467637168370987</v>
      </c>
      <c r="M44" s="1">
        <f t="shared" si="2"/>
        <v>234.22482231202667</v>
      </c>
    </row>
    <row r="45" spans="1:19" x14ac:dyDescent="0.3">
      <c r="A45" s="1">
        <v>43</v>
      </c>
      <c r="C45" s="1" t="s">
        <v>15</v>
      </c>
      <c r="D45" s="1">
        <v>15.4</v>
      </c>
      <c r="E45" s="1">
        <v>139</v>
      </c>
      <c r="F45" s="1">
        <v>30</v>
      </c>
      <c r="G45" s="1">
        <v>0.42732883263926796</v>
      </c>
      <c r="H45" s="1">
        <v>1.8681324897747118</v>
      </c>
      <c r="I45" s="1">
        <v>479.11726449789285</v>
      </c>
      <c r="J45" s="1" t="s">
        <v>16</v>
      </c>
      <c r="K45" s="1">
        <f t="shared" si="0"/>
        <v>0.50569108426486953</v>
      </c>
      <c r="L45" s="1">
        <f t="shared" si="1"/>
        <v>0.94744495722077782</v>
      </c>
      <c r="M45" s="1">
        <f t="shared" si="2"/>
        <v>242.69388329250583</v>
      </c>
    </row>
    <row r="46" spans="1:19" x14ac:dyDescent="0.3">
      <c r="A46" s="1">
        <v>44</v>
      </c>
      <c r="C46" s="1" t="s">
        <v>15</v>
      </c>
      <c r="D46" s="1">
        <v>15.4</v>
      </c>
      <c r="E46" s="1">
        <v>140</v>
      </c>
      <c r="F46" s="1">
        <v>45</v>
      </c>
      <c r="G46" s="1">
        <v>0.42118986963013871</v>
      </c>
      <c r="H46" s="1">
        <v>1.9070864904768658</v>
      </c>
      <c r="I46" s="1">
        <v>532.18483055966442</v>
      </c>
      <c r="J46" s="1" t="s">
        <v>16</v>
      </c>
      <c r="K46" s="1">
        <f t="shared" si="0"/>
        <v>0.49842637703419901</v>
      </c>
      <c r="L46" s="1">
        <f t="shared" si="1"/>
        <v>0.96720092834747295</v>
      </c>
      <c r="M46" s="1">
        <f t="shared" si="2"/>
        <v>269.5749302485367</v>
      </c>
    </row>
    <row r="47" spans="1:19" x14ac:dyDescent="0.3">
      <c r="A47" s="1">
        <v>45</v>
      </c>
      <c r="C47" s="1" t="s">
        <v>15</v>
      </c>
      <c r="D47" s="1">
        <v>15.4</v>
      </c>
      <c r="E47" s="1">
        <v>141</v>
      </c>
      <c r="F47" s="1">
        <v>0</v>
      </c>
      <c r="G47" s="1">
        <v>0.39908571122008868</v>
      </c>
      <c r="H47" s="1">
        <v>1.8305217304760806</v>
      </c>
      <c r="I47" s="1">
        <v>437.41231439180586</v>
      </c>
      <c r="J47" s="1" t="s">
        <v>16</v>
      </c>
      <c r="K47" s="1">
        <f t="shared" si="0"/>
        <v>0.4722688258011033</v>
      </c>
      <c r="L47" s="1">
        <f t="shared" si="1"/>
        <v>0.9283702264777618</v>
      </c>
      <c r="M47" s="1">
        <f t="shared" si="2"/>
        <v>221.56849908333177</v>
      </c>
      <c r="N47" s="1">
        <f>SLOPE(K47:K50,F47:F50)</f>
        <v>4.5660584590870448E-4</v>
      </c>
      <c r="O47" s="1">
        <f>SLOPE(L47:L50,F47:F50)</f>
        <v>-7.720724348363757E-5</v>
      </c>
      <c r="P47" s="1">
        <f>SLOPE(M47:M50,F47:F50)</f>
        <v>1.2192423985343463</v>
      </c>
      <c r="Q47" s="1">
        <f>(N47*41.35/0.31*60)/1000</f>
        <v>3.6543196893532126E-3</v>
      </c>
      <c r="R47" s="1">
        <f>O47*41.35/0.31*60/1000</f>
        <v>-6.179070034932414E-4</v>
      </c>
      <c r="S47" s="1">
        <f>(P47*41.35/0.31*60)/1000</f>
        <v>9.7578722282700419</v>
      </c>
    </row>
    <row r="48" spans="1:19" x14ac:dyDescent="0.3">
      <c r="A48" s="1">
        <v>46</v>
      </c>
      <c r="C48" s="1" t="s">
        <v>15</v>
      </c>
      <c r="D48" s="1">
        <v>15.4</v>
      </c>
      <c r="E48" s="1">
        <v>142</v>
      </c>
      <c r="F48" s="1">
        <v>15</v>
      </c>
      <c r="G48" s="1">
        <v>0.40120662078584174</v>
      </c>
      <c r="H48" s="1">
        <v>1.8493271101253961</v>
      </c>
      <c r="I48" s="1">
        <v>438.3504300722289</v>
      </c>
      <c r="J48" s="1" t="s">
        <v>16</v>
      </c>
      <c r="K48" s="1">
        <f t="shared" si="0"/>
        <v>0.47477866126272955</v>
      </c>
      <c r="L48" s="1">
        <f t="shared" si="1"/>
        <v>0.93790759184926975</v>
      </c>
      <c r="M48" s="1">
        <f t="shared" si="2"/>
        <v>222.04369577176266</v>
      </c>
    </row>
    <row r="49" spans="1:19" x14ac:dyDescent="0.3">
      <c r="A49" s="1">
        <v>47</v>
      </c>
      <c r="C49" s="1" t="s">
        <v>15</v>
      </c>
      <c r="D49" s="1">
        <v>15.4</v>
      </c>
      <c r="E49" s="1">
        <v>143</v>
      </c>
      <c r="F49" s="1">
        <v>30</v>
      </c>
      <c r="G49" s="1">
        <v>0.40062288420811154</v>
      </c>
      <c r="H49" s="1">
        <v>1.8466406273183511</v>
      </c>
      <c r="I49" s="1">
        <v>434.30114556382097</v>
      </c>
      <c r="J49" s="1" t="s">
        <v>16</v>
      </c>
      <c r="K49" s="1">
        <f t="shared" si="0"/>
        <v>0.47408788086044712</v>
      </c>
      <c r="L49" s="1">
        <f t="shared" si="1"/>
        <v>0.93654511108191152</v>
      </c>
      <c r="M49" s="1">
        <f t="shared" si="2"/>
        <v>219.99255578011238</v>
      </c>
    </row>
    <row r="50" spans="1:19" x14ac:dyDescent="0.3">
      <c r="A50" s="1">
        <v>48</v>
      </c>
      <c r="C50" s="1" t="s">
        <v>15</v>
      </c>
      <c r="D50" s="1">
        <v>15.4</v>
      </c>
      <c r="E50" s="1">
        <v>144</v>
      </c>
      <c r="F50" s="1">
        <v>45</v>
      </c>
      <c r="G50" s="1">
        <v>0.41857278397331504</v>
      </c>
      <c r="H50" s="1">
        <v>1.8238055234584678</v>
      </c>
      <c r="I50" s="1">
        <v>559.1112323753199</v>
      </c>
      <c r="J50" s="1" t="s">
        <v>16</v>
      </c>
      <c r="K50" s="1">
        <f t="shared" si="0"/>
        <v>0.49532937823063267</v>
      </c>
      <c r="L50" s="1">
        <f t="shared" si="1"/>
        <v>0.92496402455936599</v>
      </c>
      <c r="M50" s="1">
        <f t="shared" si="2"/>
        <v>283.21433234059919</v>
      </c>
    </row>
    <row r="51" spans="1:19" x14ac:dyDescent="0.3">
      <c r="A51" s="1">
        <v>49</v>
      </c>
      <c r="C51" s="1" t="s">
        <v>15</v>
      </c>
      <c r="D51" s="1">
        <v>15.4</v>
      </c>
      <c r="E51" s="1">
        <v>145</v>
      </c>
      <c r="F51" s="1">
        <v>0</v>
      </c>
      <c r="G51" s="1">
        <v>0.40149848907470681</v>
      </c>
      <c r="H51" s="1">
        <v>1.8600730413535767</v>
      </c>
      <c r="I51" s="1">
        <v>435.66612869671161</v>
      </c>
      <c r="J51" s="1" t="s">
        <v>16</v>
      </c>
      <c r="K51" s="1">
        <f t="shared" si="0"/>
        <v>0.47512405146387077</v>
      </c>
      <c r="L51" s="1">
        <f t="shared" si="1"/>
        <v>0.94335751491870301</v>
      </c>
      <c r="M51" s="1">
        <f t="shared" si="2"/>
        <v>220.68397953312024</v>
      </c>
      <c r="N51" s="1">
        <f>SLOPE(K51:K54,F51:F54)</f>
        <v>2.601171981483619E-4</v>
      </c>
      <c r="O51" s="1">
        <f>SLOPE(L51:L54,F51:F54)</f>
        <v>4.9957628136468501E-5</v>
      </c>
      <c r="P51" s="1">
        <f>SLOPE(M51:M54,F51:F54)</f>
        <v>0.35334854709473973</v>
      </c>
      <c r="Q51" s="1">
        <f>(N51*41.35/0.31*60)/1000</f>
        <v>2.0817766729228577E-3</v>
      </c>
      <c r="R51" s="1">
        <f>O51*41.35/0.31*60/1000</f>
        <v>3.9982217873089785E-4</v>
      </c>
      <c r="S51" s="1">
        <f>(P51*41.35/0.31*60)/1000</f>
        <v>2.8279282107808039</v>
      </c>
    </row>
    <row r="52" spans="1:19" x14ac:dyDescent="0.3">
      <c r="A52" s="1">
        <v>50</v>
      </c>
      <c r="C52" s="1" t="s">
        <v>15</v>
      </c>
      <c r="D52" s="1">
        <v>15.4</v>
      </c>
      <c r="E52" s="1">
        <v>146</v>
      </c>
      <c r="F52" s="1">
        <v>15</v>
      </c>
      <c r="G52" s="1">
        <v>0.41351373363298666</v>
      </c>
      <c r="H52" s="1">
        <v>1.8184325578443776</v>
      </c>
      <c r="I52" s="1">
        <v>464.4697545882189</v>
      </c>
      <c r="J52" s="1" t="s">
        <v>16</v>
      </c>
      <c r="K52" s="1">
        <f t="shared" si="0"/>
        <v>0.48934261474418461</v>
      </c>
      <c r="L52" s="1">
        <f t="shared" si="1"/>
        <v>0.92223906302464953</v>
      </c>
      <c r="M52" s="1">
        <f t="shared" si="2"/>
        <v>235.27427785568304</v>
      </c>
    </row>
    <row r="53" spans="1:19" x14ac:dyDescent="0.3">
      <c r="A53" s="1">
        <v>51</v>
      </c>
      <c r="C53" s="1" t="s">
        <v>15</v>
      </c>
      <c r="D53" s="1">
        <v>15.4</v>
      </c>
      <c r="E53" s="1">
        <v>147</v>
      </c>
      <c r="F53" s="1">
        <v>30</v>
      </c>
      <c r="G53" s="1">
        <v>0.41665618220976758</v>
      </c>
      <c r="H53" s="1">
        <v>1.8533568343359639</v>
      </c>
      <c r="I53" s="1">
        <v>469.5603971376467</v>
      </c>
      <c r="J53" s="1" t="s">
        <v>16</v>
      </c>
      <c r="K53" s="1">
        <f t="shared" si="0"/>
        <v>0.49306131590980529</v>
      </c>
      <c r="L53" s="1">
        <f t="shared" si="1"/>
        <v>0.93995131300030721</v>
      </c>
      <c r="M53" s="1">
        <f t="shared" si="2"/>
        <v>237.8529113141735</v>
      </c>
    </row>
    <row r="54" spans="1:19" x14ac:dyDescent="0.3">
      <c r="A54" s="1">
        <v>52</v>
      </c>
      <c r="C54" s="1" t="s">
        <v>15</v>
      </c>
      <c r="D54" s="1">
        <v>15.4</v>
      </c>
      <c r="E54" s="1">
        <v>148</v>
      </c>
      <c r="F54" s="1">
        <v>45</v>
      </c>
      <c r="G54" s="1">
        <v>0.41144146878204446</v>
      </c>
      <c r="H54" s="1">
        <v>1.8533568343359639</v>
      </c>
      <c r="I54" s="1">
        <v>468.84762776352636</v>
      </c>
      <c r="J54" s="1" t="s">
        <v>16</v>
      </c>
      <c r="K54" s="1">
        <f t="shared" si="0"/>
        <v>0.48689034431608197</v>
      </c>
      <c r="L54" s="1">
        <f t="shared" si="1"/>
        <v>0.93995131300030721</v>
      </c>
      <c r="M54" s="1">
        <f t="shared" si="2"/>
        <v>237.49186240169374</v>
      </c>
    </row>
    <row r="55" spans="1:19" x14ac:dyDescent="0.3">
      <c r="A55" s="1">
        <v>53</v>
      </c>
      <c r="C55" s="1" t="s">
        <v>15</v>
      </c>
      <c r="D55" s="1">
        <v>15.4</v>
      </c>
      <c r="E55" s="1">
        <v>149</v>
      </c>
      <c r="F55" s="1">
        <v>0</v>
      </c>
      <c r="G55" s="1">
        <v>0.40904814881335072</v>
      </c>
      <c r="H55" s="1">
        <v>1.8654460069676668</v>
      </c>
      <c r="I55" s="1">
        <v>452.3308354980465</v>
      </c>
      <c r="J55" s="1" t="s">
        <v>16</v>
      </c>
      <c r="K55" s="1">
        <f t="shared" si="0"/>
        <v>0.48405814466672392</v>
      </c>
      <c r="L55" s="1">
        <f t="shared" si="1"/>
        <v>0.94608247645341947</v>
      </c>
      <c r="M55" s="1">
        <f t="shared" si="2"/>
        <v>229.12538356347903</v>
      </c>
      <c r="N55" s="1">
        <f>SLOPE(K55:K58,F55:F58)</f>
        <v>3.6930655373580805E-3</v>
      </c>
      <c r="O55" s="1">
        <f>SLOPE(L55:L58,F55:F58)</f>
        <v>-2.0891371766160145E-4</v>
      </c>
      <c r="P55" s="1">
        <f>SLOPE(M55:M58,F55:F58)</f>
        <v>1.8179801688844761</v>
      </c>
      <c r="Q55" s="1">
        <f>(N55*41.35/0.31*60)/1000</f>
        <v>2.9556437413501283E-2</v>
      </c>
      <c r="R55" s="1">
        <f>O55*41.35/0.31*60/1000</f>
        <v>-1.6719836565110748E-3</v>
      </c>
      <c r="S55" s="1">
        <f>(P55*41.35/0.31*60)/1000</f>
        <v>14.5497058032335</v>
      </c>
    </row>
    <row r="56" spans="1:19" x14ac:dyDescent="0.3">
      <c r="A56" s="1">
        <v>54</v>
      </c>
      <c r="C56" s="1" t="s">
        <v>15</v>
      </c>
      <c r="D56" s="1">
        <v>15.4</v>
      </c>
      <c r="E56" s="1">
        <v>150</v>
      </c>
      <c r="F56" s="1">
        <v>15</v>
      </c>
      <c r="G56" s="1">
        <v>0.41153875821166613</v>
      </c>
      <c r="H56" s="1">
        <v>1.8654460069676668</v>
      </c>
      <c r="I56" s="1">
        <v>456.29375380095524</v>
      </c>
      <c r="J56" s="1" t="s">
        <v>16</v>
      </c>
      <c r="K56" s="1">
        <f t="shared" si="0"/>
        <v>0.48700547438312897</v>
      </c>
      <c r="L56" s="1">
        <f t="shared" si="1"/>
        <v>0.94608247645341947</v>
      </c>
      <c r="M56" s="1">
        <f t="shared" si="2"/>
        <v>231.1327752885754</v>
      </c>
    </row>
    <row r="57" spans="1:19" x14ac:dyDescent="0.3">
      <c r="A57" s="1">
        <v>55</v>
      </c>
      <c r="C57" s="1" t="s">
        <v>15</v>
      </c>
      <c r="D57" s="1">
        <v>15.4</v>
      </c>
      <c r="E57" s="1">
        <v>151</v>
      </c>
      <c r="F57" s="1">
        <v>30</v>
      </c>
      <c r="G57" s="1">
        <v>0.40732612590904654</v>
      </c>
      <c r="H57" s="1">
        <v>1.8318649718796032</v>
      </c>
      <c r="I57" s="1">
        <v>447.82490208699869</v>
      </c>
      <c r="J57" s="1" t="s">
        <v>16</v>
      </c>
      <c r="K57" s="1">
        <f t="shared" si="0"/>
        <v>0.48202034247999054</v>
      </c>
      <c r="L57" s="1">
        <f t="shared" si="1"/>
        <v>0.92905146686144102</v>
      </c>
      <c r="M57" s="1">
        <f t="shared" si="2"/>
        <v>226.8429308980952</v>
      </c>
    </row>
    <row r="58" spans="1:19" x14ac:dyDescent="0.3">
      <c r="A58" s="1">
        <v>56</v>
      </c>
      <c r="C58" s="1" t="s">
        <v>15</v>
      </c>
      <c r="D58" s="1">
        <v>15.4</v>
      </c>
      <c r="E58" s="1">
        <v>152</v>
      </c>
      <c r="F58" s="1">
        <v>45</v>
      </c>
      <c r="G58" s="1">
        <v>0.56649163277014647</v>
      </c>
      <c r="H58" s="1">
        <v>1.8560433171430089</v>
      </c>
      <c r="I58" s="1">
        <v>634.60323770172215</v>
      </c>
      <c r="J58" s="1" t="s">
        <v>16</v>
      </c>
      <c r="K58" s="1">
        <f t="shared" si="0"/>
        <v>0.6703731321690074</v>
      </c>
      <c r="L58" s="1">
        <f t="shared" si="1"/>
        <v>0.94131379376766555</v>
      </c>
      <c r="M58" s="1">
        <f t="shared" si="2"/>
        <v>321.45434013786291</v>
      </c>
    </row>
    <row r="59" spans="1:19" x14ac:dyDescent="0.3">
      <c r="A59" s="1">
        <v>57</v>
      </c>
      <c r="C59" s="1" t="s">
        <v>15</v>
      </c>
      <c r="D59" s="1">
        <v>15.4</v>
      </c>
      <c r="E59" s="1">
        <v>153</v>
      </c>
      <c r="F59" s="1">
        <v>0</v>
      </c>
      <c r="G59" s="1">
        <v>0.39963053202597021</v>
      </c>
      <c r="H59" s="1">
        <v>1.8479838687218735</v>
      </c>
      <c r="I59" s="1">
        <v>428.89084878254528</v>
      </c>
      <c r="J59" s="1" t="s">
        <v>16</v>
      </c>
      <c r="K59" s="1">
        <f t="shared" si="0"/>
        <v>0.47291355417656694</v>
      </c>
      <c r="L59" s="1">
        <f t="shared" si="1"/>
        <v>0.93722635146559052</v>
      </c>
      <c r="M59" s="1">
        <f t="shared" si="2"/>
        <v>217.25200345000843</v>
      </c>
      <c r="N59" s="1">
        <f>SLOPE(K59:K62,F59:F62)</f>
        <v>1.4099595544365203E-4</v>
      </c>
      <c r="O59" s="1">
        <f>SLOPE(L59:L62,F59:F62)</f>
        <v>2.5432974324021511E-4</v>
      </c>
      <c r="P59" s="1">
        <f>SLOPE(M59:M62,F59:F62)</f>
        <v>0.10976289222295237</v>
      </c>
      <c r="Q59" s="1">
        <f>(N59*41.35/0.31*60)/1000</f>
        <v>1.1284224692119378E-3</v>
      </c>
      <c r="R59" s="1">
        <f>O59*41.35/0.31*60/1000</f>
        <v>2.0354583644483022E-3</v>
      </c>
      <c r="S59" s="1">
        <f>(P59*41.35/0.31*60)/1000</f>
        <v>0.87845721162949952</v>
      </c>
    </row>
    <row r="60" spans="1:19" x14ac:dyDescent="0.3">
      <c r="A60" s="1">
        <v>58</v>
      </c>
      <c r="C60" s="1" t="s">
        <v>15</v>
      </c>
      <c r="D60" s="1">
        <v>15.4</v>
      </c>
      <c r="E60" s="1">
        <v>154</v>
      </c>
      <c r="F60" s="1">
        <v>15</v>
      </c>
      <c r="G60" s="1">
        <v>0.40505928219886106</v>
      </c>
      <c r="H60" s="1">
        <v>1.8667892483711894</v>
      </c>
      <c r="I60" s="1">
        <v>455.87284263852206</v>
      </c>
      <c r="J60" s="1" t="s">
        <v>16</v>
      </c>
      <c r="K60" s="1">
        <f t="shared" si="0"/>
        <v>0.47933781191779379</v>
      </c>
      <c r="L60" s="1">
        <f t="shared" si="1"/>
        <v>0.9467637168370987</v>
      </c>
      <c r="M60" s="1">
        <f t="shared" si="2"/>
        <v>230.91956534582971</v>
      </c>
    </row>
    <row r="61" spans="1:19" x14ac:dyDescent="0.3">
      <c r="A61" s="1">
        <v>59</v>
      </c>
      <c r="C61" s="1" t="s">
        <v>15</v>
      </c>
      <c r="D61" s="1">
        <v>15.4</v>
      </c>
      <c r="E61" s="1">
        <v>155</v>
      </c>
      <c r="F61" s="1">
        <v>30</v>
      </c>
      <c r="G61" s="1">
        <v>0.40506901114182314</v>
      </c>
      <c r="H61" s="1">
        <v>1.861416282757099</v>
      </c>
      <c r="I61" s="1">
        <v>447.34045716419831</v>
      </c>
      <c r="J61" s="1" t="s">
        <v>16</v>
      </c>
      <c r="K61" s="1">
        <f t="shared" si="0"/>
        <v>0.47934932492449839</v>
      </c>
      <c r="L61" s="1">
        <f t="shared" si="1"/>
        <v>0.94403875530238202</v>
      </c>
      <c r="M61" s="1">
        <f t="shared" si="2"/>
        <v>226.59753832248225</v>
      </c>
    </row>
    <row r="62" spans="1:19" x14ac:dyDescent="0.3">
      <c r="A62" s="1">
        <v>60</v>
      </c>
      <c r="C62" s="1" t="s">
        <v>15</v>
      </c>
      <c r="D62" s="1">
        <v>15.4</v>
      </c>
      <c r="E62" s="1">
        <v>156</v>
      </c>
      <c r="F62" s="1">
        <v>45</v>
      </c>
      <c r="G62" s="1">
        <v>0.4055846451188182</v>
      </c>
      <c r="H62" s="1">
        <v>1.8748486967923246</v>
      </c>
      <c r="I62" s="1">
        <v>442.56946884661824</v>
      </c>
      <c r="J62" s="1" t="s">
        <v>16</v>
      </c>
      <c r="K62" s="1">
        <f t="shared" si="0"/>
        <v>0.47995951427984801</v>
      </c>
      <c r="L62" s="1">
        <f t="shared" si="1"/>
        <v>0.95085115913917351</v>
      </c>
      <c r="M62" s="1">
        <f t="shared" si="2"/>
        <v>224.1808237356052</v>
      </c>
    </row>
    <row r="63" spans="1:19" x14ac:dyDescent="0.3">
      <c r="A63" s="1">
        <v>61</v>
      </c>
      <c r="C63" s="1" t="s">
        <v>15</v>
      </c>
      <c r="D63" s="1">
        <v>15.4</v>
      </c>
      <c r="E63" s="1">
        <v>157</v>
      </c>
      <c r="F63" s="1">
        <v>0</v>
      </c>
      <c r="G63" s="1">
        <v>0.39697453059729781</v>
      </c>
      <c r="H63" s="1">
        <v>1.8426109031077833</v>
      </c>
      <c r="I63" s="1">
        <v>427.96762382720834</v>
      </c>
      <c r="J63" s="1" t="s">
        <v>16</v>
      </c>
      <c r="K63" s="1">
        <f t="shared" si="0"/>
        <v>0.4697705033461817</v>
      </c>
      <c r="L63" s="1">
        <f t="shared" si="1"/>
        <v>0.93450138993087406</v>
      </c>
      <c r="M63" s="1">
        <f t="shared" si="2"/>
        <v>216.78434956615581</v>
      </c>
      <c r="N63" s="1">
        <f>SLOPE(K63:K66,F63:F66)</f>
        <v>1.8328706673894672E-4</v>
      </c>
      <c r="O63" s="1">
        <f>SLOPE(L63:L66,F63:F66)</f>
        <v>2.1345532021946667E-4</v>
      </c>
      <c r="P63" s="1">
        <f>SLOPE(M63:M66,F63:F66)</f>
        <v>0.15270994531281473</v>
      </c>
      <c r="Q63" s="1">
        <f>(N63*41.35/0.31*60)/1000</f>
        <v>1.4668877825139575E-3</v>
      </c>
      <c r="R63" s="1">
        <f>O63*41.35/0.31*60/1000</f>
        <v>1.7083311273048288E-3</v>
      </c>
      <c r="S63" s="1">
        <f>(P63*41.35/0.31*60)/1000</f>
        <v>1.2221721752293333</v>
      </c>
    </row>
    <row r="64" spans="1:19" x14ac:dyDescent="0.3">
      <c r="A64" s="1">
        <v>62</v>
      </c>
      <c r="C64" s="1" t="s">
        <v>15</v>
      </c>
      <c r="D64" s="1">
        <v>15.4</v>
      </c>
      <c r="E64" s="1">
        <v>158</v>
      </c>
      <c r="F64" s="1">
        <v>15</v>
      </c>
      <c r="G64" s="1">
        <v>0.4051273847995962</v>
      </c>
      <c r="H64" s="1">
        <v>1.8641027655641444</v>
      </c>
      <c r="I64" s="1">
        <v>443.2355806154689</v>
      </c>
      <c r="J64" s="1" t="s">
        <v>16</v>
      </c>
      <c r="K64" s="1">
        <f t="shared" si="0"/>
        <v>0.47941840296472671</v>
      </c>
      <c r="L64" s="1">
        <f t="shared" si="1"/>
        <v>0.94540123606974047</v>
      </c>
      <c r="M64" s="1">
        <f t="shared" si="2"/>
        <v>224.51823852707307</v>
      </c>
    </row>
    <row r="65" spans="1:19" x14ac:dyDescent="0.3">
      <c r="A65" s="1">
        <v>63</v>
      </c>
      <c r="C65" s="1" t="s">
        <v>15</v>
      </c>
      <c r="D65" s="1">
        <v>15.4</v>
      </c>
      <c r="E65" s="1">
        <v>159</v>
      </c>
      <c r="F65" s="1">
        <v>30</v>
      </c>
      <c r="G65" s="1">
        <v>0.40483551651073113</v>
      </c>
      <c r="H65" s="1">
        <v>1.8627595241606216</v>
      </c>
      <c r="I65" s="1">
        <v>443.65351363288488</v>
      </c>
      <c r="J65" s="1" t="s">
        <v>16</v>
      </c>
      <c r="K65" s="1">
        <f t="shared" si="0"/>
        <v>0.47907301276358544</v>
      </c>
      <c r="L65" s="1">
        <f t="shared" si="1"/>
        <v>0.94471999568606124</v>
      </c>
      <c r="M65" s="1">
        <f t="shared" si="2"/>
        <v>224.72993990890313</v>
      </c>
    </row>
    <row r="66" spans="1:19" x14ac:dyDescent="0.3">
      <c r="A66" s="1">
        <v>64</v>
      </c>
      <c r="C66" s="1" t="s">
        <v>15</v>
      </c>
      <c r="D66" s="1">
        <v>15.4</v>
      </c>
      <c r="E66" s="1">
        <v>160</v>
      </c>
      <c r="F66" s="1">
        <v>45</v>
      </c>
      <c r="G66" s="1">
        <v>0.4048160586248068</v>
      </c>
      <c r="H66" s="1">
        <v>1.8641027655641444</v>
      </c>
      <c r="I66" s="1">
        <v>442.9020283735407</v>
      </c>
      <c r="J66" s="1" t="s">
        <v>16</v>
      </c>
      <c r="K66" s="1">
        <f t="shared" si="0"/>
        <v>0.47904998675017613</v>
      </c>
      <c r="L66" s="1">
        <f t="shared" si="1"/>
        <v>0.94540123606974047</v>
      </c>
      <c r="M66" s="1">
        <f t="shared" si="2"/>
        <v>224.34927970451986</v>
      </c>
    </row>
    <row r="67" spans="1:19" x14ac:dyDescent="0.3">
      <c r="A67" s="1">
        <v>65</v>
      </c>
      <c r="C67" s="1" t="s">
        <v>15</v>
      </c>
      <c r="D67" s="1">
        <v>15.4</v>
      </c>
      <c r="E67" s="1">
        <v>161</v>
      </c>
      <c r="F67" s="1">
        <v>0</v>
      </c>
      <c r="G67" s="1">
        <v>0.39645889662030276</v>
      </c>
      <c r="H67" s="1">
        <v>1.8520135929324413</v>
      </c>
      <c r="I67" s="1">
        <v>444.84179349475403</v>
      </c>
      <c r="J67" s="1" t="s">
        <v>129</v>
      </c>
      <c r="K67" s="1">
        <f t="shared" ref="K67:K130" si="3">(G67*28*1)/(0.082*(D67+273.15))</f>
        <v>0.46916031399083213</v>
      </c>
      <c r="L67" s="1">
        <f t="shared" ref="L67:L130" si="4">(H67*12*1)/(0.082*(D67+273.15))</f>
        <v>0.93927007261662798</v>
      </c>
      <c r="M67" s="1">
        <f t="shared" ref="M67:M130" si="5">(I67*12*1)/(0.0821*(D67+273.15))</f>
        <v>225.33185571424889</v>
      </c>
      <c r="N67" s="1">
        <f>SLOPE(K69:K72,F67:F70)</f>
        <v>-2.6050096503851816E-4</v>
      </c>
      <c r="O67" s="1">
        <f>SLOPE(L69:L72,F67:F70)</f>
        <v>8.992373064564699E-4</v>
      </c>
      <c r="P67" s="1">
        <f>SLOPE(M69:M72,F67:F70)</f>
        <v>-0.39005686270897738</v>
      </c>
      <c r="Q67" s="1">
        <f>(N67*41.35/0.31*60)/1000</f>
        <v>-2.0848480460018181E-3</v>
      </c>
      <c r="R67" s="1">
        <f>O67*41.35/0.31*60/1000</f>
        <v>7.196799217156458E-3</v>
      </c>
      <c r="S67" s="1">
        <f>(P67*41.35/0.31*60)/1000</f>
        <v>-3.121713149616042</v>
      </c>
    </row>
    <row r="68" spans="1:19" x14ac:dyDescent="0.3">
      <c r="A68" s="1">
        <v>66</v>
      </c>
      <c r="C68" s="1" t="s">
        <v>15</v>
      </c>
      <c r="D68" s="1">
        <v>15.4</v>
      </c>
      <c r="E68" s="1">
        <v>162</v>
      </c>
      <c r="F68" s="1">
        <v>15</v>
      </c>
      <c r="G68" s="1">
        <v>0.39494118151820434</v>
      </c>
      <c r="H68" s="1">
        <v>1.8493271101253961</v>
      </c>
      <c r="I68" s="1">
        <v>436.01357894872018</v>
      </c>
      <c r="J68" s="1" t="s">
        <v>129</v>
      </c>
      <c r="K68" s="1">
        <f t="shared" si="3"/>
        <v>0.4673642849448979</v>
      </c>
      <c r="L68" s="1">
        <f t="shared" si="4"/>
        <v>0.93790759184926975</v>
      </c>
      <c r="M68" s="1">
        <f t="shared" si="5"/>
        <v>220.85997830661319</v>
      </c>
    </row>
    <row r="69" spans="1:19" x14ac:dyDescent="0.3">
      <c r="A69" s="1">
        <v>67</v>
      </c>
      <c r="C69" s="1" t="s">
        <v>15</v>
      </c>
      <c r="D69" s="1">
        <v>15.4</v>
      </c>
      <c r="E69" s="1">
        <v>163</v>
      </c>
      <c r="F69" s="1">
        <v>30</v>
      </c>
      <c r="G69" s="1">
        <v>0.39593353370034562</v>
      </c>
      <c r="H69" s="1">
        <v>1.8412676617042609</v>
      </c>
      <c r="I69" s="1">
        <v>442.73425953757089</v>
      </c>
      <c r="J69" s="1" t="s">
        <v>129</v>
      </c>
      <c r="K69" s="1">
        <f t="shared" si="3"/>
        <v>0.46853861162877797</v>
      </c>
      <c r="L69" s="1">
        <f t="shared" si="4"/>
        <v>0.93382014954719483</v>
      </c>
      <c r="M69" s="1">
        <f t="shared" si="5"/>
        <v>224.26429743960475</v>
      </c>
    </row>
    <row r="70" spans="1:19" x14ac:dyDescent="0.3">
      <c r="A70" s="1">
        <v>68</v>
      </c>
      <c r="C70" s="1" t="s">
        <v>15</v>
      </c>
      <c r="D70" s="1">
        <v>15.4</v>
      </c>
      <c r="E70" s="1">
        <v>164</v>
      </c>
      <c r="F70" s="1">
        <v>45</v>
      </c>
      <c r="G70" s="1">
        <v>0.3987354692734506</v>
      </c>
      <c r="H70" s="1">
        <v>1.8506703515289189</v>
      </c>
      <c r="I70" s="1">
        <v>443.22863161042869</v>
      </c>
      <c r="J70" s="1" t="s">
        <v>129</v>
      </c>
      <c r="K70" s="1">
        <f t="shared" si="3"/>
        <v>0.47185435755973382</v>
      </c>
      <c r="L70" s="1">
        <f t="shared" si="4"/>
        <v>0.93858883223294898</v>
      </c>
      <c r="M70" s="1">
        <f t="shared" si="5"/>
        <v>224.51471855160318</v>
      </c>
    </row>
    <row r="71" spans="1:19" x14ac:dyDescent="0.3">
      <c r="A71" s="1">
        <v>69</v>
      </c>
      <c r="C71" s="1" t="s">
        <v>15</v>
      </c>
      <c r="D71" s="1">
        <v>15.4</v>
      </c>
      <c r="E71" s="1" t="s">
        <v>111</v>
      </c>
      <c r="F71"/>
      <c r="G71" s="1">
        <v>0.38959026288901089</v>
      </c>
      <c r="H71" s="1">
        <v>1.9111162146874336</v>
      </c>
      <c r="I71" s="1">
        <v>419.31313440717867</v>
      </c>
      <c r="J71"/>
      <c r="K71" s="1">
        <f t="shared" si="3"/>
        <v>0.46103213125730863</v>
      </c>
      <c r="L71" s="1">
        <f t="shared" si="4"/>
        <v>0.96924464949851041</v>
      </c>
      <c r="M71" s="1">
        <f t="shared" si="5"/>
        <v>212.40047154526653</v>
      </c>
    </row>
    <row r="72" spans="1:19" x14ac:dyDescent="0.3">
      <c r="A72" s="1">
        <v>70</v>
      </c>
      <c r="C72" s="1" t="s">
        <v>15</v>
      </c>
      <c r="D72" s="1">
        <v>15.4</v>
      </c>
      <c r="E72" s="1" t="s">
        <v>152</v>
      </c>
      <c r="F72"/>
      <c r="G72" s="1">
        <v>0.38797525835729063</v>
      </c>
      <c r="H72" s="1">
        <v>1.9097729732839108</v>
      </c>
      <c r="I72" s="1">
        <v>412.20430225108407</v>
      </c>
      <c r="J72"/>
      <c r="K72" s="1">
        <f t="shared" si="3"/>
        <v>0.45912097214432712</v>
      </c>
      <c r="L72" s="1">
        <f t="shared" si="4"/>
        <v>0.96856340911483119</v>
      </c>
      <c r="M72" s="1">
        <f t="shared" si="5"/>
        <v>208.79953663960143</v>
      </c>
    </row>
    <row r="73" spans="1:19" x14ac:dyDescent="0.3">
      <c r="A73" s="1">
        <v>71</v>
      </c>
      <c r="B73" s="1" t="s">
        <v>133</v>
      </c>
      <c r="C73" s="1" t="s">
        <v>15</v>
      </c>
      <c r="D73" s="1">
        <v>17.600000000000001</v>
      </c>
      <c r="E73" s="1">
        <v>133</v>
      </c>
      <c r="F73" s="1">
        <v>0</v>
      </c>
      <c r="G73" s="1">
        <v>0.44058791520263474</v>
      </c>
      <c r="H73" s="1">
        <v>2.1589093736959892</v>
      </c>
      <c r="I73" s="1">
        <v>455.78436873545888</v>
      </c>
      <c r="J73" s="1" t="s">
        <v>129</v>
      </c>
      <c r="K73" s="1">
        <f t="shared" si="3"/>
        <v>0.51743647109761437</v>
      </c>
      <c r="L73" s="1">
        <f t="shared" si="4"/>
        <v>1.0866309789380648</v>
      </c>
      <c r="M73" s="1">
        <f t="shared" si="5"/>
        <v>229.12780378459698</v>
      </c>
      <c r="N73" s="1">
        <f>SLOPE(K73:K76,F73:F76)</f>
        <v>-2.9024508847396529E-5</v>
      </c>
      <c r="O73" s="1">
        <f>SLOPE(L73:L76,F73:F76)</f>
        <v>-1.2607445121652315E-3</v>
      </c>
      <c r="P73" s="1">
        <f>SLOPE(M73:M76,F73:F76)</f>
        <v>0.35466145404343652</v>
      </c>
      <c r="Q73" s="1">
        <f>(N73*41.35/0.31*60)/1000</f>
        <v>-2.3228969822706706E-4</v>
      </c>
      <c r="R73" s="1">
        <f>O73*41.35/0.31*60/1000</f>
        <v>-1.009002301510303E-2</v>
      </c>
      <c r="S73" s="1">
        <f>(P73*41.35/0.31*60)/1000</f>
        <v>2.8384357015540838</v>
      </c>
    </row>
    <row r="74" spans="1:19" x14ac:dyDescent="0.3">
      <c r="A74" s="1">
        <v>72</v>
      </c>
      <c r="B74" s="1" t="s">
        <v>153</v>
      </c>
      <c r="C74" s="1" t="s">
        <v>15</v>
      </c>
      <c r="D74" s="1">
        <v>17.600000000000001</v>
      </c>
      <c r="E74" s="1">
        <v>134</v>
      </c>
      <c r="F74" s="1">
        <v>15</v>
      </c>
      <c r="G74" s="1">
        <v>0.43424404479134732</v>
      </c>
      <c r="H74" s="1">
        <v>2.0821482493076884</v>
      </c>
      <c r="I74" s="1">
        <v>462.19229234565472</v>
      </c>
      <c r="J74" s="1" t="s">
        <v>129</v>
      </c>
      <c r="K74" s="1">
        <f t="shared" si="3"/>
        <v>0.50998608536198331</v>
      </c>
      <c r="L74" s="1">
        <f t="shared" si="4"/>
        <v>1.0479952600168723</v>
      </c>
      <c r="M74" s="1">
        <f t="shared" si="5"/>
        <v>232.34913730179755</v>
      </c>
    </row>
    <row r="75" spans="1:19" x14ac:dyDescent="0.3">
      <c r="A75" s="1">
        <v>73</v>
      </c>
      <c r="C75" s="1" t="s">
        <v>15</v>
      </c>
      <c r="D75" s="1">
        <v>17.600000000000001</v>
      </c>
      <c r="E75" s="1">
        <v>135</v>
      </c>
      <c r="F75" s="1">
        <v>30</v>
      </c>
      <c r="G75" s="1">
        <v>0.42837693764716595</v>
      </c>
      <c r="H75" s="1">
        <v>2.0175073024543821</v>
      </c>
      <c r="I75" s="1">
        <v>466.75665497763765</v>
      </c>
      <c r="J75" s="1" t="s">
        <v>129</v>
      </c>
      <c r="K75" s="1">
        <f t="shared" si="3"/>
        <v>0.50309562125372342</v>
      </c>
      <c r="L75" s="1">
        <f t="shared" si="4"/>
        <v>1.015459917767447</v>
      </c>
      <c r="M75" s="1">
        <f t="shared" si="5"/>
        <v>234.64369248464484</v>
      </c>
    </row>
    <row r="76" spans="1:19" x14ac:dyDescent="0.3">
      <c r="A76" s="1">
        <v>74</v>
      </c>
      <c r="C76" s="1" t="s">
        <v>15</v>
      </c>
      <c r="D76" s="1">
        <v>17.600000000000001</v>
      </c>
      <c r="E76" s="1">
        <v>136</v>
      </c>
      <c r="F76" s="1">
        <v>45</v>
      </c>
      <c r="G76" s="1">
        <v>0.4413079250345906</v>
      </c>
      <c r="H76" s="1">
        <v>2.055214521452144</v>
      </c>
      <c r="I76" s="1">
        <v>489.53780135126834</v>
      </c>
      <c r="J76" s="1" t="s">
        <v>129</v>
      </c>
      <c r="K76" s="1">
        <f t="shared" si="3"/>
        <v>0.51828206702466451</v>
      </c>
      <c r="L76" s="1">
        <f t="shared" si="4"/>
        <v>1.034438867412945</v>
      </c>
      <c r="M76" s="1">
        <f t="shared" si="5"/>
        <v>246.09602475915304</v>
      </c>
    </row>
    <row r="77" spans="1:19" x14ac:dyDescent="0.3">
      <c r="A77" s="1">
        <v>75</v>
      </c>
      <c r="C77" s="1" t="s">
        <v>15</v>
      </c>
      <c r="D77" s="1">
        <v>17.600000000000001</v>
      </c>
      <c r="E77" s="1">
        <v>137</v>
      </c>
      <c r="F77" s="1">
        <v>0</v>
      </c>
      <c r="G77" s="1">
        <v>0.51357161452022115</v>
      </c>
      <c r="H77" s="1">
        <v>2.0390542847388176</v>
      </c>
      <c r="I77" s="1">
        <v>469.91026742828859</v>
      </c>
      <c r="J77" s="1" t="s">
        <v>16</v>
      </c>
      <c r="K77" s="1">
        <f t="shared" si="3"/>
        <v>0.60315018797333186</v>
      </c>
      <c r="L77" s="1">
        <f t="shared" si="4"/>
        <v>1.0263050318505886</v>
      </c>
      <c r="M77" s="1">
        <f t="shared" si="5"/>
        <v>236.2290480702481</v>
      </c>
      <c r="N77" s="1">
        <f>SLOPE(K77:K80,F77:F80)</f>
        <v>-7.3071676867251687E-4</v>
      </c>
      <c r="O77" s="1">
        <f>SLOPE(L77:L80,F77:F80)</f>
        <v>3.2535342249425894E-4</v>
      </c>
      <c r="P77" s="1">
        <f>SLOPE(M77:M80,F77:F80)</f>
        <v>0.24543076247248033</v>
      </c>
      <c r="Q77" s="1">
        <f>(N77*41.35/0.31*60)/1000</f>
        <v>-5.8480913002468202E-3</v>
      </c>
      <c r="R77" s="1">
        <f>O77*41.35/0.31*60/1000</f>
        <v>2.6038769071234078E-3</v>
      </c>
      <c r="S77" s="1">
        <f>(P77*41.35/0.31*60)/1000</f>
        <v>1.9642378119168509</v>
      </c>
    </row>
    <row r="78" spans="1:19" x14ac:dyDescent="0.3">
      <c r="A78" s="1">
        <v>76</v>
      </c>
      <c r="C78" s="1" t="s">
        <v>15</v>
      </c>
      <c r="D78" s="1">
        <v>17.600000000000001</v>
      </c>
      <c r="E78" s="1">
        <v>138</v>
      </c>
      <c r="F78" s="1">
        <v>15</v>
      </c>
      <c r="G78" s="1">
        <v>0.47600461504479108</v>
      </c>
      <c r="H78" s="1">
        <v>2.0471344030954808</v>
      </c>
      <c r="I78" s="1">
        <v>481.53806353509458</v>
      </c>
      <c r="J78" s="1" t="s">
        <v>16</v>
      </c>
      <c r="K78" s="1">
        <f t="shared" si="3"/>
        <v>0.55903064913089151</v>
      </c>
      <c r="L78" s="1">
        <f t="shared" si="4"/>
        <v>1.0303719496317669</v>
      </c>
      <c r="M78" s="1">
        <f t="shared" si="5"/>
        <v>242.07446877258442</v>
      </c>
    </row>
    <row r="79" spans="1:19" x14ac:dyDescent="0.3">
      <c r="A79" s="1">
        <v>77</v>
      </c>
      <c r="C79" s="1" t="s">
        <v>15</v>
      </c>
      <c r="D79" s="1">
        <v>17.600000000000001</v>
      </c>
      <c r="E79" s="1">
        <v>139</v>
      </c>
      <c r="F79" s="1">
        <v>30</v>
      </c>
      <c r="G79" s="1">
        <v>0.47733760622016891</v>
      </c>
      <c r="H79" s="1">
        <v>2.0350142255604862</v>
      </c>
      <c r="I79" s="1">
        <v>486.71436447497172</v>
      </c>
      <c r="J79" s="1" t="s">
        <v>16</v>
      </c>
      <c r="K79" s="1">
        <f t="shared" si="3"/>
        <v>0.56059614429313298</v>
      </c>
      <c r="L79" s="1">
        <f t="shared" si="4"/>
        <v>1.0242715729599998</v>
      </c>
      <c r="M79" s="1">
        <f t="shared" si="5"/>
        <v>244.67665205801117</v>
      </c>
    </row>
    <row r="80" spans="1:19" x14ac:dyDescent="0.3">
      <c r="A80" s="1">
        <v>78</v>
      </c>
      <c r="C80" s="1" t="s">
        <v>15</v>
      </c>
      <c r="D80" s="1">
        <v>17.600000000000001</v>
      </c>
      <c r="E80" s="1">
        <v>140</v>
      </c>
      <c r="F80" s="1">
        <v>45</v>
      </c>
      <c r="G80" s="1">
        <v>0.48201767012788238</v>
      </c>
      <c r="H80" s="1">
        <v>2.0754148173438023</v>
      </c>
      <c r="I80" s="1">
        <v>492.59555637710673</v>
      </c>
      <c r="J80" s="1" t="s">
        <v>16</v>
      </c>
      <c r="K80" s="1">
        <f t="shared" si="3"/>
        <v>0.56609251781895886</v>
      </c>
      <c r="L80" s="1">
        <f t="shared" si="4"/>
        <v>1.0446061618658906</v>
      </c>
      <c r="M80" s="1">
        <f t="shared" si="5"/>
        <v>247.63319176539653</v>
      </c>
    </row>
    <row r="81" spans="1:19" x14ac:dyDescent="0.3">
      <c r="A81" s="1">
        <v>79</v>
      </c>
      <c r="C81" s="1" t="s">
        <v>15</v>
      </c>
      <c r="D81" s="1">
        <v>17.600000000000001</v>
      </c>
      <c r="E81" s="1">
        <v>141</v>
      </c>
      <c r="F81" s="1">
        <v>0</v>
      </c>
      <c r="G81" s="1">
        <v>0.44303984057632245</v>
      </c>
      <c r="H81" s="1">
        <v>2.0444410303099261</v>
      </c>
      <c r="I81" s="1">
        <v>441.79305774009322</v>
      </c>
      <c r="J81" s="1" t="s">
        <v>16</v>
      </c>
      <c r="K81" s="1">
        <f t="shared" si="3"/>
        <v>0.5203160680383796</v>
      </c>
      <c r="L81" s="1">
        <f t="shared" si="4"/>
        <v>1.0290163103713741</v>
      </c>
      <c r="M81" s="1">
        <f t="shared" si="5"/>
        <v>222.09421821138025</v>
      </c>
      <c r="N81" s="1">
        <f>SLOPE(K81:K84,F81:F84)</f>
        <v>1.2592523129854787E-3</v>
      </c>
      <c r="O81" s="1">
        <f>SLOPE(L81:L84,F81:F84)</f>
        <v>-1.0393234329677536E-4</v>
      </c>
      <c r="P81" s="1">
        <f>SLOPE(M81:M84,F81:F84)</f>
        <v>0.50879676252889006</v>
      </c>
      <c r="Q81" s="1">
        <f>(N81*41.35/0.31*60)/1000</f>
        <v>1.0078080608119266E-2</v>
      </c>
      <c r="R81" s="1">
        <f>O81*41.35/0.31*60/1000</f>
        <v>-8.3179401199774087E-4</v>
      </c>
      <c r="S81" s="1">
        <f>(P81*41.35/0.31*60)/1000</f>
        <v>4.0720153801102459</v>
      </c>
    </row>
    <row r="82" spans="1:19" x14ac:dyDescent="0.3">
      <c r="A82" s="1">
        <v>80</v>
      </c>
      <c r="C82" s="1" t="s">
        <v>15</v>
      </c>
      <c r="D82" s="1">
        <v>17.600000000000001</v>
      </c>
      <c r="E82" s="1">
        <v>142</v>
      </c>
      <c r="F82" s="1">
        <v>15</v>
      </c>
      <c r="G82" s="1">
        <v>0.49665138346925697</v>
      </c>
      <c r="H82" s="1">
        <v>2.0323208527749319</v>
      </c>
      <c r="I82" s="1">
        <v>493.3023838529972</v>
      </c>
      <c r="J82" s="1" t="s">
        <v>16</v>
      </c>
      <c r="K82" s="1">
        <f t="shared" si="3"/>
        <v>0.58327868368765368</v>
      </c>
      <c r="L82" s="1">
        <f t="shared" si="4"/>
        <v>1.0229159336996072</v>
      </c>
      <c r="M82" s="1">
        <f t="shared" si="5"/>
        <v>247.98852169400888</v>
      </c>
    </row>
    <row r="83" spans="1:19" x14ac:dyDescent="0.3">
      <c r="A83" s="1">
        <v>81</v>
      </c>
      <c r="C83" s="1" t="s">
        <v>15</v>
      </c>
      <c r="D83" s="1">
        <v>17.600000000000001</v>
      </c>
      <c r="E83" s="1">
        <v>143</v>
      </c>
      <c r="F83" s="1">
        <v>30</v>
      </c>
      <c r="G83" s="1">
        <v>0.50246011143787439</v>
      </c>
      <c r="H83" s="1">
        <v>2.0255874208110458</v>
      </c>
      <c r="I83" s="1">
        <v>489.74500830995402</v>
      </c>
      <c r="J83" s="1" t="s">
        <v>16</v>
      </c>
      <c r="K83" s="1">
        <f t="shared" si="3"/>
        <v>0.59010058596399073</v>
      </c>
      <c r="L83" s="1">
        <f t="shared" si="4"/>
        <v>1.0195268355486251</v>
      </c>
      <c r="M83" s="1">
        <f t="shared" si="5"/>
        <v>246.20018997110239</v>
      </c>
    </row>
    <row r="84" spans="1:19" x14ac:dyDescent="0.3">
      <c r="A84" s="1">
        <v>82</v>
      </c>
      <c r="C84" s="1" t="s">
        <v>15</v>
      </c>
      <c r="D84" s="1">
        <v>17.600000000000001</v>
      </c>
      <c r="E84" s="1">
        <v>144</v>
      </c>
      <c r="F84" s="1">
        <v>45</v>
      </c>
      <c r="G84" s="1">
        <v>0.49471514081305107</v>
      </c>
      <c r="H84" s="1">
        <v>2.0363609119532633</v>
      </c>
      <c r="I84" s="1">
        <v>493.58414658653709</v>
      </c>
      <c r="J84" s="1" t="s">
        <v>16</v>
      </c>
      <c r="K84" s="1">
        <f t="shared" si="3"/>
        <v>0.58100471626220784</v>
      </c>
      <c r="L84" s="1">
        <f t="shared" si="4"/>
        <v>1.024949392590196</v>
      </c>
      <c r="M84" s="1">
        <f t="shared" si="5"/>
        <v>248.13016691212692</v>
      </c>
    </row>
    <row r="85" spans="1:19" x14ac:dyDescent="0.3">
      <c r="A85" s="1">
        <v>83</v>
      </c>
      <c r="C85" s="1" t="s">
        <v>15</v>
      </c>
      <c r="D85" s="1">
        <v>17.600000000000001</v>
      </c>
      <c r="E85" s="1">
        <v>145</v>
      </c>
      <c r="F85" s="1">
        <v>0</v>
      </c>
      <c r="G85" s="1">
        <v>0.51339647699352919</v>
      </c>
      <c r="H85" s="1">
        <v>2.0323208527749319</v>
      </c>
      <c r="I85" s="1">
        <v>486.33674431661927</v>
      </c>
      <c r="J85" s="1" t="s">
        <v>16</v>
      </c>
      <c r="K85" s="1">
        <f t="shared" si="3"/>
        <v>0.60294450247756293</v>
      </c>
      <c r="L85" s="1">
        <f t="shared" si="4"/>
        <v>1.0229159336996072</v>
      </c>
      <c r="M85" s="1">
        <f t="shared" si="5"/>
        <v>244.48681826053331</v>
      </c>
      <c r="N85" s="1">
        <f>SLOPE(K85:K88,F85:F88)</f>
        <v>4.9714946125488661E-4</v>
      </c>
      <c r="O85" s="1">
        <f>SLOPE(L85:L88,F85:F88)</f>
        <v>4.9706772881065984E-4</v>
      </c>
      <c r="P85" s="1">
        <f>SLOPE(M85:M88,F85:F88)</f>
        <v>0.33119345364412683</v>
      </c>
      <c r="Q85" s="1">
        <f>(N85*41.35/0.31*60)/1000</f>
        <v>3.9787993979786248E-3</v>
      </c>
      <c r="R85" s="1">
        <f>O85*41.35/0.31*60/1000</f>
        <v>3.978145274771765E-3</v>
      </c>
      <c r="S85" s="1">
        <f>(P85*41.35/0.31*60)/1000</f>
        <v>2.6506159951325121</v>
      </c>
    </row>
    <row r="86" spans="1:19" x14ac:dyDescent="0.3">
      <c r="A86" s="1">
        <v>84</v>
      </c>
      <c r="C86" s="1" t="s">
        <v>15</v>
      </c>
      <c r="D86" s="1">
        <v>17.600000000000001</v>
      </c>
      <c r="E86" s="1">
        <v>146</v>
      </c>
      <c r="F86" s="1">
        <v>15</v>
      </c>
      <c r="G86" s="1">
        <v>0.50006656523975057</v>
      </c>
      <c r="H86" s="1">
        <v>2.0282807935966001</v>
      </c>
      <c r="I86" s="1">
        <v>495.16240519708697</v>
      </c>
      <c r="J86" s="1" t="s">
        <v>16</v>
      </c>
      <c r="K86" s="1">
        <f t="shared" si="3"/>
        <v>0.58728955085514822</v>
      </c>
      <c r="L86" s="1">
        <f t="shared" si="4"/>
        <v>1.0208824748090179</v>
      </c>
      <c r="M86" s="1">
        <f t="shared" si="5"/>
        <v>248.92357483491884</v>
      </c>
    </row>
    <row r="87" spans="1:19" x14ac:dyDescent="0.3">
      <c r="A87" s="1">
        <v>85</v>
      </c>
      <c r="C87" s="1" t="s">
        <v>15</v>
      </c>
      <c r="D87" s="1">
        <v>17.600000000000001</v>
      </c>
      <c r="E87" s="1">
        <v>147</v>
      </c>
      <c r="F87" s="1">
        <v>30</v>
      </c>
      <c r="G87" s="1">
        <v>0.50369580398731217</v>
      </c>
      <c r="H87" s="1">
        <v>2.0228940480254911</v>
      </c>
      <c r="I87" s="1">
        <v>478.22372045293974</v>
      </c>
      <c r="J87" s="1" t="s">
        <v>16</v>
      </c>
      <c r="K87" s="1">
        <f t="shared" si="3"/>
        <v>0.59155181140636037</v>
      </c>
      <c r="L87" s="1">
        <f t="shared" si="4"/>
        <v>1.0181711962882325</v>
      </c>
      <c r="M87" s="1">
        <f t="shared" si="5"/>
        <v>240.40831213472137</v>
      </c>
    </row>
    <row r="88" spans="1:19" x14ac:dyDescent="0.3">
      <c r="A88" s="1">
        <v>86</v>
      </c>
      <c r="C88" s="1" t="s">
        <v>15</v>
      </c>
      <c r="D88" s="1">
        <v>17.600000000000001</v>
      </c>
      <c r="E88" s="1">
        <v>148</v>
      </c>
      <c r="F88" s="1">
        <v>45</v>
      </c>
      <c r="G88" s="1">
        <v>0.5333524251738212</v>
      </c>
      <c r="H88" s="1">
        <v>2.0834949357004655</v>
      </c>
      <c r="I88" s="1">
        <v>524.9237149593398</v>
      </c>
      <c r="J88" s="1" t="s">
        <v>16</v>
      </c>
      <c r="K88" s="1">
        <f t="shared" si="3"/>
        <v>0.62638122202323654</v>
      </c>
      <c r="L88" s="1">
        <f t="shared" si="4"/>
        <v>1.0486730796470687</v>
      </c>
      <c r="M88" s="1">
        <f t="shared" si="5"/>
        <v>263.88491184280548</v>
      </c>
    </row>
    <row r="89" spans="1:19" x14ac:dyDescent="0.3">
      <c r="A89" s="1">
        <v>87</v>
      </c>
      <c r="C89" s="1" t="s">
        <v>15</v>
      </c>
      <c r="D89" s="1">
        <v>17.600000000000001</v>
      </c>
      <c r="E89" s="1">
        <v>149</v>
      </c>
      <c r="F89" s="1">
        <v>0</v>
      </c>
      <c r="G89" s="1">
        <v>0.51796951241270872</v>
      </c>
      <c r="H89" s="1">
        <v>2.0646413262015844</v>
      </c>
      <c r="I89" s="1">
        <v>438.63266749172828</v>
      </c>
      <c r="J89" s="1" t="s">
        <v>16</v>
      </c>
      <c r="K89" s="1">
        <f t="shared" si="3"/>
        <v>0.60831517931153012</v>
      </c>
      <c r="L89" s="1">
        <f t="shared" si="4"/>
        <v>1.0391836048243195</v>
      </c>
      <c r="M89" s="1">
        <f t="shared" si="5"/>
        <v>220.50545535248898</v>
      </c>
      <c r="N89" s="1">
        <f>SLOPE(K89:K92,F89:F92)</f>
        <v>7.6911139454938944E-3</v>
      </c>
      <c r="O89" s="1">
        <f>SLOPE(L89:L92,F89:F92)</f>
        <v>-8.4953393651276813E-4</v>
      </c>
      <c r="P89" s="1">
        <f>SLOPE(M89:M92,F89:F92)</f>
        <v>0.44480168013469967</v>
      </c>
      <c r="Q89" s="1">
        <f>(N89*41.35/0.31*60)/1000</f>
        <v>6.1553721608936615E-2</v>
      </c>
      <c r="R89" s="1">
        <f>O89*41.35/0.31*60/1000</f>
        <v>-6.7990119241554117E-3</v>
      </c>
      <c r="S89" s="1">
        <f>(P89*41.35/0.31*60)/1000</f>
        <v>3.5598482852070648</v>
      </c>
    </row>
    <row r="90" spans="1:19" x14ac:dyDescent="0.3">
      <c r="A90" s="1">
        <v>88</v>
      </c>
      <c r="C90" s="1" t="s">
        <v>15</v>
      </c>
      <c r="D90" s="1">
        <v>17.600000000000001</v>
      </c>
      <c r="E90" s="1">
        <v>150</v>
      </c>
      <c r="F90" s="1">
        <v>15</v>
      </c>
      <c r="G90" s="1">
        <v>0.69921739281372208</v>
      </c>
      <c r="H90" s="1">
        <v>2.0363609119532633</v>
      </c>
      <c r="I90" s="1">
        <v>479.64996274333242</v>
      </c>
      <c r="J90" s="1" t="s">
        <v>16</v>
      </c>
      <c r="K90" s="1">
        <f t="shared" si="3"/>
        <v>0.8211768134884222</v>
      </c>
      <c r="L90" s="1">
        <f t="shared" si="4"/>
        <v>1.024949392590196</v>
      </c>
      <c r="M90" s="1">
        <f t="shared" si="5"/>
        <v>241.1252997851953</v>
      </c>
    </row>
    <row r="91" spans="1:19" x14ac:dyDescent="0.3">
      <c r="A91" s="1">
        <v>89</v>
      </c>
      <c r="C91" s="1" t="s">
        <v>15</v>
      </c>
      <c r="D91" s="1">
        <v>17.600000000000001</v>
      </c>
      <c r="E91" s="1">
        <v>151</v>
      </c>
      <c r="F91" s="1">
        <v>30</v>
      </c>
      <c r="G91" s="1">
        <v>0.8177368490712239</v>
      </c>
      <c r="H91" s="1">
        <v>2.0175073024543821</v>
      </c>
      <c r="I91" s="1">
        <v>478.97508774237946</v>
      </c>
      <c r="J91" s="1" t="s">
        <v>16</v>
      </c>
      <c r="K91" s="1">
        <f t="shared" si="3"/>
        <v>0.96036875926406762</v>
      </c>
      <c r="L91" s="1">
        <f t="shared" si="4"/>
        <v>1.015459917767447</v>
      </c>
      <c r="M91" s="1">
        <f t="shared" si="5"/>
        <v>240.78603271636956</v>
      </c>
    </row>
    <row r="92" spans="1:19" x14ac:dyDescent="0.3">
      <c r="A92" s="1">
        <v>90</v>
      </c>
      <c r="C92" s="1" t="s">
        <v>15</v>
      </c>
      <c r="D92" s="1">
        <v>17.600000000000001</v>
      </c>
      <c r="E92" s="1">
        <v>152</v>
      </c>
      <c r="F92" s="1">
        <v>45</v>
      </c>
      <c r="G92" s="1">
        <v>0.80590533615692128</v>
      </c>
      <c r="H92" s="1">
        <v>1.9865335154205064</v>
      </c>
      <c r="I92" s="1">
        <v>483.09792526613501</v>
      </c>
      <c r="J92" s="1" t="s">
        <v>16</v>
      </c>
      <c r="K92" s="1">
        <f t="shared" si="3"/>
        <v>0.94647356132767635</v>
      </c>
      <c r="L92" s="1">
        <f t="shared" si="4"/>
        <v>0.99987006627293074</v>
      </c>
      <c r="M92" s="1">
        <f t="shared" si="5"/>
        <v>242.85862838216588</v>
      </c>
    </row>
    <row r="93" spans="1:19" x14ac:dyDescent="0.3">
      <c r="A93" s="1">
        <v>91</v>
      </c>
      <c r="C93" s="1" t="s">
        <v>15</v>
      </c>
      <c r="D93" s="1">
        <v>17.600000000000001</v>
      </c>
      <c r="E93" s="1">
        <v>153</v>
      </c>
      <c r="F93" s="1">
        <v>0</v>
      </c>
      <c r="G93" s="1">
        <v>0.49886006227809471</v>
      </c>
      <c r="H93" s="1">
        <v>2.0323208527749319</v>
      </c>
      <c r="I93" s="1">
        <v>458.71625037517981</v>
      </c>
      <c r="J93" s="1" t="s">
        <v>16</v>
      </c>
      <c r="K93" s="1">
        <f t="shared" si="3"/>
        <v>0.58587260632873983</v>
      </c>
      <c r="L93" s="1">
        <f t="shared" si="4"/>
        <v>1.0229159336996072</v>
      </c>
      <c r="M93" s="1">
        <f t="shared" si="5"/>
        <v>230.60169285834789</v>
      </c>
      <c r="N93" s="1">
        <f>SLOPE(K93:K96,F93:F96)</f>
        <v>1.0116679199302569E-3</v>
      </c>
      <c r="O93" s="1">
        <f>SLOPE(L93:L96,F93:F96)</f>
        <v>-1.1296993836606539E-4</v>
      </c>
      <c r="P93" s="1">
        <f>SLOPE(M93:M96,F93:F96)</f>
        <v>0.36789789951201762</v>
      </c>
      <c r="Q93" s="1">
        <f>(N93*41.35/0.31*60)/1000</f>
        <v>8.0966068043450568E-3</v>
      </c>
      <c r="R93" s="1">
        <f>O93*41.35/0.31*60/1000</f>
        <v>-9.0412392608454266E-4</v>
      </c>
      <c r="S93" s="1">
        <f>(P93*41.35/0.31*60)/1000</f>
        <v>2.944369963513922</v>
      </c>
    </row>
    <row r="94" spans="1:19" x14ac:dyDescent="0.3">
      <c r="A94" s="1">
        <v>92</v>
      </c>
      <c r="C94" s="1" t="s">
        <v>15</v>
      </c>
      <c r="D94" s="1">
        <v>17.600000000000001</v>
      </c>
      <c r="E94" s="1">
        <v>154</v>
      </c>
      <c r="F94" s="1">
        <v>15</v>
      </c>
      <c r="G94" s="1">
        <v>0.47171374564083751</v>
      </c>
      <c r="H94" s="1">
        <v>2.0457877167027037</v>
      </c>
      <c r="I94" s="1">
        <v>484.08361070511643</v>
      </c>
      <c r="J94" s="1" t="s">
        <v>16</v>
      </c>
      <c r="K94" s="1">
        <f t="shared" si="3"/>
        <v>0.55399135448455217</v>
      </c>
      <c r="L94" s="1">
        <f t="shared" si="4"/>
        <v>1.0296941300015705</v>
      </c>
      <c r="M94" s="1">
        <f t="shared" si="5"/>
        <v>243.35414326891566</v>
      </c>
    </row>
    <row r="95" spans="1:19" x14ac:dyDescent="0.3">
      <c r="A95" s="1">
        <v>93</v>
      </c>
      <c r="C95" s="1" t="s">
        <v>15</v>
      </c>
      <c r="D95" s="1">
        <v>17.600000000000001</v>
      </c>
      <c r="E95" s="1">
        <v>155</v>
      </c>
      <c r="F95" s="1">
        <v>30</v>
      </c>
      <c r="G95" s="1">
        <v>0.48060684005175253</v>
      </c>
      <c r="H95" s="1">
        <v>2.016160616061605</v>
      </c>
      <c r="I95" s="1">
        <v>477.22254290489769</v>
      </c>
      <c r="J95" s="1" t="s">
        <v>16</v>
      </c>
      <c r="K95" s="1">
        <f t="shared" si="3"/>
        <v>0.56443560688082006</v>
      </c>
      <c r="L95" s="1">
        <f t="shared" si="4"/>
        <v>1.0147820981372506</v>
      </c>
      <c r="M95" s="1">
        <f t="shared" si="5"/>
        <v>239.90500919474172</v>
      </c>
    </row>
    <row r="96" spans="1:19" x14ac:dyDescent="0.3">
      <c r="A96" s="1">
        <v>94</v>
      </c>
      <c r="C96" s="1" t="s">
        <v>15</v>
      </c>
      <c r="D96" s="1">
        <v>17.600000000000001</v>
      </c>
      <c r="E96" s="1">
        <v>156</v>
      </c>
      <c r="F96" s="1">
        <v>45</v>
      </c>
      <c r="G96" s="1">
        <v>0.53896655589055853</v>
      </c>
      <c r="H96" s="1">
        <v>2.0309741663821543</v>
      </c>
      <c r="I96" s="1">
        <v>497.59466631960311</v>
      </c>
      <c r="J96" s="1" t="s">
        <v>16</v>
      </c>
      <c r="K96" s="1">
        <f t="shared" si="3"/>
        <v>0.63297458485983005</v>
      </c>
      <c r="L96" s="1">
        <f t="shared" si="4"/>
        <v>1.0222381140694106</v>
      </c>
      <c r="M96" s="1">
        <f t="shared" si="5"/>
        <v>250.14629919200675</v>
      </c>
    </row>
    <row r="97" spans="1:19" x14ac:dyDescent="0.3">
      <c r="A97" s="1">
        <v>95</v>
      </c>
      <c r="C97" s="1" t="s">
        <v>15</v>
      </c>
      <c r="D97" s="1">
        <v>17.600000000000001</v>
      </c>
      <c r="E97" s="1">
        <v>157</v>
      </c>
      <c r="F97" s="1">
        <v>0</v>
      </c>
      <c r="G97" s="1">
        <v>0.50951426181852366</v>
      </c>
      <c r="H97" s="1">
        <v>2.0323208527749319</v>
      </c>
      <c r="I97" s="1">
        <v>459.77745984583174</v>
      </c>
      <c r="J97" s="1" t="s">
        <v>16</v>
      </c>
      <c r="K97" s="1">
        <f t="shared" si="3"/>
        <v>0.59838514065468462</v>
      </c>
      <c r="L97" s="1">
        <f t="shared" si="4"/>
        <v>1.0229159336996072</v>
      </c>
      <c r="M97" s="1">
        <f t="shared" si="5"/>
        <v>231.13517450459321</v>
      </c>
      <c r="N97" s="1">
        <f>SLOPE(K97:K100,F97:F100)</f>
        <v>1.8672434025158561E-3</v>
      </c>
      <c r="O97" s="1">
        <f>SLOPE(L97:L100,F97:F100)</f>
        <v>-8.5857153158210115E-5</v>
      </c>
      <c r="P97" s="1">
        <f>SLOPE(M97:M100,F97:F100)</f>
        <v>0.48406969352408658</v>
      </c>
      <c r="Q97" s="1">
        <f>(N97*41.35/0.31*60)/1000</f>
        <v>1.4943970585941418E-2</v>
      </c>
      <c r="R97" s="1">
        <f>O97*41.35/0.31*60/1000</f>
        <v>-6.8713418382425578E-4</v>
      </c>
      <c r="S97" s="1">
        <f>(P97*41.35/0.31*60)/1000</f>
        <v>3.8741190633330924</v>
      </c>
    </row>
    <row r="98" spans="1:19" x14ac:dyDescent="0.3">
      <c r="A98" s="1">
        <v>96</v>
      </c>
      <c r="C98" s="1" t="s">
        <v>15</v>
      </c>
      <c r="D98" s="1">
        <v>17.600000000000001</v>
      </c>
      <c r="E98" s="1">
        <v>158</v>
      </c>
      <c r="F98" s="1">
        <v>15</v>
      </c>
      <c r="G98" s="1">
        <v>0.57170754351936526</v>
      </c>
      <c r="H98" s="1">
        <v>2.0175073024543821</v>
      </c>
      <c r="I98" s="1">
        <v>496.36304364928441</v>
      </c>
      <c r="J98" s="1" t="s">
        <v>16</v>
      </c>
      <c r="K98" s="1">
        <f t="shared" si="3"/>
        <v>0.67142634559663728</v>
      </c>
      <c r="L98" s="1">
        <f t="shared" si="4"/>
        <v>1.015459917767447</v>
      </c>
      <c r="M98" s="1">
        <f t="shared" si="5"/>
        <v>249.52714896023292</v>
      </c>
    </row>
    <row r="99" spans="1:19" x14ac:dyDescent="0.3">
      <c r="A99" s="1">
        <v>97</v>
      </c>
      <c r="C99" s="1" t="s">
        <v>15</v>
      </c>
      <c r="D99" s="1">
        <v>17.600000000000001</v>
      </c>
      <c r="E99" s="1">
        <v>159</v>
      </c>
      <c r="F99" s="1">
        <v>30</v>
      </c>
      <c r="G99" s="1">
        <v>0.51952629042774856</v>
      </c>
      <c r="H99" s="1">
        <v>2.0121205568832736</v>
      </c>
      <c r="I99" s="1">
        <v>491.0424724437803</v>
      </c>
      <c r="J99" s="1" t="s">
        <v>16</v>
      </c>
      <c r="K99" s="1">
        <f t="shared" si="3"/>
        <v>0.61014349482947638</v>
      </c>
      <c r="L99" s="1">
        <f t="shared" si="4"/>
        <v>1.0127486392466618</v>
      </c>
      <c r="M99" s="1">
        <f t="shared" si="5"/>
        <v>246.8524394291031</v>
      </c>
    </row>
    <row r="100" spans="1:19" x14ac:dyDescent="0.3">
      <c r="A100" s="1">
        <v>98</v>
      </c>
      <c r="C100" s="1" t="s">
        <v>15</v>
      </c>
      <c r="D100" s="1">
        <v>17.600000000000001</v>
      </c>
      <c r="E100" s="1">
        <v>160</v>
      </c>
      <c r="F100" s="1">
        <v>45</v>
      </c>
      <c r="G100" s="1">
        <v>0.60640423352956574</v>
      </c>
      <c r="H100" s="1">
        <v>2.0255874208110458</v>
      </c>
      <c r="I100" s="1">
        <v>509.69690826639032</v>
      </c>
      <c r="J100" s="1" t="s">
        <v>16</v>
      </c>
      <c r="K100" s="1">
        <f t="shared" si="3"/>
        <v>0.71217492770286439</v>
      </c>
      <c r="L100" s="1">
        <f t="shared" si="4"/>
        <v>1.0195268355486251</v>
      </c>
      <c r="M100" s="1">
        <f t="shared" si="5"/>
        <v>256.23022902450748</v>
      </c>
    </row>
    <row r="101" spans="1:19" x14ac:dyDescent="0.3">
      <c r="A101" s="1">
        <v>99</v>
      </c>
      <c r="C101" s="1" t="s">
        <v>15</v>
      </c>
      <c r="D101" s="1">
        <v>17.600000000000001</v>
      </c>
      <c r="E101" s="1">
        <v>161</v>
      </c>
      <c r="F101" s="1">
        <v>0</v>
      </c>
      <c r="G101" s="1">
        <v>0.42919424610506185</v>
      </c>
      <c r="H101" s="1">
        <v>2.0026937521338328</v>
      </c>
      <c r="I101" s="1">
        <v>423.84738590700624</v>
      </c>
      <c r="J101" s="1" t="s">
        <v>129</v>
      </c>
      <c r="K101" s="1">
        <f t="shared" si="3"/>
        <v>0.50405548690064517</v>
      </c>
      <c r="L101" s="1">
        <f t="shared" si="4"/>
        <v>1.0080039018352869</v>
      </c>
      <c r="M101" s="1">
        <f t="shared" si="5"/>
        <v>213.0727320512419</v>
      </c>
      <c r="N101" s="1">
        <f>SLOPE(K101:K104,F101:F104)</f>
        <v>5.8429916761032857E-5</v>
      </c>
      <c r="O101" s="1">
        <f>SLOPE(L101:L104,F101:F104)</f>
        <v>-9.9413545762129613E-5</v>
      </c>
      <c r="P101" s="1">
        <f>SLOPE(M101:M104,F101:F104)</f>
        <v>1.2603146940107062</v>
      </c>
      <c r="Q101" s="1">
        <f>(N101*41.35/0.31*60)/1000</f>
        <v>4.6762781769071784E-4</v>
      </c>
      <c r="R101" s="1">
        <f>O101*41.35/0.31*60/1000</f>
        <v>-7.9562905495433411E-4</v>
      </c>
      <c r="S101" s="1">
        <f>(P101*41.35/0.31*60)/1000</f>
        <v>10.086583083356652</v>
      </c>
    </row>
    <row r="102" spans="1:19" x14ac:dyDescent="0.3">
      <c r="A102" s="1">
        <v>100</v>
      </c>
      <c r="C102" s="1" t="s">
        <v>15</v>
      </c>
      <c r="D102" s="1">
        <v>17.600000000000001</v>
      </c>
      <c r="E102" s="1">
        <v>162</v>
      </c>
      <c r="F102" s="1">
        <v>15</v>
      </c>
      <c r="G102" s="1">
        <v>0.42737476179998407</v>
      </c>
      <c r="H102" s="1">
        <v>2.0013470657410557</v>
      </c>
      <c r="I102" s="1">
        <v>530.04773003113746</v>
      </c>
      <c r="J102" s="1" t="s">
        <v>129</v>
      </c>
      <c r="K102" s="1">
        <f t="shared" si="3"/>
        <v>0.50191864313904555</v>
      </c>
      <c r="L102" s="1">
        <f t="shared" si="4"/>
        <v>1.0073260822050905</v>
      </c>
      <c r="M102" s="1">
        <f t="shared" si="5"/>
        <v>266.46081044858153</v>
      </c>
    </row>
    <row r="103" spans="1:19" x14ac:dyDescent="0.3">
      <c r="A103" s="1">
        <v>101</v>
      </c>
      <c r="C103" s="1" t="s">
        <v>15</v>
      </c>
      <c r="D103" s="1">
        <v>17.600000000000001</v>
      </c>
      <c r="E103" s="1">
        <v>163</v>
      </c>
      <c r="F103" s="1">
        <v>30</v>
      </c>
      <c r="G103" s="1">
        <v>0.43381593083721137</v>
      </c>
      <c r="H103" s="1">
        <v>2.0404009711315947</v>
      </c>
      <c r="I103" s="1">
        <v>548.3603711975976</v>
      </c>
      <c r="J103" s="1" t="s">
        <v>129</v>
      </c>
      <c r="K103" s="1">
        <f t="shared" si="3"/>
        <v>0.50948329859454811</v>
      </c>
      <c r="L103" s="1">
        <f t="shared" si="4"/>
        <v>1.0269828514807851</v>
      </c>
      <c r="M103" s="1">
        <f t="shared" si="5"/>
        <v>275.6667761196021</v>
      </c>
    </row>
    <row r="104" spans="1:19" x14ac:dyDescent="0.3">
      <c r="A104" s="1">
        <v>102</v>
      </c>
      <c r="C104" s="1" t="s">
        <v>15</v>
      </c>
      <c r="D104" s="1">
        <v>17.600000000000001</v>
      </c>
      <c r="E104" s="1">
        <v>164</v>
      </c>
      <c r="F104" s="1">
        <v>45</v>
      </c>
      <c r="G104" s="1">
        <v>0.42953479129585181</v>
      </c>
      <c r="H104" s="1">
        <v>1.9798000834566203</v>
      </c>
      <c r="I104" s="1">
        <v>543.09499063062196</v>
      </c>
      <c r="J104" s="1" t="s">
        <v>129</v>
      </c>
      <c r="K104" s="1">
        <f t="shared" si="3"/>
        <v>0.50445543092019596</v>
      </c>
      <c r="L104" s="1">
        <f t="shared" si="4"/>
        <v>0.99648096812194886</v>
      </c>
      <c r="M104" s="1">
        <f t="shared" si="5"/>
        <v>273.01981152810367</v>
      </c>
    </row>
    <row r="105" spans="1:19" x14ac:dyDescent="0.3">
      <c r="A105" s="1">
        <v>103</v>
      </c>
      <c r="B105" s="1" t="s">
        <v>135</v>
      </c>
      <c r="C105" s="1" t="s">
        <v>15</v>
      </c>
      <c r="D105" s="1">
        <v>19.899999999999999</v>
      </c>
      <c r="E105" s="1">
        <v>133</v>
      </c>
      <c r="F105" s="1">
        <v>0</v>
      </c>
      <c r="G105" s="1">
        <v>0.40350216879181233</v>
      </c>
      <c r="H105" s="1">
        <v>1.8936293655104015</v>
      </c>
      <c r="I105" s="1">
        <v>452.56927544319535</v>
      </c>
      <c r="J105" s="1" t="s">
        <v>129</v>
      </c>
      <c r="K105" s="1">
        <f t="shared" si="3"/>
        <v>0.47016286766059018</v>
      </c>
      <c r="L105" s="1">
        <f t="shared" si="4"/>
        <v>0.94562870675214927</v>
      </c>
      <c r="M105" s="1">
        <f t="shared" si="5"/>
        <v>225.72591904572641</v>
      </c>
      <c r="N105" s="1">
        <f>SLOPE(K105:K108,F105:F108)</f>
        <v>3.8176705545067691E-4</v>
      </c>
      <c r="O105" s="1">
        <f>SLOPE(L105:L108,F105:F108)</f>
        <v>-4.8073076316306124E-4</v>
      </c>
      <c r="P105" s="1">
        <f>SLOPE(M105:M108,F105:F108)</f>
        <v>2.7831496723635567</v>
      </c>
      <c r="Q105" s="1">
        <f>(N105*41.35/0.31*60)/1000</f>
        <v>3.0553679502359011E-3</v>
      </c>
      <c r="R105" s="1">
        <f>O105*41.35/0.31*60/1000</f>
        <v>-3.8473968497017906E-3</v>
      </c>
      <c r="S105" s="1">
        <f>(P105*41.35/0.31*60)/1000</f>
        <v>22.274175281077373</v>
      </c>
    </row>
    <row r="106" spans="1:19" x14ac:dyDescent="0.3">
      <c r="A106" s="1">
        <v>104</v>
      </c>
      <c r="B106" s="1" t="s">
        <v>154</v>
      </c>
      <c r="C106" s="1" t="s">
        <v>15</v>
      </c>
      <c r="D106" s="1">
        <v>19.899999999999999</v>
      </c>
      <c r="E106" s="1">
        <v>134</v>
      </c>
      <c r="F106" s="1">
        <v>15</v>
      </c>
      <c r="G106" s="1">
        <v>0.39942824531875604</v>
      </c>
      <c r="H106" s="1">
        <v>1.8348378946374173</v>
      </c>
      <c r="I106" s="1">
        <v>450.16536649075397</v>
      </c>
      <c r="J106" s="1" t="s">
        <v>129</v>
      </c>
      <c r="K106" s="1">
        <f t="shared" si="3"/>
        <v>0.46541591041756675</v>
      </c>
      <c r="L106" s="1">
        <f t="shared" si="4"/>
        <v>0.91626979228754823</v>
      </c>
      <c r="M106" s="1">
        <f t="shared" si="5"/>
        <v>224.52693231146191</v>
      </c>
    </row>
    <row r="107" spans="1:19" x14ac:dyDescent="0.3">
      <c r="A107" s="1">
        <v>105</v>
      </c>
      <c r="C107" s="1" t="s">
        <v>15</v>
      </c>
      <c r="D107" s="1">
        <v>19.899999999999999</v>
      </c>
      <c r="E107" s="1">
        <v>135</v>
      </c>
      <c r="F107" s="1">
        <v>30</v>
      </c>
      <c r="G107" s="1">
        <v>0.41763149396660049</v>
      </c>
      <c r="H107" s="1">
        <v>1.8451521877730284</v>
      </c>
      <c r="I107" s="1">
        <v>618.42615274755372</v>
      </c>
      <c r="J107" s="1" t="s">
        <v>129</v>
      </c>
      <c r="K107" s="1">
        <f t="shared" si="3"/>
        <v>0.48662643231051117</v>
      </c>
      <c r="L107" s="1">
        <f t="shared" si="4"/>
        <v>0.92142047903572377</v>
      </c>
      <c r="M107" s="1">
        <f t="shared" si="5"/>
        <v>308.44959935503994</v>
      </c>
    </row>
    <row r="108" spans="1:19" x14ac:dyDescent="0.3">
      <c r="A108" s="1">
        <v>106</v>
      </c>
      <c r="C108" s="1" t="s">
        <v>15</v>
      </c>
      <c r="D108" s="1">
        <v>19.899999999999999</v>
      </c>
      <c r="E108" s="1">
        <v>136</v>
      </c>
      <c r="F108" s="1">
        <v>45</v>
      </c>
      <c r="G108" s="1">
        <v>0.41381638445536184</v>
      </c>
      <c r="H108" s="1">
        <v>1.8420578998323451</v>
      </c>
      <c r="I108" s="1">
        <v>675.48620145347934</v>
      </c>
      <c r="J108" s="1" t="s">
        <v>129</v>
      </c>
      <c r="K108" s="1">
        <f t="shared" si="3"/>
        <v>0.48218104646880922</v>
      </c>
      <c r="L108" s="1">
        <f t="shared" si="4"/>
        <v>0.91987527301127103</v>
      </c>
      <c r="M108" s="1">
        <f t="shared" si="5"/>
        <v>336.90918031604491</v>
      </c>
    </row>
    <row r="109" spans="1:19" x14ac:dyDescent="0.3">
      <c r="A109" s="1">
        <v>107</v>
      </c>
      <c r="C109" s="1" t="s">
        <v>15</v>
      </c>
      <c r="D109" s="1">
        <v>19.899999999999999</v>
      </c>
      <c r="E109" s="1">
        <v>137</v>
      </c>
      <c r="F109" s="1">
        <v>0</v>
      </c>
      <c r="G109" s="1">
        <v>0.40246691294454151</v>
      </c>
      <c r="H109" s="1">
        <v>1.8430893291459063</v>
      </c>
      <c r="I109" s="1">
        <v>410.59763046737726</v>
      </c>
      <c r="J109" s="1" t="s">
        <v>16</v>
      </c>
      <c r="K109" s="1">
        <f t="shared" si="3"/>
        <v>0.46895658205530411</v>
      </c>
      <c r="L109" s="1">
        <f t="shared" si="4"/>
        <v>0.92039034168608869</v>
      </c>
      <c r="M109" s="1">
        <f t="shared" si="5"/>
        <v>204.79191258505884</v>
      </c>
      <c r="N109" s="1">
        <f>SLOPE(K109:K112,F109:F112)</f>
        <v>1.6696482018645466E-2</v>
      </c>
      <c r="O109" s="1">
        <f>SLOPE(L109:L112,F109:F112)</f>
        <v>-4.1548873101950284E-4</v>
      </c>
      <c r="P109" s="1">
        <f>SLOPE(M109:M112,F109:F112)</f>
        <v>49.496377318348983</v>
      </c>
      <c r="Q109" s="1">
        <f>(N109*41.35/0.31*60)/1000</f>
        <v>0.13362571576857868</v>
      </c>
      <c r="R109" s="1">
        <f>O109*41.35/0.31*60/1000</f>
        <v>-3.3252501343851177E-3</v>
      </c>
      <c r="S109" s="1">
        <f>(P109*41.35/0.31*60)/1000</f>
        <v>396.13068428007693</v>
      </c>
    </row>
    <row r="110" spans="1:19" x14ac:dyDescent="0.3">
      <c r="A110" s="1">
        <v>108</v>
      </c>
      <c r="C110" s="1" t="s">
        <v>15</v>
      </c>
      <c r="D110" s="1">
        <v>19.899999999999999</v>
      </c>
      <c r="E110" s="1">
        <v>138</v>
      </c>
      <c r="F110" s="1">
        <v>15</v>
      </c>
      <c r="G110" s="1">
        <v>0.42029631920309379</v>
      </c>
      <c r="H110" s="1">
        <v>1.8699064912984955</v>
      </c>
      <c r="I110" s="1">
        <v>485.33526068774535</v>
      </c>
      <c r="J110" s="1" t="s">
        <v>16</v>
      </c>
      <c r="K110" s="1">
        <f t="shared" si="3"/>
        <v>0.48973150081300654</v>
      </c>
      <c r="L110" s="1">
        <f t="shared" si="4"/>
        <v>0.93378212723134524</v>
      </c>
      <c r="M110" s="1">
        <f t="shared" si="5"/>
        <v>242.06846047327207</v>
      </c>
    </row>
    <row r="111" spans="1:19" x14ac:dyDescent="0.3">
      <c r="A111" s="1">
        <v>109</v>
      </c>
      <c r="C111" s="1" t="s">
        <v>15</v>
      </c>
      <c r="D111" s="1">
        <v>19.899999999999999</v>
      </c>
      <c r="E111" s="1">
        <v>139</v>
      </c>
      <c r="F111" s="1">
        <v>30</v>
      </c>
      <c r="G111" s="1">
        <v>0.43673579862966211</v>
      </c>
      <c r="H111" s="1">
        <v>1.8688750619849344</v>
      </c>
      <c r="I111" s="1">
        <v>545.62650788258759</v>
      </c>
      <c r="J111" s="1" t="s">
        <v>16</v>
      </c>
      <c r="K111" s="1">
        <f t="shared" si="3"/>
        <v>0.50888686945250083</v>
      </c>
      <c r="L111" s="1">
        <f t="shared" si="4"/>
        <v>0.93326705855652758</v>
      </c>
      <c r="M111" s="1">
        <f t="shared" si="5"/>
        <v>272.13965160780373</v>
      </c>
    </row>
    <row r="112" spans="1:19" x14ac:dyDescent="0.3">
      <c r="A112" s="1">
        <v>110</v>
      </c>
      <c r="C112" s="1" t="s">
        <v>15</v>
      </c>
      <c r="D112" s="1">
        <v>19.899999999999999</v>
      </c>
      <c r="E112" s="1">
        <v>140</v>
      </c>
      <c r="F112" s="1">
        <v>45</v>
      </c>
      <c r="G112" s="1">
        <v>1.1134480374623266</v>
      </c>
      <c r="H112" s="1">
        <v>1.8018321566034614</v>
      </c>
      <c r="I112" s="1">
        <v>5352.389664464813</v>
      </c>
      <c r="J112" s="1" t="s">
        <v>16</v>
      </c>
      <c r="K112" s="1">
        <f t="shared" si="3"/>
        <v>1.297395560107746</v>
      </c>
      <c r="L112" s="1">
        <f t="shared" si="4"/>
        <v>0.89978759469338609</v>
      </c>
      <c r="M112" s="1">
        <f t="shared" si="5"/>
        <v>2669.587048124331</v>
      </c>
    </row>
    <row r="113" spans="1:19" x14ac:dyDescent="0.3">
      <c r="A113" s="1">
        <v>111</v>
      </c>
      <c r="C113" s="1" t="s">
        <v>15</v>
      </c>
      <c r="D113" s="1">
        <v>19.899999999999999</v>
      </c>
      <c r="E113" s="1">
        <v>141</v>
      </c>
      <c r="F113" s="1">
        <v>0</v>
      </c>
      <c r="G113" s="1">
        <v>0.40741313532594636</v>
      </c>
      <c r="H113" s="1">
        <v>1.8781579258069845</v>
      </c>
      <c r="I113" s="1">
        <v>420.89564256886945</v>
      </c>
      <c r="J113" s="1" t="s">
        <v>16</v>
      </c>
      <c r="K113" s="1">
        <f t="shared" si="3"/>
        <v>0.47471994661389255</v>
      </c>
      <c r="L113" s="1">
        <f t="shared" si="4"/>
        <v>0.93790267662988569</v>
      </c>
      <c r="M113" s="1">
        <f t="shared" si="5"/>
        <v>209.92820524141948</v>
      </c>
      <c r="N113" s="1">
        <f>SLOPE(K113:K116,F113:F116)</f>
        <v>1.9483746387599988E-3</v>
      </c>
      <c r="O113" s="1">
        <f>SLOPE(L113:L116,F113:F116)</f>
        <v>-4.8759834549395658E-4</v>
      </c>
      <c r="P113" s="1">
        <f>SLOPE(M113:M116,F113:F116)</f>
        <v>2.4978021134720727</v>
      </c>
      <c r="Q113" s="1">
        <f>(N113*41.35/0.31*60)/1000</f>
        <v>1.5593282189559861E-2</v>
      </c>
      <c r="R113" s="1">
        <f>O113*41.35/0.31*60/1000</f>
        <v>-3.9023596618403427E-3</v>
      </c>
      <c r="S113" s="1">
        <f>(P113*41.35/0.31*60)/1000</f>
        <v>19.990474333949074</v>
      </c>
    </row>
    <row r="114" spans="1:19" x14ac:dyDescent="0.3">
      <c r="A114" s="1">
        <v>112</v>
      </c>
      <c r="C114" s="1" t="s">
        <v>15</v>
      </c>
      <c r="D114" s="1">
        <v>19.899999999999999</v>
      </c>
      <c r="E114" s="1">
        <v>142</v>
      </c>
      <c r="F114" s="1">
        <v>15</v>
      </c>
      <c r="G114" s="1">
        <v>0.46663360407075055</v>
      </c>
      <c r="H114" s="1">
        <v>1.8523721929679564</v>
      </c>
      <c r="I114" s="1">
        <v>492.01594470513658</v>
      </c>
      <c r="J114" s="1" t="s">
        <v>16</v>
      </c>
      <c r="K114" s="1">
        <f t="shared" si="3"/>
        <v>0.54372395096071247</v>
      </c>
      <c r="L114" s="1">
        <f t="shared" si="4"/>
        <v>0.92502595975944668</v>
      </c>
      <c r="M114" s="1">
        <f t="shared" si="5"/>
        <v>245.40055485418861</v>
      </c>
    </row>
    <row r="115" spans="1:19" x14ac:dyDescent="0.3">
      <c r="A115" s="1">
        <v>113</v>
      </c>
      <c r="C115" s="1" t="s">
        <v>15</v>
      </c>
      <c r="D115" s="1">
        <v>19.899999999999999</v>
      </c>
      <c r="E115" s="1">
        <v>143</v>
      </c>
      <c r="F115" s="1">
        <v>30</v>
      </c>
      <c r="G115" s="1">
        <v>0.56630573647743143</v>
      </c>
      <c r="H115" s="1">
        <v>1.8451521877730284</v>
      </c>
      <c r="I115" s="1">
        <v>638.99191026017922</v>
      </c>
      <c r="J115" s="1" t="s">
        <v>16</v>
      </c>
      <c r="K115" s="1">
        <f t="shared" si="3"/>
        <v>0.65986244840296471</v>
      </c>
      <c r="L115" s="1">
        <f t="shared" si="4"/>
        <v>0.92142047903572377</v>
      </c>
      <c r="M115" s="1">
        <f t="shared" si="5"/>
        <v>318.70708868827597</v>
      </c>
    </row>
    <row r="116" spans="1:19" x14ac:dyDescent="0.3">
      <c r="A116" s="1">
        <v>114</v>
      </c>
      <c r="C116" s="1" t="s">
        <v>15</v>
      </c>
      <c r="D116" s="1">
        <v>19.899999999999999</v>
      </c>
      <c r="E116" s="1">
        <v>144</v>
      </c>
      <c r="F116" s="1">
        <v>45</v>
      </c>
      <c r="G116" s="1">
        <v>0.4577955865597908</v>
      </c>
      <c r="H116" s="1">
        <v>1.8317436066967341</v>
      </c>
      <c r="I116" s="1">
        <v>622.30212345835753</v>
      </c>
      <c r="J116" s="1" t="s">
        <v>16</v>
      </c>
      <c r="K116" s="1">
        <f t="shared" si="3"/>
        <v>0.53342584607114174</v>
      </c>
      <c r="L116" s="1">
        <f t="shared" si="4"/>
        <v>0.9147245862630955</v>
      </c>
      <c r="M116" s="1">
        <f t="shared" si="5"/>
        <v>310.38279963699398</v>
      </c>
    </row>
    <row r="117" spans="1:19" x14ac:dyDescent="0.3">
      <c r="A117" s="1">
        <v>115</v>
      </c>
      <c r="C117" s="1" t="s">
        <v>15</v>
      </c>
      <c r="D117" s="1">
        <v>19.899999999999999</v>
      </c>
      <c r="E117" s="1">
        <v>145</v>
      </c>
      <c r="F117" s="1">
        <v>0</v>
      </c>
      <c r="G117" s="1">
        <v>0.42851126606523315</v>
      </c>
      <c r="H117" s="1">
        <v>1.8895036482561569</v>
      </c>
      <c r="I117" s="1">
        <v>434.19647722293422</v>
      </c>
      <c r="J117" s="1" t="s">
        <v>16</v>
      </c>
      <c r="K117" s="1">
        <f t="shared" si="3"/>
        <v>0.49930360047717359</v>
      </c>
      <c r="L117" s="1">
        <f t="shared" si="4"/>
        <v>0.94356843205287899</v>
      </c>
      <c r="M117" s="1">
        <f t="shared" si="5"/>
        <v>216.56220204428212</v>
      </c>
      <c r="N117" s="1">
        <f>SLOPE(K117:K120,F117:F120)</f>
        <v>1.2371873661620972E-3</v>
      </c>
      <c r="O117" s="1">
        <f>SLOPE(L117:L120,F117:F120)</f>
        <v>-3.8458461053044737E-4</v>
      </c>
      <c r="P117" s="1">
        <f>SLOPE(M117:M120,F117:F120)</f>
        <v>1.7176632415263686</v>
      </c>
      <c r="Q117" s="1">
        <f>(N117*41.35/0.31*60)/1000</f>
        <v>9.901489856284397E-3</v>
      </c>
      <c r="R117" s="1">
        <f>O117*41.35/0.31*60/1000</f>
        <v>-3.0779174797614189E-3</v>
      </c>
      <c r="S117" s="1">
        <f>(P117*41.35/0.31*60)/1000</f>
        <v>13.746846781377162</v>
      </c>
    </row>
    <row r="118" spans="1:19" x14ac:dyDescent="0.3">
      <c r="A118" s="1">
        <v>116</v>
      </c>
      <c r="C118" s="1" t="s">
        <v>15</v>
      </c>
      <c r="D118" s="1">
        <v>19.899999999999999</v>
      </c>
      <c r="E118" s="1">
        <v>146</v>
      </c>
      <c r="F118" s="1">
        <v>15</v>
      </c>
      <c r="G118" s="1">
        <v>0.45214002220895971</v>
      </c>
      <c r="H118" s="1">
        <v>1.8709379206120564</v>
      </c>
      <c r="I118" s="1">
        <v>525.51016486316939</v>
      </c>
      <c r="J118" s="1" t="s">
        <v>16</v>
      </c>
      <c r="K118" s="1">
        <f t="shared" si="3"/>
        <v>0.52683595248670934</v>
      </c>
      <c r="L118" s="1">
        <f t="shared" si="4"/>
        <v>0.93429719590616267</v>
      </c>
      <c r="M118" s="1">
        <f t="shared" si="5"/>
        <v>262.10631469722688</v>
      </c>
    </row>
    <row r="119" spans="1:19" x14ac:dyDescent="0.3">
      <c r="A119" s="1">
        <v>117</v>
      </c>
      <c r="C119" s="1" t="s">
        <v>15</v>
      </c>
      <c r="D119" s="1">
        <v>19.899999999999999</v>
      </c>
      <c r="E119" s="1">
        <v>147</v>
      </c>
      <c r="F119" s="1">
        <v>30</v>
      </c>
      <c r="G119" s="1">
        <v>0.46629810449061648</v>
      </c>
      <c r="H119" s="1">
        <v>1.8668122033578121</v>
      </c>
      <c r="I119" s="1">
        <v>536.03104986639494</v>
      </c>
      <c r="J119" s="1" t="s">
        <v>16</v>
      </c>
      <c r="K119" s="1">
        <f t="shared" si="3"/>
        <v>0.54333302507011061</v>
      </c>
      <c r="L119" s="1">
        <f t="shared" si="4"/>
        <v>0.9322369212068925</v>
      </c>
      <c r="M119" s="1">
        <f t="shared" si="5"/>
        <v>267.35376865706945</v>
      </c>
    </row>
    <row r="120" spans="1:19" x14ac:dyDescent="0.3">
      <c r="A120" s="1">
        <v>118</v>
      </c>
      <c r="C120" s="1" t="s">
        <v>15</v>
      </c>
      <c r="D120" s="1">
        <v>19.899999999999999</v>
      </c>
      <c r="E120" s="1">
        <v>148</v>
      </c>
      <c r="F120" s="1">
        <v>45</v>
      </c>
      <c r="G120" s="1">
        <v>0.4768807198182734</v>
      </c>
      <c r="H120" s="1">
        <v>1.8523721929679564</v>
      </c>
      <c r="I120" s="1">
        <v>602.88099714475788</v>
      </c>
      <c r="J120" s="1" t="s">
        <v>16</v>
      </c>
      <c r="K120" s="1">
        <f t="shared" si="3"/>
        <v>0.55566394459081137</v>
      </c>
      <c r="L120" s="1">
        <f t="shared" si="4"/>
        <v>0.92502595975944668</v>
      </c>
      <c r="M120" s="1">
        <f t="shared" si="5"/>
        <v>300.69621280065303</v>
      </c>
    </row>
    <row r="121" spans="1:19" x14ac:dyDescent="0.3">
      <c r="A121" s="1">
        <v>119</v>
      </c>
      <c r="C121" s="1" t="s">
        <v>15</v>
      </c>
      <c r="D121" s="1">
        <v>19.899999999999999</v>
      </c>
      <c r="E121" s="1">
        <v>149</v>
      </c>
      <c r="F121" s="1">
        <v>0</v>
      </c>
      <c r="G121" s="1">
        <v>0.40671337905880961</v>
      </c>
      <c r="H121" s="1">
        <v>1.8616550567900063</v>
      </c>
      <c r="I121" s="1">
        <v>418.55318416958096</v>
      </c>
      <c r="J121" s="1" t="s">
        <v>16</v>
      </c>
      <c r="K121" s="1">
        <f t="shared" si="3"/>
        <v>0.4739045868992085</v>
      </c>
      <c r="L121" s="1">
        <f t="shared" si="4"/>
        <v>0.92966157783280456</v>
      </c>
      <c r="M121" s="1">
        <f t="shared" si="5"/>
        <v>208.7598679200492</v>
      </c>
      <c r="N121" s="1">
        <f>SLOPE(K121:K124,F121:F124)</f>
        <v>1.5899142125966352E-3</v>
      </c>
      <c r="O121" s="1">
        <f>SLOPE(L121:L124,F121:F124)</f>
        <v>3.4337911654547246E-6</v>
      </c>
      <c r="P121" s="1">
        <f>SLOPE(M121:M124,F121:F124)</f>
        <v>1.8391203079865397</v>
      </c>
      <c r="Q121" s="1">
        <f>(N121*41.35/0.31*60)/1000</f>
        <v>1.2724442456297587E-2</v>
      </c>
      <c r="R121" s="1">
        <f>O121*41.35/0.31*60/1000</f>
        <v>2.7481406069332819E-5</v>
      </c>
      <c r="S121" s="1">
        <f>(P121*41.35/0.31*60)/1000</f>
        <v>14.718895110047113</v>
      </c>
    </row>
    <row r="122" spans="1:19" x14ac:dyDescent="0.3">
      <c r="A122" s="1">
        <v>120</v>
      </c>
      <c r="C122" s="1" t="s">
        <v>15</v>
      </c>
      <c r="D122" s="1">
        <v>19.899999999999999</v>
      </c>
      <c r="E122" s="1">
        <v>150</v>
      </c>
      <c r="F122" s="1">
        <v>15</v>
      </c>
      <c r="G122" s="1">
        <v>0.433773816622193</v>
      </c>
      <c r="H122" s="1">
        <v>1.8008007272899003</v>
      </c>
      <c r="I122" s="1">
        <v>509.66234235678508</v>
      </c>
      <c r="J122" s="1" t="s">
        <v>16</v>
      </c>
      <c r="K122" s="1">
        <f t="shared" si="3"/>
        <v>0.50543555230404391</v>
      </c>
      <c r="L122" s="1">
        <f t="shared" si="4"/>
        <v>0.89927252601856866</v>
      </c>
      <c r="M122" s="1">
        <f t="shared" si="5"/>
        <v>254.20196834798787</v>
      </c>
    </row>
    <row r="123" spans="1:19" x14ac:dyDescent="0.3">
      <c r="A123" s="1">
        <v>121</v>
      </c>
      <c r="C123" s="1" t="s">
        <v>15</v>
      </c>
      <c r="D123" s="1">
        <v>19.899999999999999</v>
      </c>
      <c r="E123" s="1">
        <v>151</v>
      </c>
      <c r="F123" s="1">
        <v>30</v>
      </c>
      <c r="G123" s="1">
        <v>0.46863701584926537</v>
      </c>
      <c r="H123" s="1">
        <v>1.8575293395357622</v>
      </c>
      <c r="I123" s="1">
        <v>516.28524451076396</v>
      </c>
      <c r="J123" s="1" t="s">
        <v>16</v>
      </c>
      <c r="K123" s="1">
        <f t="shared" si="3"/>
        <v>0.54605833699316408</v>
      </c>
      <c r="L123" s="1">
        <f t="shared" si="4"/>
        <v>0.9276013031335345</v>
      </c>
      <c r="M123" s="1">
        <f t="shared" si="5"/>
        <v>257.50524313170536</v>
      </c>
    </row>
    <row r="124" spans="1:19" x14ac:dyDescent="0.3">
      <c r="A124" s="1">
        <v>122</v>
      </c>
      <c r="C124" s="1" t="s">
        <v>15</v>
      </c>
      <c r="D124" s="1">
        <v>19.899999999999999</v>
      </c>
      <c r="E124" s="1">
        <v>152</v>
      </c>
      <c r="F124" s="1">
        <v>45</v>
      </c>
      <c r="G124" s="1">
        <v>0.4633169510785683</v>
      </c>
      <c r="H124" s="1">
        <v>1.8430893291459063</v>
      </c>
      <c r="I124" s="1">
        <v>600.71280150814164</v>
      </c>
      <c r="J124" s="1" t="s">
        <v>16</v>
      </c>
      <c r="K124" s="1">
        <f t="shared" si="3"/>
        <v>0.53985936929933354</v>
      </c>
      <c r="L124" s="1">
        <f t="shared" si="4"/>
        <v>0.92039034168608869</v>
      </c>
      <c r="M124" s="1">
        <f t="shared" si="5"/>
        <v>299.61479172480369</v>
      </c>
    </row>
    <row r="125" spans="1:19" x14ac:dyDescent="0.3">
      <c r="A125" s="1">
        <v>123</v>
      </c>
      <c r="C125" s="1" t="s">
        <v>15</v>
      </c>
      <c r="D125" s="1">
        <v>19.899999999999999</v>
      </c>
      <c r="E125" s="1">
        <v>153</v>
      </c>
      <c r="F125" s="1">
        <v>0</v>
      </c>
      <c r="G125" s="1">
        <v>0.40733644970763</v>
      </c>
      <c r="H125" s="1">
        <v>1.8874407896290344</v>
      </c>
      <c r="I125" s="1">
        <v>426.7398653254341</v>
      </c>
      <c r="J125" s="1" t="s">
        <v>16</v>
      </c>
      <c r="K125" s="1">
        <f t="shared" si="3"/>
        <v>0.47463059212461206</v>
      </c>
      <c r="L125" s="1">
        <f t="shared" si="4"/>
        <v>0.94253829470324368</v>
      </c>
      <c r="M125" s="1">
        <f t="shared" si="5"/>
        <v>212.84310164383575</v>
      </c>
      <c r="N125" s="1">
        <f>SLOPE(K125:K128,F125:F128)</f>
        <v>1.5267703735051222E-3</v>
      </c>
      <c r="O125" s="1">
        <f>SLOPE(L125:L128,F125:F128)</f>
        <v>-2.7470329323603013E-4</v>
      </c>
      <c r="P125" s="1">
        <f>SLOPE(M125:M128,F125:F128)</f>
        <v>1.7103439787456642</v>
      </c>
      <c r="Q125" s="1">
        <f>(N125*41.35/0.31*60)/1000</f>
        <v>1.2219088053761963E-2</v>
      </c>
      <c r="R125" s="1">
        <f>O125*41.35/0.31*60/1000</f>
        <v>-2.1985124855438418E-3</v>
      </c>
      <c r="S125" s="1">
        <f>(P125*41.35/0.31*60)/1000</f>
        <v>13.688269068606429</v>
      </c>
    </row>
    <row r="126" spans="1:19" x14ac:dyDescent="0.3">
      <c r="A126" s="1">
        <v>124</v>
      </c>
      <c r="C126" s="1" t="s">
        <v>15</v>
      </c>
      <c r="D126" s="1">
        <v>19.899999999999999</v>
      </c>
      <c r="E126" s="1">
        <v>154</v>
      </c>
      <c r="F126" s="1">
        <v>15</v>
      </c>
      <c r="G126" s="1">
        <v>0.47022824242932965</v>
      </c>
      <c r="H126" s="1">
        <v>1.8585607688493231</v>
      </c>
      <c r="I126" s="1">
        <v>578.50255381935165</v>
      </c>
      <c r="J126" s="1" t="s">
        <v>16</v>
      </c>
      <c r="K126" s="1">
        <f t="shared" si="3"/>
        <v>0.54791244264573313</v>
      </c>
      <c r="L126" s="1">
        <f t="shared" si="4"/>
        <v>0.92811637180835205</v>
      </c>
      <c r="M126" s="1">
        <f t="shared" si="5"/>
        <v>288.53708750620473</v>
      </c>
    </row>
    <row r="127" spans="1:19" x14ac:dyDescent="0.3">
      <c r="A127" s="1">
        <v>125</v>
      </c>
      <c r="C127" s="1" t="s">
        <v>15</v>
      </c>
      <c r="D127" s="1">
        <v>19.899999999999999</v>
      </c>
      <c r="E127" s="1">
        <v>155</v>
      </c>
      <c r="F127" s="1">
        <v>30</v>
      </c>
      <c r="G127" s="1">
        <v>0.47717787658924921</v>
      </c>
      <c r="H127" s="1">
        <v>1.8472150464001509</v>
      </c>
      <c r="I127" s="1">
        <v>600.83019957983663</v>
      </c>
      <c r="J127" s="1" t="s">
        <v>16</v>
      </c>
      <c r="K127" s="1">
        <f t="shared" si="3"/>
        <v>0.55601019323677303</v>
      </c>
      <c r="L127" s="1">
        <f t="shared" si="4"/>
        <v>0.92245061638535897</v>
      </c>
      <c r="M127" s="1">
        <f t="shared" si="5"/>
        <v>299.67334582704939</v>
      </c>
    </row>
    <row r="128" spans="1:19" x14ac:dyDescent="0.3">
      <c r="A128" s="1">
        <v>126</v>
      </c>
      <c r="C128" s="1" t="s">
        <v>15</v>
      </c>
      <c r="D128" s="1">
        <v>19.899999999999999</v>
      </c>
      <c r="E128" s="1">
        <v>156</v>
      </c>
      <c r="F128" s="1">
        <v>45</v>
      </c>
      <c r="G128" s="1">
        <v>0.4705349849025951</v>
      </c>
      <c r="H128" s="1">
        <v>1.8637179154171288</v>
      </c>
      <c r="I128" s="1">
        <v>590.75506038007791</v>
      </c>
      <c r="J128" s="1" t="s">
        <v>16</v>
      </c>
      <c r="K128" s="1">
        <f t="shared" si="3"/>
        <v>0.54826986060285487</v>
      </c>
      <c r="L128" s="1">
        <f t="shared" si="4"/>
        <v>0.93069171518243987</v>
      </c>
      <c r="M128" s="1">
        <f t="shared" si="5"/>
        <v>294.64821447417074</v>
      </c>
    </row>
    <row r="129" spans="1:19" x14ac:dyDescent="0.3">
      <c r="A129" s="1">
        <v>127</v>
      </c>
      <c r="C129" s="1" t="s">
        <v>15</v>
      </c>
      <c r="D129" s="1">
        <v>19.899999999999999</v>
      </c>
      <c r="E129" s="1">
        <v>157</v>
      </c>
      <c r="F129" s="1">
        <v>0</v>
      </c>
      <c r="G129" s="1">
        <v>0.40871679083732432</v>
      </c>
      <c r="H129" s="1">
        <v>1.891566506883279</v>
      </c>
      <c r="I129" s="1">
        <v>413.8627643363933</v>
      </c>
      <c r="J129" s="1" t="s">
        <v>16</v>
      </c>
      <c r="K129" s="1">
        <f t="shared" si="3"/>
        <v>0.47623897293166001</v>
      </c>
      <c r="L129" s="1">
        <f t="shared" si="4"/>
        <v>0.94459856940251385</v>
      </c>
      <c r="M129" s="1">
        <f t="shared" si="5"/>
        <v>206.42044855376597</v>
      </c>
      <c r="N129" s="1">
        <f>SLOPE(K129:K132,F129:F132)</f>
        <v>1.4330226218350586E-3</v>
      </c>
      <c r="O129" s="1">
        <f>SLOPE(L129:L132,F129:F132)</f>
        <v>2.5066675507788339E-4</v>
      </c>
      <c r="P129" s="1">
        <f>SLOPE(M129:M132,F129:F132)</f>
        <v>2.4038563259888841</v>
      </c>
      <c r="Q129" s="1">
        <f>(N129*41.35/0.31*60)/1000</f>
        <v>1.1468803628299292E-2</v>
      </c>
      <c r="R129" s="1">
        <f>O129*41.35/0.31*60/1000</f>
        <v>2.0061426430588022E-3</v>
      </c>
      <c r="S129" s="1">
        <f>(P129*41.35/0.31*60)/1000</f>
        <v>19.2386049831562</v>
      </c>
    </row>
    <row r="130" spans="1:19" x14ac:dyDescent="0.3">
      <c r="A130" s="1">
        <v>128</v>
      </c>
      <c r="C130" s="1" t="s">
        <v>15</v>
      </c>
      <c r="D130" s="1">
        <v>19.899999999999999</v>
      </c>
      <c r="E130" s="1">
        <v>158</v>
      </c>
      <c r="F130" s="1">
        <v>15</v>
      </c>
      <c r="G130" s="1">
        <v>0.52161719240357629</v>
      </c>
      <c r="H130" s="1">
        <v>1.8626864861035677</v>
      </c>
      <c r="I130" s="1">
        <v>511.59115598783586</v>
      </c>
      <c r="J130" s="1" t="s">
        <v>16</v>
      </c>
      <c r="K130" s="1">
        <f t="shared" si="3"/>
        <v>0.60779111977478817</v>
      </c>
      <c r="L130" s="1">
        <f t="shared" si="4"/>
        <v>0.93017664650762222</v>
      </c>
      <c r="M130" s="1">
        <f t="shared" si="5"/>
        <v>255.16399394972697</v>
      </c>
    </row>
    <row r="131" spans="1:19" x14ac:dyDescent="0.3">
      <c r="A131" s="1">
        <v>129</v>
      </c>
      <c r="C131" s="1" t="s">
        <v>15</v>
      </c>
      <c r="D131" s="1">
        <v>19.899999999999999</v>
      </c>
      <c r="E131" s="1">
        <v>159</v>
      </c>
      <c r="F131" s="1">
        <v>30</v>
      </c>
      <c r="G131" s="1">
        <v>0.52112832158680944</v>
      </c>
      <c r="H131" s="1">
        <v>1.8389636118916617</v>
      </c>
      <c r="I131" s="1">
        <v>513.76210314175739</v>
      </c>
      <c r="J131" s="1" t="s">
        <v>16</v>
      </c>
      <c r="K131" s="1">
        <f t="shared" ref="K131:K194" si="6">(G131*28*1)/(0.082*(D131+273.15))</f>
        <v>0.60722148490562522</v>
      </c>
      <c r="L131" s="1">
        <f t="shared" ref="L131:L194" si="7">(H131*12*1)/(0.082*(D131+273.15))</f>
        <v>0.91833006698681829</v>
      </c>
      <c r="M131" s="1">
        <f t="shared" ref="M131:M194" si="8">(I131*12*1)/(0.0821*(D131+273.15))</f>
        <v>256.24678738734764</v>
      </c>
    </row>
    <row r="132" spans="1:19" x14ac:dyDescent="0.3">
      <c r="A132" s="1">
        <v>130</v>
      </c>
      <c r="C132" s="1" t="s">
        <v>15</v>
      </c>
      <c r="D132" s="1">
        <v>19.899999999999999</v>
      </c>
      <c r="E132" s="1">
        <v>160</v>
      </c>
      <c r="F132" s="1">
        <v>45</v>
      </c>
      <c r="G132" s="1">
        <v>0.47037202796367278</v>
      </c>
      <c r="H132" s="1">
        <v>1.9245722449172351</v>
      </c>
      <c r="I132" s="1">
        <v>654.1197524049968</v>
      </c>
      <c r="J132" s="1" t="s">
        <v>16</v>
      </c>
      <c r="K132" s="1">
        <f t="shared" si="6"/>
        <v>0.54807998231313393</v>
      </c>
      <c r="L132" s="1">
        <f t="shared" si="7"/>
        <v>0.96108076699667599</v>
      </c>
      <c r="M132" s="1">
        <f t="shared" si="8"/>
        <v>326.25233370733662</v>
      </c>
    </row>
    <row r="133" spans="1:19" x14ac:dyDescent="0.3">
      <c r="A133" s="1">
        <v>131</v>
      </c>
      <c r="C133" s="1" t="s">
        <v>15</v>
      </c>
      <c r="D133" s="1">
        <v>19.899999999999999</v>
      </c>
      <c r="E133" s="1">
        <v>161</v>
      </c>
      <c r="F133" s="1">
        <v>0</v>
      </c>
      <c r="G133" s="1">
        <v>0.39947617383020373</v>
      </c>
      <c r="H133" s="1">
        <v>1.9101322345273792</v>
      </c>
      <c r="I133" s="1">
        <v>438.72364036267106</v>
      </c>
      <c r="J133" s="1" t="s">
        <v>129</v>
      </c>
      <c r="K133" s="1">
        <f t="shared" si="6"/>
        <v>0.46547175697336701</v>
      </c>
      <c r="L133" s="1">
        <f t="shared" si="7"/>
        <v>0.95386980554922995</v>
      </c>
      <c r="M133" s="1">
        <f t="shared" si="8"/>
        <v>218.82019461212997</v>
      </c>
      <c r="N133" s="1">
        <f>SLOPE(K133:K136,F133:F136)</f>
        <v>1.0089611081249468E-4</v>
      </c>
      <c r="O133" s="1">
        <f>SLOPE(L133:L136,F133:F136)</f>
        <v>-6.2494999211197013E-4</v>
      </c>
      <c r="P133" s="1">
        <f>SLOPE(M133:M136,F133:F136)</f>
        <v>3.0161309557519131</v>
      </c>
      <c r="Q133" s="1">
        <f>(N133*41.35/0.31*60)/1000</f>
        <v>8.0749435782515911E-4</v>
      </c>
      <c r="R133" s="1">
        <f>O133*41.35/0.31*60/1000</f>
        <v>-5.0016159046122523E-3</v>
      </c>
      <c r="S133" s="1">
        <f>(P133*41.35/0.31*60)/1000</f>
        <v>24.138777100711284</v>
      </c>
    </row>
    <row r="134" spans="1:19" x14ac:dyDescent="0.3">
      <c r="A134" s="1">
        <v>132</v>
      </c>
      <c r="C134" s="1" t="s">
        <v>15</v>
      </c>
      <c r="D134" s="1">
        <v>19.899999999999999</v>
      </c>
      <c r="E134" s="1">
        <v>162</v>
      </c>
      <c r="F134" s="1">
        <v>15</v>
      </c>
      <c r="G134" s="1">
        <v>0.40731727830305092</v>
      </c>
      <c r="H134" s="1">
        <v>1.8451521877730284</v>
      </c>
      <c r="I134" s="1">
        <v>735.27300380900726</v>
      </c>
      <c r="J134" s="1" t="s">
        <v>129</v>
      </c>
      <c r="K134" s="1">
        <f t="shared" si="6"/>
        <v>0.47460825350229202</v>
      </c>
      <c r="L134" s="1">
        <f t="shared" si="7"/>
        <v>0.92142047903572377</v>
      </c>
      <c r="M134" s="1">
        <f t="shared" si="8"/>
        <v>366.72877179248979</v>
      </c>
    </row>
    <row r="135" spans="1:19" x14ac:dyDescent="0.3">
      <c r="A135" s="1">
        <v>133</v>
      </c>
      <c r="C135" s="1" t="s">
        <v>15</v>
      </c>
      <c r="D135" s="1">
        <v>19.899999999999999</v>
      </c>
      <c r="E135" s="1">
        <v>163</v>
      </c>
      <c r="F135" s="1">
        <v>30</v>
      </c>
      <c r="G135" s="1">
        <v>0.40480582430319029</v>
      </c>
      <c r="H135" s="1">
        <v>1.8585607688493231</v>
      </c>
      <c r="I135" s="1">
        <v>740.80080207545655</v>
      </c>
      <c r="J135" s="1" t="s">
        <v>129</v>
      </c>
      <c r="K135" s="1">
        <f t="shared" si="6"/>
        <v>0.47168189397835752</v>
      </c>
      <c r="L135" s="1">
        <f t="shared" si="7"/>
        <v>0.92811637180835205</v>
      </c>
      <c r="M135" s="1">
        <f t="shared" si="8"/>
        <v>369.48584659119706</v>
      </c>
    </row>
    <row r="136" spans="1:19" x14ac:dyDescent="0.3">
      <c r="A136" s="1">
        <v>134</v>
      </c>
      <c r="C136" s="1" t="s">
        <v>15</v>
      </c>
      <c r="D136" s="1">
        <v>19.899999999999999</v>
      </c>
      <c r="E136" s="1">
        <v>164</v>
      </c>
      <c r="F136" s="1">
        <v>45</v>
      </c>
      <c r="G136" s="1">
        <v>0.40464286736426802</v>
      </c>
      <c r="H136" s="1">
        <v>1.8430893291459063</v>
      </c>
      <c r="I136" s="1">
        <v>739.24069176332284</v>
      </c>
      <c r="J136" s="1" t="s">
        <v>129</v>
      </c>
      <c r="K136" s="1">
        <f t="shared" si="6"/>
        <v>0.47149201568863658</v>
      </c>
      <c r="L136" s="1">
        <f t="shared" si="7"/>
        <v>0.92039034168608869</v>
      </c>
      <c r="M136" s="1">
        <f t="shared" si="8"/>
        <v>368.70771746682323</v>
      </c>
    </row>
    <row r="137" spans="1:19" x14ac:dyDescent="0.3">
      <c r="A137" s="1">
        <v>135</v>
      </c>
      <c r="C137" s="1" t="s">
        <v>15</v>
      </c>
      <c r="D137" s="1">
        <v>19.899999999999999</v>
      </c>
      <c r="E137" s="1" t="s">
        <v>116</v>
      </c>
      <c r="F137"/>
      <c r="G137" s="1">
        <v>0.40311874070023052</v>
      </c>
      <c r="H137" s="1">
        <v>1.8461836170865895</v>
      </c>
      <c r="I137" s="1">
        <v>403.43451374911456</v>
      </c>
      <c r="J137"/>
      <c r="K137" s="1">
        <f t="shared" si="6"/>
        <v>0.46971609521418783</v>
      </c>
      <c r="L137" s="1">
        <f t="shared" si="7"/>
        <v>0.9219355477105412</v>
      </c>
      <c r="M137" s="1">
        <f t="shared" si="8"/>
        <v>201.21919744022659</v>
      </c>
    </row>
    <row r="138" spans="1:19" x14ac:dyDescent="0.3">
      <c r="A138" s="1">
        <v>136</v>
      </c>
      <c r="C138" s="1" t="s">
        <v>15</v>
      </c>
      <c r="D138" s="1">
        <v>19.899999999999999</v>
      </c>
      <c r="E138" s="1" t="s">
        <v>155</v>
      </c>
      <c r="F138"/>
      <c r="G138" s="1">
        <v>0.40304205508191415</v>
      </c>
      <c r="H138" s="1">
        <v>1.8936293655104015</v>
      </c>
      <c r="I138" s="1">
        <v>402.26603606677565</v>
      </c>
      <c r="J138"/>
      <c r="K138" s="1">
        <f t="shared" si="6"/>
        <v>0.4696267407249074</v>
      </c>
      <c r="L138" s="1">
        <f t="shared" si="7"/>
        <v>0.94562870675214927</v>
      </c>
      <c r="M138" s="1">
        <f t="shared" si="8"/>
        <v>200.63640114131289</v>
      </c>
    </row>
    <row r="139" spans="1:19" x14ac:dyDescent="0.3">
      <c r="A139" s="1">
        <v>137</v>
      </c>
      <c r="B139" s="1" t="s">
        <v>26</v>
      </c>
      <c r="C139" s="1" t="s">
        <v>15</v>
      </c>
      <c r="D139" s="1">
        <v>17</v>
      </c>
      <c r="E139" s="1">
        <v>633</v>
      </c>
      <c r="F139" s="1">
        <v>0</v>
      </c>
      <c r="G139" s="1">
        <v>0.39364806683816084</v>
      </c>
      <c r="H139" s="1">
        <v>1.8080207324848281</v>
      </c>
      <c r="I139" s="1">
        <v>411.87341732462482</v>
      </c>
      <c r="J139" s="1" t="s">
        <v>129</v>
      </c>
      <c r="K139" s="1">
        <f t="shared" si="6"/>
        <v>0.46326525268546975</v>
      </c>
      <c r="L139" s="1">
        <f t="shared" si="7"/>
        <v>0.91190211916535746</v>
      </c>
      <c r="M139" s="1">
        <f t="shared" si="8"/>
        <v>207.48145129248735</v>
      </c>
      <c r="N139" s="1">
        <f>SLOPE(K139:K142,F139:F142)</f>
        <v>-5.0613846761113543E-5</v>
      </c>
      <c r="O139" s="1">
        <f>SLOPE(L139:L142,F139:F142)</f>
        <v>5.0981236481882164E-4</v>
      </c>
      <c r="P139" s="1">
        <f>SLOPE(M139:M142,F139:F142)</f>
        <v>7.5679874871128178E-2</v>
      </c>
      <c r="Q139" s="1">
        <f>(N139*41.35/0.31*60)/1000</f>
        <v>-4.0507404456233137E-4</v>
      </c>
      <c r="R139" s="1">
        <f>O139*41.35/0.31*60/1000</f>
        <v>4.0801434745661178E-3</v>
      </c>
      <c r="S139" s="1">
        <f>(P139*41.35/0.31*60)/1000</f>
        <v>0.60568312759764209</v>
      </c>
    </row>
    <row r="140" spans="1:19" x14ac:dyDescent="0.3">
      <c r="A140" s="1">
        <v>138</v>
      </c>
      <c r="B140" s="1" t="s">
        <v>64</v>
      </c>
      <c r="C140" s="1" t="s">
        <v>15</v>
      </c>
      <c r="D140" s="1">
        <v>17</v>
      </c>
      <c r="E140" s="1">
        <v>634</v>
      </c>
      <c r="F140" s="1">
        <v>15</v>
      </c>
      <c r="G140" s="1">
        <v>0.40458535315053085</v>
      </c>
      <c r="H140" s="1">
        <v>1.798737868662778</v>
      </c>
      <c r="I140" s="1">
        <v>437.71841937378298</v>
      </c>
      <c r="J140" s="1" t="s">
        <v>129</v>
      </c>
      <c r="K140" s="1">
        <f t="shared" si="6"/>
        <v>0.47613681267531355</v>
      </c>
      <c r="L140" s="1">
        <f t="shared" si="7"/>
        <v>0.90722016887620505</v>
      </c>
      <c r="M140" s="1">
        <f t="shared" si="8"/>
        <v>220.50088471125108</v>
      </c>
    </row>
    <row r="141" spans="1:19" x14ac:dyDescent="0.3">
      <c r="A141" s="1">
        <v>139</v>
      </c>
      <c r="C141" s="1" t="s">
        <v>15</v>
      </c>
      <c r="D141" s="1">
        <v>17</v>
      </c>
      <c r="E141" s="1">
        <v>635</v>
      </c>
      <c r="F141" s="1">
        <v>30</v>
      </c>
      <c r="G141" s="1">
        <v>0.39594863538765146</v>
      </c>
      <c r="H141" s="1">
        <v>1.848246475713712</v>
      </c>
      <c r="I141" s="1">
        <v>436.49674569020738</v>
      </c>
      <c r="J141" s="1" t="s">
        <v>129</v>
      </c>
      <c r="K141" s="1">
        <f t="shared" si="6"/>
        <v>0.46597267985248336</v>
      </c>
      <c r="L141" s="1">
        <f t="shared" si="7"/>
        <v>0.93219057041835152</v>
      </c>
      <c r="M141" s="1">
        <f t="shared" si="8"/>
        <v>219.88546594856285</v>
      </c>
    </row>
    <row r="142" spans="1:19" x14ac:dyDescent="0.3">
      <c r="A142" s="1">
        <v>140</v>
      </c>
      <c r="C142" s="1" t="s">
        <v>15</v>
      </c>
      <c r="D142" s="1">
        <v>17</v>
      </c>
      <c r="E142" s="1">
        <v>636</v>
      </c>
      <c r="F142" s="1">
        <v>45</v>
      </c>
      <c r="G142" s="1">
        <v>0.39437658021216621</v>
      </c>
      <c r="H142" s="1">
        <v>1.8420578998323451</v>
      </c>
      <c r="I142" s="1">
        <v>419.79228412942388</v>
      </c>
      <c r="J142" s="1" t="s">
        <v>129</v>
      </c>
      <c r="K142" s="1">
        <f t="shared" si="6"/>
        <v>0.4641226046216908</v>
      </c>
      <c r="L142" s="1">
        <f t="shared" si="7"/>
        <v>0.92906927022558305</v>
      </c>
      <c r="M142" s="1">
        <f t="shared" si="8"/>
        <v>211.4705846236065</v>
      </c>
    </row>
    <row r="143" spans="1:19" x14ac:dyDescent="0.3">
      <c r="A143" s="1">
        <v>141</v>
      </c>
      <c r="C143" s="1" t="s">
        <v>15</v>
      </c>
      <c r="D143" s="1">
        <v>17</v>
      </c>
      <c r="E143" s="1">
        <v>637</v>
      </c>
      <c r="F143" s="1">
        <v>0</v>
      </c>
      <c r="G143" s="1">
        <v>0.42626821172947987</v>
      </c>
      <c r="H143" s="1">
        <v>1.8791893551205456</v>
      </c>
      <c r="I143" s="1">
        <v>444.54309946348758</v>
      </c>
      <c r="J143" s="1" t="s">
        <v>16</v>
      </c>
      <c r="K143" s="1">
        <f t="shared" si="6"/>
        <v>0.50165431372441649</v>
      </c>
      <c r="L143" s="1">
        <f t="shared" si="7"/>
        <v>0.94779707138219282</v>
      </c>
      <c r="M143" s="1">
        <f t="shared" si="8"/>
        <v>223.93882090731981</v>
      </c>
      <c r="N143" s="1">
        <f>SLOPE(K143:K146,F143:F146)</f>
        <v>-4.9282695070666641E-4</v>
      </c>
      <c r="O143" s="1">
        <f>SLOPE(L143:L146,F143:F146)</f>
        <v>-9.8841172770995547E-4</v>
      </c>
      <c r="P143" s="1">
        <f>SLOPE(M143:M146,F143:F146)</f>
        <v>-0.20586342844980815</v>
      </c>
      <c r="Q143" s="1">
        <f>(N143*41.35/0.31*60)/1000</f>
        <v>-3.9442053700104503E-3</v>
      </c>
      <c r="R143" s="1">
        <f>O143*41.35/0.31*60/1000</f>
        <v>-7.9104822466077428E-3</v>
      </c>
      <c r="S143" s="1">
        <f>(P143*41.35/0.31*60)/1000</f>
        <v>-1.6475715031741098</v>
      </c>
    </row>
    <row r="144" spans="1:19" x14ac:dyDescent="0.3">
      <c r="A144" s="1">
        <v>142</v>
      </c>
      <c r="C144" s="1" t="s">
        <v>15</v>
      </c>
      <c r="D144" s="1">
        <v>17</v>
      </c>
      <c r="E144" s="1">
        <v>638</v>
      </c>
      <c r="F144" s="1">
        <v>15</v>
      </c>
      <c r="G144" s="1">
        <v>0.57200922933971032</v>
      </c>
      <c r="H144" s="1">
        <v>1.7884235755271667</v>
      </c>
      <c r="I144" s="1">
        <v>440.91201379285997</v>
      </c>
      <c r="J144" s="1" t="s">
        <v>16</v>
      </c>
      <c r="K144" s="1">
        <f t="shared" si="6"/>
        <v>0.67316982475472686</v>
      </c>
      <c r="L144" s="1">
        <f t="shared" si="7"/>
        <v>0.90201800188825787</v>
      </c>
      <c r="M144" s="1">
        <f t="shared" si="8"/>
        <v>222.10965958488524</v>
      </c>
    </row>
    <row r="145" spans="1:19" x14ac:dyDescent="0.3">
      <c r="A145" s="1">
        <v>143</v>
      </c>
      <c r="C145" s="1" t="s">
        <v>15</v>
      </c>
      <c r="D145" s="1">
        <v>17</v>
      </c>
      <c r="E145" s="1">
        <v>639</v>
      </c>
      <c r="F145" s="1">
        <v>30</v>
      </c>
      <c r="G145" s="1">
        <v>0.44705001429321178</v>
      </c>
      <c r="H145" s="1">
        <v>1.8162721669933171</v>
      </c>
      <c r="I145" s="1">
        <v>430.76074928098649</v>
      </c>
      <c r="J145" s="1" t="s">
        <v>16</v>
      </c>
      <c r="K145" s="1">
        <f t="shared" si="6"/>
        <v>0.52611140579977256</v>
      </c>
      <c r="L145" s="1">
        <f t="shared" si="7"/>
        <v>0.91606385275571534</v>
      </c>
      <c r="M145" s="1">
        <f t="shared" si="8"/>
        <v>216.99595473095579</v>
      </c>
    </row>
    <row r="146" spans="1:19" x14ac:dyDescent="0.3">
      <c r="A146" s="1">
        <v>144</v>
      </c>
      <c r="C146" s="1" t="s">
        <v>15</v>
      </c>
      <c r="D146" s="1">
        <v>17</v>
      </c>
      <c r="E146" s="1">
        <v>640</v>
      </c>
      <c r="F146" s="1">
        <v>45</v>
      </c>
      <c r="G146" s="1">
        <v>0.4469829143771849</v>
      </c>
      <c r="H146" s="1">
        <v>1.7719207065101887</v>
      </c>
      <c r="I146" s="1">
        <v>427.4937810671002</v>
      </c>
      <c r="J146" s="1" t="s">
        <v>16</v>
      </c>
      <c r="K146" s="1">
        <f t="shared" si="6"/>
        <v>0.52603243917406795</v>
      </c>
      <c r="L146" s="1">
        <f t="shared" si="7"/>
        <v>0.89369453470754256</v>
      </c>
      <c r="M146" s="1">
        <f t="shared" si="8"/>
        <v>215.35021776947255</v>
      </c>
    </row>
    <row r="147" spans="1:19" x14ac:dyDescent="0.3">
      <c r="A147" s="1">
        <v>145</v>
      </c>
      <c r="C147" s="1" t="s">
        <v>15</v>
      </c>
      <c r="D147" s="1">
        <v>17</v>
      </c>
      <c r="E147" s="1">
        <v>641</v>
      </c>
      <c r="F147" s="1">
        <v>0</v>
      </c>
      <c r="G147" s="1">
        <v>0.40187259940258979</v>
      </c>
      <c r="H147" s="1">
        <v>1.8121464497390727</v>
      </c>
      <c r="I147" s="1">
        <v>406.19978864099193</v>
      </c>
      <c r="J147" s="1" t="s">
        <v>16</v>
      </c>
      <c r="K147" s="1">
        <f t="shared" si="6"/>
        <v>0.47294430480754335</v>
      </c>
      <c r="L147" s="1">
        <f t="shared" si="7"/>
        <v>0.9139829859605364</v>
      </c>
      <c r="M147" s="1">
        <f t="shared" si="8"/>
        <v>204.62335784955209</v>
      </c>
      <c r="N147" s="1">
        <f>SLOPE(K147:K150,F147:F150)</f>
        <v>7.6176471596334889E-4</v>
      </c>
      <c r="O147" s="1">
        <f>SLOPE(L147:L150,F147:F150)</f>
        <v>2.2542723614437765E-4</v>
      </c>
      <c r="P147" s="1">
        <f>SLOPE(M147:M150,F147:F150)</f>
        <v>0.41973838944092029</v>
      </c>
      <c r="Q147" s="1">
        <f>(N147*41.35/0.31*60)/1000</f>
        <v>6.0965750332421572E-3</v>
      </c>
      <c r="R147" s="1">
        <f>O147*41.35/0.31*60/1000</f>
        <v>1.8041450737877448E-3</v>
      </c>
      <c r="S147" s="1">
        <f>(P147*41.35/0.31*60)/1000</f>
        <v>3.3592611103320107</v>
      </c>
    </row>
    <row r="148" spans="1:19" x14ac:dyDescent="0.3">
      <c r="A148" s="1">
        <v>146</v>
      </c>
      <c r="C148" s="1" t="s">
        <v>15</v>
      </c>
      <c r="D148" s="1">
        <v>17</v>
      </c>
      <c r="E148" s="1">
        <v>642</v>
      </c>
      <c r="F148" s="1">
        <v>15</v>
      </c>
      <c r="G148" s="1">
        <v>0.4419983491866219</v>
      </c>
      <c r="H148" s="1">
        <v>1.7708892771966276</v>
      </c>
      <c r="I148" s="1">
        <v>454.13030292776421</v>
      </c>
      <c r="J148" s="1" t="s">
        <v>16</v>
      </c>
      <c r="K148" s="1">
        <f t="shared" si="6"/>
        <v>0.52016634697887187</v>
      </c>
      <c r="L148" s="1">
        <f t="shared" si="7"/>
        <v>0.8931743180087478</v>
      </c>
      <c r="M148" s="1">
        <f t="shared" si="8"/>
        <v>228.76837971090893</v>
      </c>
    </row>
    <row r="149" spans="1:19" x14ac:dyDescent="0.3">
      <c r="A149" s="1">
        <v>147</v>
      </c>
      <c r="C149" s="1" t="s">
        <v>15</v>
      </c>
      <c r="D149" s="1">
        <v>17</v>
      </c>
      <c r="E149" s="1">
        <v>643</v>
      </c>
      <c r="F149" s="1">
        <v>30</v>
      </c>
      <c r="G149" s="1">
        <v>0.45072133827010713</v>
      </c>
      <c r="H149" s="1">
        <v>1.7915178634678501</v>
      </c>
      <c r="I149" s="1">
        <v>464.02109046806447</v>
      </c>
      <c r="J149" s="1" t="s">
        <v>16</v>
      </c>
      <c r="K149" s="1">
        <f t="shared" si="6"/>
        <v>0.530432008320465</v>
      </c>
      <c r="L149" s="1">
        <f t="shared" si="7"/>
        <v>0.90357865198464216</v>
      </c>
      <c r="M149" s="1">
        <f t="shared" si="8"/>
        <v>233.75086915297391</v>
      </c>
    </row>
    <row r="150" spans="1:19" x14ac:dyDescent="0.3">
      <c r="A150" s="1">
        <v>148</v>
      </c>
      <c r="C150" s="1" t="s">
        <v>15</v>
      </c>
      <c r="D150" s="1">
        <v>17</v>
      </c>
      <c r="E150" s="1">
        <v>644</v>
      </c>
      <c r="F150" s="1">
        <v>45</v>
      </c>
      <c r="G150" s="1">
        <v>0.43132946253835924</v>
      </c>
      <c r="H150" s="1">
        <v>1.8276178894424895</v>
      </c>
      <c r="I150" s="1">
        <v>444.56419442949527</v>
      </c>
      <c r="J150" s="1" t="s">
        <v>16</v>
      </c>
      <c r="K150" s="1">
        <f t="shared" si="6"/>
        <v>0.50761065349184642</v>
      </c>
      <c r="L150" s="1">
        <f t="shared" si="7"/>
        <v>0.92178623644245716</v>
      </c>
      <c r="M150" s="1">
        <f t="shared" si="8"/>
        <v>223.94944750757645</v>
      </c>
    </row>
    <row r="151" spans="1:19" x14ac:dyDescent="0.3">
      <c r="A151" s="1">
        <v>149</v>
      </c>
      <c r="C151" s="1" t="s">
        <v>15</v>
      </c>
      <c r="D151" s="1">
        <v>17</v>
      </c>
      <c r="E151" s="1">
        <v>645</v>
      </c>
      <c r="F151" s="1">
        <v>0</v>
      </c>
      <c r="G151" s="1">
        <v>0.41308787108135653</v>
      </c>
      <c r="H151" s="1">
        <v>1.8121464497390727</v>
      </c>
      <c r="I151" s="1">
        <v>402.45955945058535</v>
      </c>
      <c r="J151" s="1" t="s">
        <v>16</v>
      </c>
      <c r="K151" s="1">
        <f t="shared" si="6"/>
        <v>0.48614301224673456</v>
      </c>
      <c r="L151" s="1">
        <f t="shared" si="7"/>
        <v>0.9139829859605364</v>
      </c>
      <c r="M151" s="1">
        <f t="shared" si="8"/>
        <v>202.73921542144186</v>
      </c>
      <c r="N151" s="1">
        <f>SLOPE(K151:K154,F151:F154)</f>
        <v>1.072441983378151E-4</v>
      </c>
      <c r="O151" s="1">
        <f>SLOPE(L151:L154,F151:F154)</f>
        <v>1.5606500963841308E-4</v>
      </c>
      <c r="P151" s="1">
        <f>SLOPE(M151:M154,F151:F154)</f>
        <v>6.5167241052033281E-2</v>
      </c>
      <c r="Q151" s="1">
        <f>(N151*41.35/0.31*60)/1000</f>
        <v>8.5829953572941697E-4</v>
      </c>
      <c r="R151" s="1">
        <f>O151*41.35/0.31*60/1000</f>
        <v>1.2490235126222673E-3</v>
      </c>
      <c r="S151" s="1">
        <f>(P151*41.35/0.31*60)/1000</f>
        <v>0.52154814532288563</v>
      </c>
    </row>
    <row r="152" spans="1:19" x14ac:dyDescent="0.3">
      <c r="A152" s="1">
        <v>150</v>
      </c>
      <c r="C152" s="1" t="s">
        <v>15</v>
      </c>
      <c r="D152" s="1">
        <v>17</v>
      </c>
      <c r="E152" s="1">
        <v>646</v>
      </c>
      <c r="F152" s="1">
        <v>15</v>
      </c>
      <c r="G152" s="1">
        <v>0.42961362182853075</v>
      </c>
      <c r="H152" s="1">
        <v>1.7801721410186779</v>
      </c>
      <c r="I152" s="1">
        <v>411.71291214847935</v>
      </c>
      <c r="J152" s="1" t="s">
        <v>16</v>
      </c>
      <c r="K152" s="1">
        <f t="shared" si="6"/>
        <v>0.50559136406311544</v>
      </c>
      <c r="L152" s="1">
        <f t="shared" si="7"/>
        <v>0.89785626829790033</v>
      </c>
      <c r="M152" s="1">
        <f t="shared" si="8"/>
        <v>207.40059672531734</v>
      </c>
    </row>
    <row r="153" spans="1:19" x14ac:dyDescent="0.3">
      <c r="A153" s="1">
        <v>151</v>
      </c>
      <c r="C153" s="1" t="s">
        <v>15</v>
      </c>
      <c r="D153" s="1">
        <v>17</v>
      </c>
      <c r="E153" s="1">
        <v>647</v>
      </c>
      <c r="F153" s="1">
        <v>30</v>
      </c>
      <c r="G153" s="1">
        <v>0.41107487360055223</v>
      </c>
      <c r="H153" s="1">
        <v>1.798737868662778</v>
      </c>
      <c r="I153" s="1">
        <v>407.88096571456117</v>
      </c>
      <c r="J153" s="1" t="s">
        <v>16</v>
      </c>
      <c r="K153" s="1">
        <f t="shared" si="6"/>
        <v>0.48377401347559768</v>
      </c>
      <c r="L153" s="1">
        <f t="shared" si="7"/>
        <v>0.90722016887620505</v>
      </c>
      <c r="M153" s="1">
        <f t="shared" si="8"/>
        <v>205.47025168739569</v>
      </c>
    </row>
    <row r="154" spans="1:19" x14ac:dyDescent="0.3">
      <c r="A154" s="1">
        <v>152</v>
      </c>
      <c r="C154" s="1" t="s">
        <v>15</v>
      </c>
      <c r="D154" s="1">
        <v>17</v>
      </c>
      <c r="E154" s="1">
        <v>648</v>
      </c>
      <c r="F154" s="1">
        <v>45</v>
      </c>
      <c r="G154" s="1">
        <v>0.42382385764564606</v>
      </c>
      <c r="H154" s="1">
        <v>1.8214293135611228</v>
      </c>
      <c r="I154" s="1">
        <v>410.20508066514731</v>
      </c>
      <c r="J154" s="1" t="s">
        <v>16</v>
      </c>
      <c r="K154" s="1">
        <f t="shared" si="6"/>
        <v>0.49877767235946457</v>
      </c>
      <c r="L154" s="1">
        <f t="shared" si="7"/>
        <v>0.91866493624968881</v>
      </c>
      <c r="M154" s="1">
        <f t="shared" si="8"/>
        <v>206.6410258200174</v>
      </c>
    </row>
    <row r="155" spans="1:19" x14ac:dyDescent="0.3">
      <c r="A155" s="1">
        <v>153</v>
      </c>
      <c r="C155" s="1" t="s">
        <v>15</v>
      </c>
      <c r="D155" s="1">
        <v>17</v>
      </c>
      <c r="E155" s="1">
        <v>649</v>
      </c>
      <c r="F155" s="1">
        <v>0</v>
      </c>
      <c r="G155" s="1">
        <v>0.39990753043323324</v>
      </c>
      <c r="H155" s="1">
        <v>1.8131778790526336</v>
      </c>
      <c r="I155" s="1">
        <v>421.40559044279445</v>
      </c>
      <c r="J155" s="1" t="s">
        <v>16</v>
      </c>
      <c r="K155" s="1">
        <f t="shared" si="6"/>
        <v>0.47063171076905264</v>
      </c>
      <c r="L155" s="1">
        <f t="shared" si="7"/>
        <v>0.91450320265933105</v>
      </c>
      <c r="M155" s="1">
        <f t="shared" si="8"/>
        <v>212.28328853018962</v>
      </c>
      <c r="N155" s="1">
        <f>SLOPE(K155:K158,F155:F158)</f>
        <v>1.2363165332926725E-3</v>
      </c>
      <c r="O155" s="1">
        <f>SLOPE(L155:L158,F155:F158)</f>
        <v>1.0404333975893762E-5</v>
      </c>
      <c r="P155" s="1">
        <f>SLOPE(M155:M158,F155:F158)</f>
        <v>9.9689831103135021E-2</v>
      </c>
      <c r="Q155" s="1">
        <f>(N155*41.35/0.31*60)/1000</f>
        <v>9.8945203841907109E-3</v>
      </c>
      <c r="R155" s="1">
        <f>O155*41.35/0.31*60/1000</f>
        <v>8.3268234174814281E-5</v>
      </c>
      <c r="S155" s="1">
        <f>(P155*41.35/0.31*60)/1000</f>
        <v>0.79784022892541295</v>
      </c>
    </row>
    <row r="156" spans="1:19" x14ac:dyDescent="0.3">
      <c r="A156" s="1">
        <v>154</v>
      </c>
      <c r="C156" s="1" t="s">
        <v>15</v>
      </c>
      <c r="D156" s="1">
        <v>17</v>
      </c>
      <c r="E156" s="1">
        <v>650</v>
      </c>
      <c r="F156" s="1">
        <v>15</v>
      </c>
      <c r="G156" s="1">
        <v>0.45263847872801599</v>
      </c>
      <c r="H156" s="1">
        <v>1.7760464237644333</v>
      </c>
      <c r="I156" s="1">
        <v>436.70677817784912</v>
      </c>
      <c r="J156" s="1" t="s">
        <v>16</v>
      </c>
      <c r="K156" s="1">
        <f t="shared" si="6"/>
        <v>0.5326881976263097</v>
      </c>
      <c r="L156" s="1">
        <f t="shared" si="7"/>
        <v>0.89577540150272139</v>
      </c>
      <c r="M156" s="1">
        <f t="shared" si="8"/>
        <v>219.99126992503099</v>
      </c>
    </row>
    <row r="157" spans="1:19" x14ac:dyDescent="0.3">
      <c r="A157" s="1">
        <v>155</v>
      </c>
      <c r="C157" s="1" t="s">
        <v>15</v>
      </c>
      <c r="D157" s="1">
        <v>17</v>
      </c>
      <c r="E157" s="1">
        <v>651</v>
      </c>
      <c r="F157" s="1">
        <v>30</v>
      </c>
      <c r="G157" s="1">
        <v>0.46910671526145298</v>
      </c>
      <c r="H157" s="1">
        <v>1.8069893031712669</v>
      </c>
      <c r="I157" s="1">
        <v>436.81500452519288</v>
      </c>
      <c r="J157" s="1" t="s">
        <v>16</v>
      </c>
      <c r="K157" s="1">
        <f t="shared" si="6"/>
        <v>0.55206886376351527</v>
      </c>
      <c r="L157" s="1">
        <f t="shared" si="7"/>
        <v>0.9113819024665627</v>
      </c>
      <c r="M157" s="1">
        <f t="shared" si="8"/>
        <v>220.04578900460848</v>
      </c>
    </row>
    <row r="158" spans="1:19" x14ac:dyDescent="0.3">
      <c r="A158" s="1">
        <v>156</v>
      </c>
      <c r="C158" s="1" t="s">
        <v>15</v>
      </c>
      <c r="D158" s="1">
        <v>17</v>
      </c>
      <c r="E158" s="1">
        <v>652</v>
      </c>
      <c r="F158" s="1">
        <v>45</v>
      </c>
      <c r="G158" s="1">
        <v>0.44694457156802675</v>
      </c>
      <c r="H158" s="1">
        <v>1.8038950152305835</v>
      </c>
      <c r="I158" s="1">
        <v>431.26427694786565</v>
      </c>
      <c r="J158" s="1" t="s">
        <v>16</v>
      </c>
      <c r="K158" s="1">
        <f t="shared" si="6"/>
        <v>0.52598731538795107</v>
      </c>
      <c r="L158" s="1">
        <f t="shared" si="7"/>
        <v>0.90982125237017863</v>
      </c>
      <c r="M158" s="1">
        <f t="shared" si="8"/>
        <v>217.24960705882054</v>
      </c>
    </row>
    <row r="159" spans="1:19" x14ac:dyDescent="0.3">
      <c r="A159" s="1">
        <v>157</v>
      </c>
      <c r="C159" s="1" t="s">
        <v>15</v>
      </c>
      <c r="D159" s="1">
        <v>17</v>
      </c>
      <c r="E159" s="1">
        <v>653</v>
      </c>
      <c r="F159" s="1">
        <v>0</v>
      </c>
      <c r="G159" s="1">
        <v>0.41481329749347451</v>
      </c>
      <c r="H159" s="1">
        <v>1.8203978842475614</v>
      </c>
      <c r="I159" s="1">
        <v>409.32184361012975</v>
      </c>
      <c r="J159" s="1" t="s">
        <v>16</v>
      </c>
      <c r="K159" s="1">
        <f t="shared" si="6"/>
        <v>0.48817358262199478</v>
      </c>
      <c r="L159" s="1">
        <f t="shared" si="7"/>
        <v>0.91814471955089405</v>
      </c>
      <c r="M159" s="1">
        <f t="shared" si="8"/>
        <v>206.1960946875333</v>
      </c>
      <c r="N159" s="1">
        <f>SLOPE(K159:K162,F159:F162)</f>
        <v>1.0972600657424484E-4</v>
      </c>
      <c r="O159" s="1">
        <f>SLOPE(L159:L162,F159:F162)</f>
        <v>-1.9768234554199109E-4</v>
      </c>
      <c r="P159" s="1">
        <f>SLOPE(M159:M162,F159:F162)</f>
        <v>0.17174126101707088</v>
      </c>
      <c r="Q159" s="1">
        <f>(N159*41.35/0.31*60)/1000</f>
        <v>8.7816200745387577E-4</v>
      </c>
      <c r="R159" s="1">
        <f>O159*41.35/0.31*60/1000</f>
        <v>-1.5820964493215481E-3</v>
      </c>
      <c r="S159" s="1">
        <f>(P159*41.35/0.31*60)/1000</f>
        <v>1.374484092204364</v>
      </c>
    </row>
    <row r="160" spans="1:19" x14ac:dyDescent="0.3">
      <c r="A160" s="1">
        <v>158</v>
      </c>
      <c r="C160" s="1" t="s">
        <v>15</v>
      </c>
      <c r="D160" s="1">
        <v>17</v>
      </c>
      <c r="E160" s="1">
        <v>654</v>
      </c>
      <c r="F160" s="1">
        <v>15</v>
      </c>
      <c r="G160" s="1">
        <v>0.41027926031052009</v>
      </c>
      <c r="H160" s="1">
        <v>1.8338064653238562</v>
      </c>
      <c r="I160" s="1">
        <v>416.32904101442256</v>
      </c>
      <c r="J160" s="1" t="s">
        <v>16</v>
      </c>
      <c r="K160" s="1">
        <f t="shared" si="6"/>
        <v>0.48283769491367218</v>
      </c>
      <c r="L160" s="1">
        <f t="shared" si="7"/>
        <v>0.9249075366352254</v>
      </c>
      <c r="M160" s="1">
        <f t="shared" si="8"/>
        <v>209.72597407712678</v>
      </c>
    </row>
    <row r="161" spans="1:19" x14ac:dyDescent="0.3">
      <c r="A161" s="1">
        <v>159</v>
      </c>
      <c r="C161" s="1" t="s">
        <v>15</v>
      </c>
      <c r="D161" s="1">
        <v>17</v>
      </c>
      <c r="E161" s="1">
        <v>655</v>
      </c>
      <c r="F161" s="1">
        <v>30</v>
      </c>
      <c r="G161" s="1">
        <v>0.41051890286775866</v>
      </c>
      <c r="H161" s="1">
        <v>1.805957873857706</v>
      </c>
      <c r="I161" s="1">
        <v>423.01706241129472</v>
      </c>
      <c r="J161" s="1" t="s">
        <v>16</v>
      </c>
      <c r="K161" s="1">
        <f t="shared" si="6"/>
        <v>0.48311971857690272</v>
      </c>
      <c r="L161" s="1">
        <f t="shared" si="7"/>
        <v>0.91086168576776827</v>
      </c>
      <c r="M161" s="1">
        <f t="shared" si="8"/>
        <v>213.09506838457645</v>
      </c>
    </row>
    <row r="162" spans="1:19" x14ac:dyDescent="0.3">
      <c r="A162" s="1">
        <v>160</v>
      </c>
      <c r="C162" s="1" t="s">
        <v>15</v>
      </c>
      <c r="D162" s="1">
        <v>17</v>
      </c>
      <c r="E162" s="1">
        <v>656</v>
      </c>
      <c r="F162" s="1">
        <v>45</v>
      </c>
      <c r="G162" s="1">
        <v>0.41939526318787668</v>
      </c>
      <c r="H162" s="1">
        <v>1.8100835911119502</v>
      </c>
      <c r="I162" s="1">
        <v>424.1387642994427</v>
      </c>
      <c r="J162" s="1" t="s">
        <v>16</v>
      </c>
      <c r="K162" s="1">
        <f t="shared" si="6"/>
        <v>0.49356587506296351</v>
      </c>
      <c r="L162" s="1">
        <f t="shared" si="7"/>
        <v>0.91294255256294687</v>
      </c>
      <c r="M162" s="1">
        <f t="shared" si="8"/>
        <v>213.66012630257029</v>
      </c>
    </row>
    <row r="163" spans="1:19" x14ac:dyDescent="0.3">
      <c r="A163" s="1">
        <v>161</v>
      </c>
      <c r="C163" s="1" t="s">
        <v>15</v>
      </c>
      <c r="D163" s="1">
        <v>17</v>
      </c>
      <c r="E163" s="1">
        <v>657</v>
      </c>
      <c r="F163" s="1">
        <v>0</v>
      </c>
      <c r="G163" s="1">
        <v>0.40864010521900795</v>
      </c>
      <c r="H163" s="1">
        <v>1.8100835911119502</v>
      </c>
      <c r="I163" s="1">
        <v>411.19562689507353</v>
      </c>
      <c r="J163" s="1" t="s">
        <v>16</v>
      </c>
      <c r="K163" s="1">
        <f t="shared" si="6"/>
        <v>0.4809086530571749</v>
      </c>
      <c r="L163" s="1">
        <f t="shared" si="7"/>
        <v>0.91294255256294687</v>
      </c>
      <c r="M163" s="1">
        <f t="shared" si="8"/>
        <v>207.1400140059809</v>
      </c>
      <c r="N163" s="1">
        <f>SLOPE(K163:K166,F163:F166)</f>
        <v>1.1656978080197382E-3</v>
      </c>
      <c r="O163" s="1">
        <f>SLOPE(L163:L166,F163:F166)</f>
        <v>7.629844915655992E-5</v>
      </c>
      <c r="P163" s="1">
        <f>SLOPE(M163:M166,F163:F166)</f>
        <v>0.30471237205437601</v>
      </c>
      <c r="Q163" s="1">
        <f>(N163*41.35/0.31*60)/1000</f>
        <v>9.3293427796676473E-3</v>
      </c>
      <c r="R163" s="1">
        <f>O163*41.35/0.31*60/1000</f>
        <v>6.1063371728201673E-4</v>
      </c>
      <c r="S163" s="1">
        <f>(P163*41.35/0.31*60)/1000</f>
        <v>2.438681919570667</v>
      </c>
    </row>
    <row r="164" spans="1:19" x14ac:dyDescent="0.3">
      <c r="A164" s="1">
        <v>162</v>
      </c>
      <c r="C164" s="1" t="s">
        <v>15</v>
      </c>
      <c r="D164" s="1">
        <v>17</v>
      </c>
      <c r="E164" s="1">
        <v>658</v>
      </c>
      <c r="F164" s="1">
        <v>15</v>
      </c>
      <c r="G164" s="1">
        <v>0.46454392097163</v>
      </c>
      <c r="H164" s="1">
        <v>1.8214293135611228</v>
      </c>
      <c r="I164" s="1">
        <v>432.63361539349506</v>
      </c>
      <c r="J164" s="1" t="s">
        <v>16</v>
      </c>
      <c r="K164" s="1">
        <f t="shared" si="6"/>
        <v>0.54669913321560504</v>
      </c>
      <c r="L164" s="1">
        <f t="shared" si="7"/>
        <v>0.91866493624968881</v>
      </c>
      <c r="M164" s="1">
        <f t="shared" si="8"/>
        <v>217.93941202330521</v>
      </c>
    </row>
    <row r="165" spans="1:19" x14ac:dyDescent="0.3">
      <c r="A165" s="1">
        <v>163</v>
      </c>
      <c r="C165" s="1" t="s">
        <v>15</v>
      </c>
      <c r="D165" s="1">
        <v>17</v>
      </c>
      <c r="E165" s="1">
        <v>659</v>
      </c>
      <c r="F165" s="1">
        <v>30</v>
      </c>
      <c r="G165" s="1">
        <v>0.46833027337599997</v>
      </c>
      <c r="H165" s="1">
        <v>1.8224607428746837</v>
      </c>
      <c r="I165" s="1">
        <v>443.07745791217087</v>
      </c>
      <c r="J165" s="1" t="s">
        <v>16</v>
      </c>
      <c r="K165" s="1">
        <f t="shared" si="6"/>
        <v>0.55115510709464821</v>
      </c>
      <c r="L165" s="1">
        <f t="shared" si="7"/>
        <v>0.91918515294848346</v>
      </c>
      <c r="M165" s="1">
        <f t="shared" si="8"/>
        <v>223.20050320253316</v>
      </c>
    </row>
    <row r="166" spans="1:19" x14ac:dyDescent="0.3">
      <c r="A166" s="1">
        <v>164</v>
      </c>
      <c r="C166" s="1" t="s">
        <v>15</v>
      </c>
      <c r="D166" s="1">
        <v>17</v>
      </c>
      <c r="E166" s="1">
        <v>660</v>
      </c>
      <c r="F166" s="1">
        <v>45</v>
      </c>
      <c r="G166" s="1">
        <v>0.45690411624686317</v>
      </c>
      <c r="H166" s="1">
        <v>1.8173035963068782</v>
      </c>
      <c r="I166" s="1">
        <v>437.95871855178365</v>
      </c>
      <c r="J166" s="1" t="s">
        <v>16</v>
      </c>
      <c r="K166" s="1">
        <f t="shared" si="6"/>
        <v>0.53770821883181408</v>
      </c>
      <c r="L166" s="1">
        <f t="shared" si="7"/>
        <v>0.91658406945450999</v>
      </c>
      <c r="M166" s="1">
        <f t="shared" si="8"/>
        <v>220.62193554895705</v>
      </c>
    </row>
    <row r="167" spans="1:19" x14ac:dyDescent="0.3">
      <c r="A167" s="1">
        <v>165</v>
      </c>
      <c r="C167" s="1" t="s">
        <v>15</v>
      </c>
      <c r="D167" s="1">
        <v>17</v>
      </c>
      <c r="E167" s="1">
        <v>661</v>
      </c>
      <c r="F167" s="1">
        <v>0</v>
      </c>
      <c r="G167" s="1">
        <v>0.39392605220455756</v>
      </c>
      <c r="H167" s="1">
        <v>1.9080693759002569</v>
      </c>
      <c r="I167" s="1">
        <v>424.40199278832119</v>
      </c>
      <c r="J167" s="1" t="s">
        <v>129</v>
      </c>
      <c r="K167" s="1">
        <f t="shared" si="6"/>
        <v>0.46359240013481723</v>
      </c>
      <c r="L167" s="1">
        <f t="shared" si="7"/>
        <v>0.96236313894844472</v>
      </c>
      <c r="M167" s="1">
        <f t="shared" si="8"/>
        <v>213.7927277927291</v>
      </c>
      <c r="N167" s="1">
        <f>SLOPE(K167:K170,F167:F170)</f>
        <v>6.452701414715693E-5</v>
      </c>
      <c r="O167" s="1">
        <f>SLOPE(L167:L170,F167:F170)</f>
        <v>-5.0634425349351886E-4</v>
      </c>
      <c r="P167" s="1">
        <f>SLOPE(M167:M170,F167:F170)</f>
        <v>-0.10670338727251039</v>
      </c>
      <c r="Q167" s="1">
        <f>(N167*41.35/0.31*60)/1000</f>
        <v>5.1642426483579471E-4</v>
      </c>
      <c r="R167" s="1">
        <f>O167*41.35/0.31*60/1000</f>
        <v>-4.0523873965078077E-3</v>
      </c>
      <c r="S167" s="1">
        <f>(P167*41.35/0.31*60)/1000</f>
        <v>-0.85397130265515564</v>
      </c>
    </row>
    <row r="168" spans="1:19" x14ac:dyDescent="0.3">
      <c r="A168" s="1">
        <v>166</v>
      </c>
      <c r="C168" s="1" t="s">
        <v>15</v>
      </c>
      <c r="D168" s="1">
        <v>17</v>
      </c>
      <c r="E168" s="1">
        <v>662</v>
      </c>
      <c r="F168" s="1">
        <v>15</v>
      </c>
      <c r="G168" s="1">
        <v>0.39668673446394631</v>
      </c>
      <c r="H168" s="1">
        <v>1.9142579517816238</v>
      </c>
      <c r="I168" s="1">
        <v>486.80640527367274</v>
      </c>
      <c r="J168" s="1" t="s">
        <v>129</v>
      </c>
      <c r="K168" s="1">
        <f t="shared" si="6"/>
        <v>0.46684131273523349</v>
      </c>
      <c r="L168" s="1">
        <f t="shared" si="7"/>
        <v>0.96548443914121318</v>
      </c>
      <c r="M168" s="1">
        <f t="shared" si="8"/>
        <v>245.2289835084282</v>
      </c>
    </row>
    <row r="169" spans="1:19" x14ac:dyDescent="0.3">
      <c r="A169" s="1">
        <v>167</v>
      </c>
      <c r="C169" s="1" t="s">
        <v>15</v>
      </c>
      <c r="D169" s="1">
        <v>17</v>
      </c>
      <c r="E169" s="1">
        <v>663</v>
      </c>
      <c r="F169" s="1">
        <v>30</v>
      </c>
      <c r="G169" s="1">
        <v>0.39835464666232706</v>
      </c>
      <c r="H169" s="1">
        <v>1.8657807740442509</v>
      </c>
      <c r="I169" s="1">
        <v>443.41681171316412</v>
      </c>
      <c r="J169" s="1" t="s">
        <v>129</v>
      </c>
      <c r="K169" s="1">
        <f t="shared" si="6"/>
        <v>0.4688041974313184</v>
      </c>
      <c r="L169" s="1">
        <f t="shared" si="7"/>
        <v>0.94103425429786147</v>
      </c>
      <c r="M169" s="1">
        <f t="shared" si="8"/>
        <v>223.37145285883545</v>
      </c>
    </row>
    <row r="170" spans="1:19" x14ac:dyDescent="0.3">
      <c r="A170" s="1">
        <v>168</v>
      </c>
      <c r="C170" s="1" t="s">
        <v>15</v>
      </c>
      <c r="D170" s="1">
        <v>17</v>
      </c>
      <c r="E170" s="1">
        <v>664</v>
      </c>
      <c r="F170" s="1">
        <v>45</v>
      </c>
      <c r="G170" s="1">
        <v>0.39611159232657367</v>
      </c>
      <c r="H170" s="1">
        <v>1.8740322085527401</v>
      </c>
      <c r="I170" s="1">
        <v>428.27429480938463</v>
      </c>
      <c r="J170" s="1" t="s">
        <v>129</v>
      </c>
      <c r="K170" s="1">
        <f t="shared" si="6"/>
        <v>0.4661644559434801</v>
      </c>
      <c r="L170" s="1">
        <f t="shared" si="7"/>
        <v>0.94519598788821935</v>
      </c>
      <c r="M170" s="1">
        <f t="shared" si="8"/>
        <v>215.74340197896782</v>
      </c>
    </row>
    <row r="171" spans="1:19" x14ac:dyDescent="0.3">
      <c r="A171" s="1">
        <v>169</v>
      </c>
      <c r="C171" s="1" t="s">
        <v>15</v>
      </c>
      <c r="D171" s="1">
        <v>17</v>
      </c>
      <c r="E171" s="1" t="s">
        <v>116</v>
      </c>
      <c r="F171"/>
      <c r="G171" s="1">
        <v>0.40311874070023052</v>
      </c>
      <c r="H171" s="1">
        <v>1.8461836170865895</v>
      </c>
      <c r="I171" s="1">
        <v>403.43451374911456</v>
      </c>
      <c r="J171"/>
      <c r="K171" s="1">
        <f t="shared" si="6"/>
        <v>0.47441082785634231</v>
      </c>
      <c r="L171" s="1">
        <f t="shared" si="7"/>
        <v>0.93115013702076188</v>
      </c>
      <c r="M171" s="1">
        <f t="shared" si="8"/>
        <v>203.2303491637374</v>
      </c>
    </row>
    <row r="172" spans="1:19" x14ac:dyDescent="0.3">
      <c r="A172" s="1">
        <v>170</v>
      </c>
      <c r="C172" s="1" t="s">
        <v>15</v>
      </c>
      <c r="D172" s="1">
        <v>17</v>
      </c>
      <c r="E172" s="1" t="s">
        <v>155</v>
      </c>
      <c r="F172"/>
      <c r="G172" s="1">
        <v>0.40304205508191415</v>
      </c>
      <c r="H172" s="1">
        <v>1.8936293655104015</v>
      </c>
      <c r="I172" s="1">
        <v>402.26603606677565</v>
      </c>
      <c r="J172"/>
      <c r="K172" s="1">
        <f t="shared" si="6"/>
        <v>0.47432058028410851</v>
      </c>
      <c r="L172" s="1">
        <f t="shared" si="7"/>
        <v>0.95508010516531894</v>
      </c>
      <c r="M172" s="1">
        <f t="shared" si="8"/>
        <v>202.64172791473973</v>
      </c>
    </row>
    <row r="173" spans="1:19" x14ac:dyDescent="0.3">
      <c r="A173" s="1">
        <v>171</v>
      </c>
      <c r="B173" s="1" t="s">
        <v>94</v>
      </c>
      <c r="C173" s="1" t="s">
        <v>15</v>
      </c>
      <c r="D173" s="1">
        <v>24.7</v>
      </c>
      <c r="E173" s="1">
        <v>333</v>
      </c>
      <c r="F173" s="1">
        <v>0</v>
      </c>
      <c r="G173" s="1">
        <v>0.42055513316491144</v>
      </c>
      <c r="H173" s="1">
        <v>1.8544350515950787</v>
      </c>
      <c r="I173" s="1">
        <v>410.95899640681336</v>
      </c>
      <c r="J173" s="1" t="s">
        <v>129</v>
      </c>
      <c r="K173" s="1">
        <f t="shared" si="6"/>
        <v>0.48213594699482559</v>
      </c>
      <c r="L173" s="1">
        <f t="shared" si="7"/>
        <v>0.91113224528392289</v>
      </c>
      <c r="M173" s="1">
        <f t="shared" si="8"/>
        <v>201.66892190956668</v>
      </c>
      <c r="N173" s="1">
        <f>SLOPE(K173:K176,F173:F176)</f>
        <v>2.1829023207803496E-2</v>
      </c>
      <c r="O173" s="1">
        <f>SLOPE(L173:L176,F173:F176)</f>
        <v>7.0609686995590335E-4</v>
      </c>
      <c r="P173" s="1">
        <f>SLOPE(M173:M176,F173:F176)</f>
        <v>21.805702411458498</v>
      </c>
      <c r="Q173" s="1">
        <f>(N173*41.35/0.31*60)/1000</f>
        <v>0.17470260186632414</v>
      </c>
      <c r="R173" s="1">
        <f>O173*41.35/0.31*60/1000</f>
        <v>5.6510526914857941E-3</v>
      </c>
      <c r="S173" s="1">
        <f>(P173*41.35/0.31*60)/1000</f>
        <v>174.51596026718883</v>
      </c>
    </row>
    <row r="174" spans="1:19" x14ac:dyDescent="0.3">
      <c r="A174" s="1">
        <v>172</v>
      </c>
      <c r="B174" s="1" t="s">
        <v>95</v>
      </c>
      <c r="C174" s="1" t="s">
        <v>15</v>
      </c>
      <c r="D174" s="1">
        <v>24.7</v>
      </c>
      <c r="E174" s="1">
        <v>334</v>
      </c>
      <c r="F174" s="1">
        <v>15</v>
      </c>
      <c r="G174" s="1">
        <v>0.91039410586291103</v>
      </c>
      <c r="H174" s="1">
        <v>1.8874407896290344</v>
      </c>
      <c r="I174" s="1">
        <v>1422.7827096553044</v>
      </c>
      <c r="J174" s="1" t="s">
        <v>129</v>
      </c>
      <c r="K174" s="1">
        <f t="shared" si="6"/>
        <v>1.0437007891581338</v>
      </c>
      <c r="L174" s="1">
        <f t="shared" si="7"/>
        <v>0.92734882411544595</v>
      </c>
      <c r="M174" s="1">
        <f t="shared" si="8"/>
        <v>698.19874409981446</v>
      </c>
    </row>
    <row r="175" spans="1:19" x14ac:dyDescent="0.3">
      <c r="A175" s="1">
        <v>173</v>
      </c>
      <c r="C175" s="1" t="s">
        <v>15</v>
      </c>
      <c r="D175" s="1">
        <v>24.7</v>
      </c>
      <c r="E175" s="1">
        <v>335</v>
      </c>
      <c r="F175" s="1">
        <v>30</v>
      </c>
      <c r="G175" s="1">
        <v>1.0719036037394418</v>
      </c>
      <c r="H175" s="1">
        <v>1.8709379206120564</v>
      </c>
      <c r="I175" s="1">
        <v>1875.1220657581564</v>
      </c>
      <c r="J175" s="1" t="s">
        <v>129</v>
      </c>
      <c r="K175" s="1">
        <f t="shared" si="6"/>
        <v>1.2288597102283592</v>
      </c>
      <c r="L175" s="1">
        <f t="shared" si="7"/>
        <v>0.91924053469968436</v>
      </c>
      <c r="M175" s="1">
        <f t="shared" si="8"/>
        <v>920.17415060053315</v>
      </c>
    </row>
    <row r="176" spans="1:19" x14ac:dyDescent="0.3">
      <c r="A176" s="1">
        <v>174</v>
      </c>
      <c r="C176" s="1" t="s">
        <v>15</v>
      </c>
      <c r="D176" s="1">
        <v>24.7</v>
      </c>
      <c r="E176" s="1">
        <v>336</v>
      </c>
      <c r="F176" s="1">
        <v>45</v>
      </c>
      <c r="G176" s="1">
        <v>1.3187641948020743</v>
      </c>
      <c r="H176" s="1">
        <v>1.9317922501121629</v>
      </c>
      <c r="I176" s="1">
        <v>2481.9517811769638</v>
      </c>
      <c r="J176" s="1" t="s">
        <v>129</v>
      </c>
      <c r="K176" s="1">
        <f t="shared" si="6"/>
        <v>1.5118674670282588</v>
      </c>
      <c r="L176" s="1">
        <f t="shared" si="7"/>
        <v>0.94913985192030526</v>
      </c>
      <c r="M176" s="1">
        <f t="shared" si="8"/>
        <v>1217.9622403155854</v>
      </c>
    </row>
    <row r="177" spans="1:19" x14ac:dyDescent="0.3">
      <c r="A177" s="1">
        <v>175</v>
      </c>
      <c r="C177" s="1" t="s">
        <v>15</v>
      </c>
      <c r="D177" s="1">
        <v>24.7</v>
      </c>
      <c r="E177" s="1">
        <v>337</v>
      </c>
      <c r="F177" s="1">
        <v>0</v>
      </c>
      <c r="G177" s="1">
        <v>0.42240517370679354</v>
      </c>
      <c r="H177" s="1">
        <v>1.8534036222815176</v>
      </c>
      <c r="I177" s="1">
        <v>383.93909646827046</v>
      </c>
      <c r="J177" s="1" t="s">
        <v>16</v>
      </c>
      <c r="K177" s="1">
        <f t="shared" si="6"/>
        <v>0.48425688424727709</v>
      </c>
      <c r="L177" s="1">
        <f t="shared" si="7"/>
        <v>0.91062547719543785</v>
      </c>
      <c r="M177" s="1">
        <f t="shared" si="8"/>
        <v>188.40951126676813</v>
      </c>
      <c r="N177" s="1">
        <f>SLOPE(K177:K180,F177:F180)</f>
        <v>2.4240810922853576E-2</v>
      </c>
      <c r="O177" s="1">
        <f>SLOPE(L177:L180,F177:F180)</f>
        <v>-3.1081776093753029E-4</v>
      </c>
      <c r="P177" s="1">
        <f>SLOPE(M177:M180,F177:F180)</f>
        <v>28.308802715283143</v>
      </c>
      <c r="Q177" s="1">
        <f>(N177*41.35/0.31*60)/1000</f>
        <v>0.19400468354709591</v>
      </c>
      <c r="R177" s="1">
        <f>O177*41.35/0.31*60/1000</f>
        <v>-2.4875447254387507E-3</v>
      </c>
      <c r="S177" s="1">
        <f>(P177*41.35/0.31*60)/1000</f>
        <v>226.56174044070156</v>
      </c>
    </row>
    <row r="178" spans="1:19" x14ac:dyDescent="0.3">
      <c r="A178" s="1">
        <v>176</v>
      </c>
      <c r="C178" s="1" t="s">
        <v>15</v>
      </c>
      <c r="D178" s="1">
        <v>24.7</v>
      </c>
      <c r="E178" s="1">
        <v>338</v>
      </c>
      <c r="F178" s="1">
        <v>15</v>
      </c>
      <c r="G178" s="1">
        <v>0.75005406366570482</v>
      </c>
      <c r="H178" s="1">
        <v>1.8564979102222008</v>
      </c>
      <c r="I178" s="1">
        <v>1236.8681883673755</v>
      </c>
      <c r="J178" s="1" t="s">
        <v>16</v>
      </c>
      <c r="K178" s="1">
        <f t="shared" si="6"/>
        <v>0.85988256417495046</v>
      </c>
      <c r="L178" s="1">
        <f t="shared" si="7"/>
        <v>0.91214578146089298</v>
      </c>
      <c r="M178" s="1">
        <f t="shared" si="8"/>
        <v>606.96535730626977</v>
      </c>
    </row>
    <row r="179" spans="1:19" x14ac:dyDescent="0.3">
      <c r="A179" s="1">
        <v>177</v>
      </c>
      <c r="C179" s="1" t="s">
        <v>15</v>
      </c>
      <c r="D179" s="1">
        <v>24.7</v>
      </c>
      <c r="E179" s="1">
        <v>339</v>
      </c>
      <c r="F179" s="1">
        <v>30</v>
      </c>
      <c r="G179" s="1">
        <v>1.07678272620482</v>
      </c>
      <c r="H179" s="1">
        <v>1.8451521877730284</v>
      </c>
      <c r="I179" s="1">
        <v>2177.1955587812013</v>
      </c>
      <c r="J179" s="1" t="s">
        <v>16</v>
      </c>
      <c r="K179" s="1">
        <f t="shared" si="6"/>
        <v>1.2344532701324926</v>
      </c>
      <c r="L179" s="1">
        <f t="shared" si="7"/>
        <v>0.90657133248755695</v>
      </c>
      <c r="M179" s="1">
        <f t="shared" si="8"/>
        <v>1068.4099507851097</v>
      </c>
    </row>
    <row r="180" spans="1:19" x14ac:dyDescent="0.3">
      <c r="A180" s="1">
        <v>178</v>
      </c>
      <c r="C180" s="1" t="s">
        <v>15</v>
      </c>
      <c r="D180" s="1">
        <v>24.7</v>
      </c>
      <c r="E180" s="1">
        <v>340</v>
      </c>
      <c r="F180" s="1">
        <v>45</v>
      </c>
      <c r="G180" s="1">
        <v>1.3707282869136936</v>
      </c>
      <c r="H180" s="1">
        <v>1.825555030815367</v>
      </c>
      <c r="I180" s="1">
        <v>2954.8669836892273</v>
      </c>
      <c r="J180" s="1" t="s">
        <v>16</v>
      </c>
      <c r="K180" s="1">
        <f t="shared" si="6"/>
        <v>1.5714405284041084</v>
      </c>
      <c r="L180" s="1">
        <f t="shared" si="7"/>
        <v>0.89694273880634001</v>
      </c>
      <c r="M180" s="1">
        <f t="shared" si="8"/>
        <v>1450.0347825379788</v>
      </c>
    </row>
    <row r="181" spans="1:19" x14ac:dyDescent="0.3">
      <c r="A181" s="1">
        <v>179</v>
      </c>
      <c r="C181" s="1" t="s">
        <v>15</v>
      </c>
      <c r="D181" s="1">
        <v>24.7</v>
      </c>
      <c r="E181" s="1">
        <v>341</v>
      </c>
      <c r="F181" s="1">
        <v>0</v>
      </c>
      <c r="G181" s="1">
        <v>0.45841865720861119</v>
      </c>
      <c r="H181" s="1">
        <v>1.8626864861035677</v>
      </c>
      <c r="I181" s="1">
        <v>391.09946166922782</v>
      </c>
      <c r="J181" s="1" t="s">
        <v>16</v>
      </c>
      <c r="K181" s="1">
        <f t="shared" si="6"/>
        <v>0.52554373014085154</v>
      </c>
      <c r="L181" s="1">
        <f t="shared" si="7"/>
        <v>0.91518638999180357</v>
      </c>
      <c r="M181" s="1">
        <f t="shared" si="8"/>
        <v>191.92330009529249</v>
      </c>
      <c r="N181" s="1">
        <f>SLOPE(K181:K184,F181:F184)</f>
        <v>5.2504222941401404E-2</v>
      </c>
      <c r="O181" s="1">
        <f>SLOPE(L181:L184,F181:F184)</f>
        <v>-1.1148897946672065E-4</v>
      </c>
      <c r="P181" s="1">
        <f>SLOPE(M181:M184,F181:F184)</f>
        <v>26.533932032824307</v>
      </c>
      <c r="Q181" s="1">
        <f>(N181*41.35/0.31*60)/1000</f>
        <v>0.42020315199231262</v>
      </c>
      <c r="R181" s="1">
        <f>O181*41.35/0.31*60/1000</f>
        <v>-8.9227147760301273E-4</v>
      </c>
      <c r="S181" s="1">
        <f>(P181*41.35/0.31*60)/1000</f>
        <v>212.35704959173262</v>
      </c>
    </row>
    <row r="182" spans="1:19" x14ac:dyDescent="0.3">
      <c r="A182" s="1">
        <v>180</v>
      </c>
      <c r="C182" s="1" t="s">
        <v>15</v>
      </c>
      <c r="D182" s="1">
        <v>24.7</v>
      </c>
      <c r="E182" s="1">
        <v>342</v>
      </c>
      <c r="F182" s="1">
        <v>15</v>
      </c>
      <c r="G182" s="1">
        <v>1.3540299935253075</v>
      </c>
      <c r="H182" s="1">
        <v>1.841026470518784</v>
      </c>
      <c r="I182" s="1">
        <v>1446.077055162403</v>
      </c>
      <c r="J182" s="1" t="s">
        <v>16</v>
      </c>
      <c r="K182" s="1">
        <f t="shared" si="6"/>
        <v>1.5522971465711017</v>
      </c>
      <c r="L182" s="1">
        <f t="shared" si="7"/>
        <v>0.90454426013361655</v>
      </c>
      <c r="M182" s="1">
        <f t="shared" si="8"/>
        <v>709.62992235866739</v>
      </c>
    </row>
    <row r="183" spans="1:19" x14ac:dyDescent="0.3">
      <c r="A183" s="1">
        <v>181</v>
      </c>
      <c r="C183" s="1" t="s">
        <v>15</v>
      </c>
      <c r="D183" s="1">
        <v>24.7</v>
      </c>
      <c r="E183" s="1">
        <v>343</v>
      </c>
      <c r="F183" s="1">
        <v>30</v>
      </c>
      <c r="G183" s="1">
        <v>1.8913181925565512</v>
      </c>
      <c r="H183" s="1">
        <v>1.8719693499256176</v>
      </c>
      <c r="I183" s="1">
        <v>2049.1784646324595</v>
      </c>
      <c r="J183" s="1" t="s">
        <v>16</v>
      </c>
      <c r="K183" s="1">
        <f t="shared" si="6"/>
        <v>2.1682590840693035</v>
      </c>
      <c r="L183" s="1">
        <f t="shared" si="7"/>
        <v>0.91974730278816952</v>
      </c>
      <c r="M183" s="1">
        <f t="shared" si="8"/>
        <v>1005.5884294442903</v>
      </c>
    </row>
    <row r="184" spans="1:19" x14ac:dyDescent="0.3">
      <c r="A184" s="1">
        <v>182</v>
      </c>
      <c r="C184" s="1" t="s">
        <v>15</v>
      </c>
      <c r="D184" s="1">
        <v>24.7</v>
      </c>
      <c r="E184" s="1">
        <v>344</v>
      </c>
      <c r="F184" s="1">
        <v>45</v>
      </c>
      <c r="G184" s="1">
        <v>2.5692286441754084</v>
      </c>
      <c r="H184" s="1">
        <v>1.841026470518784</v>
      </c>
      <c r="I184" s="1">
        <v>2893.5952791612453</v>
      </c>
      <c r="J184" s="1" t="s">
        <v>16</v>
      </c>
      <c r="K184" s="1">
        <f t="shared" si="6"/>
        <v>2.9454342313781878</v>
      </c>
      <c r="L184" s="1">
        <f t="shared" si="7"/>
        <v>0.90454426013361655</v>
      </c>
      <c r="M184" s="1">
        <f t="shared" si="8"/>
        <v>1419.9670660413001</v>
      </c>
    </row>
    <row r="185" spans="1:19" x14ac:dyDescent="0.3">
      <c r="A185" s="1">
        <v>183</v>
      </c>
      <c r="C185" s="1" t="s">
        <v>15</v>
      </c>
      <c r="D185" s="1">
        <v>24.7</v>
      </c>
      <c r="E185" s="1">
        <v>345</v>
      </c>
      <c r="F185" s="1">
        <v>0</v>
      </c>
      <c r="G185" s="1">
        <v>0.42894262266826266</v>
      </c>
      <c r="H185" s="1">
        <v>1.8606236274764454</v>
      </c>
      <c r="I185" s="1">
        <v>383.95285405479723</v>
      </c>
      <c r="J185" s="1" t="s">
        <v>16</v>
      </c>
      <c r="K185" s="1">
        <f t="shared" si="6"/>
        <v>0.49175159516008449</v>
      </c>
      <c r="L185" s="1">
        <f t="shared" si="7"/>
        <v>0.91417285381483349</v>
      </c>
      <c r="M185" s="1">
        <f t="shared" si="8"/>
        <v>188.416262494183</v>
      </c>
      <c r="N185" s="1">
        <f>SLOPE(K185:K188,F185:F188)</f>
        <v>5.7854259687429577E-2</v>
      </c>
      <c r="O185" s="1">
        <f>SLOPE(L185:L188,F185:F188)</f>
        <v>1.7230115008493474E-4</v>
      </c>
      <c r="P185" s="1">
        <f>SLOPE(M185:M188,F185:F188)</f>
        <v>27.065055594370158</v>
      </c>
      <c r="Q185" s="1">
        <f>(N185*41.35/0.31*60)/1000</f>
        <v>0.46302070414358965</v>
      </c>
      <c r="R185" s="1">
        <f>O185*41.35/0.31*60/1000</f>
        <v>1.3789650108410423E-3</v>
      </c>
      <c r="S185" s="1">
        <f>(P185*41.35/0.31*60)/1000</f>
        <v>216.60775138591083</v>
      </c>
    </row>
    <row r="186" spans="1:19" x14ac:dyDescent="0.3">
      <c r="A186" s="1">
        <v>184</v>
      </c>
      <c r="C186" s="1" t="s">
        <v>15</v>
      </c>
      <c r="D186" s="1">
        <v>24.7</v>
      </c>
      <c r="E186" s="1">
        <v>346</v>
      </c>
      <c r="F186" s="1">
        <v>15</v>
      </c>
      <c r="G186" s="1">
        <v>1.5488498068580043</v>
      </c>
      <c r="H186" s="1">
        <v>1.8709379206120564</v>
      </c>
      <c r="I186" s="1">
        <v>1558.1931308035234</v>
      </c>
      <c r="J186" s="1" t="s">
        <v>16</v>
      </c>
      <c r="K186" s="1">
        <f t="shared" si="6"/>
        <v>1.7756439274976406</v>
      </c>
      <c r="L186" s="1">
        <f t="shared" si="7"/>
        <v>0.91924053469968436</v>
      </c>
      <c r="M186" s="1">
        <f t="shared" si="8"/>
        <v>764.64837505338323</v>
      </c>
    </row>
    <row r="187" spans="1:19" x14ac:dyDescent="0.3">
      <c r="A187" s="1">
        <v>185</v>
      </c>
      <c r="C187" s="1" t="s">
        <v>15</v>
      </c>
      <c r="D187" s="1">
        <v>24.7</v>
      </c>
      <c r="E187" s="1">
        <v>347</v>
      </c>
      <c r="F187" s="1">
        <v>30</v>
      </c>
      <c r="G187" s="1">
        <v>2.185982680937141</v>
      </c>
      <c r="H187" s="1">
        <v>1.8647493447306898</v>
      </c>
      <c r="I187" s="1">
        <v>2285.4209889525569</v>
      </c>
      <c r="J187" s="1" t="s">
        <v>16</v>
      </c>
      <c r="K187" s="1">
        <f t="shared" si="6"/>
        <v>2.5060705407550845</v>
      </c>
      <c r="L187" s="1">
        <f t="shared" si="7"/>
        <v>0.91619992616877377</v>
      </c>
      <c r="M187" s="1">
        <f t="shared" si="8"/>
        <v>1121.5191563669014</v>
      </c>
    </row>
    <row r="188" spans="1:19" x14ac:dyDescent="0.3">
      <c r="A188" s="1">
        <v>186</v>
      </c>
      <c r="C188" s="1" t="s">
        <v>15</v>
      </c>
      <c r="D188" s="1">
        <v>24.7</v>
      </c>
      <c r="E188" s="1">
        <v>348</v>
      </c>
      <c r="F188" s="1">
        <v>45</v>
      </c>
      <c r="G188" s="1">
        <v>2.7398062164178483</v>
      </c>
      <c r="H188" s="1">
        <v>1.8802207844341068</v>
      </c>
      <c r="I188" s="1">
        <v>2899.1891138430224</v>
      </c>
      <c r="J188" s="1" t="s">
        <v>16</v>
      </c>
      <c r="K188" s="1">
        <f t="shared" si="6"/>
        <v>3.1409890417790822</v>
      </c>
      <c r="L188" s="1">
        <f t="shared" si="7"/>
        <v>0.92380144749605042</v>
      </c>
      <c r="M188" s="1">
        <f t="shared" si="8"/>
        <v>1422.7121151081847</v>
      </c>
    </row>
    <row r="189" spans="1:19" x14ac:dyDescent="0.3">
      <c r="A189" s="1">
        <v>187</v>
      </c>
      <c r="C189" s="1" t="s">
        <v>15</v>
      </c>
      <c r="D189" s="1">
        <v>24.7</v>
      </c>
      <c r="E189" s="1">
        <v>349</v>
      </c>
      <c r="F189" s="1">
        <v>0</v>
      </c>
      <c r="G189" s="1">
        <v>0.42563555537836989</v>
      </c>
      <c r="H189" s="1">
        <v>1.891566506883279</v>
      </c>
      <c r="I189" s="1">
        <v>392.0872563818487</v>
      </c>
      <c r="J189" s="1" t="s">
        <v>16</v>
      </c>
      <c r="K189" s="1">
        <f t="shared" si="6"/>
        <v>0.48796028245492529</v>
      </c>
      <c r="L189" s="1">
        <f t="shared" si="7"/>
        <v>0.92937589646938623</v>
      </c>
      <c r="M189" s="1">
        <f t="shared" si="8"/>
        <v>192.40803822367997</v>
      </c>
      <c r="N189" s="1">
        <f>SLOPE(K189:K192,F189:F192)</f>
        <v>6.8879030723626292E-2</v>
      </c>
      <c r="O189" s="1">
        <f>SLOPE(L189:L192,F189:F192)</f>
        <v>8.1758584942262698E-4</v>
      </c>
      <c r="P189" s="1">
        <f>SLOPE(M189:M192,F189:F192)</f>
        <v>31.164694934138058</v>
      </c>
      <c r="Q189" s="1">
        <f>(N189*41.35/0.31*60)/1000</f>
        <v>0.55125443621069947</v>
      </c>
      <c r="R189" s="1">
        <f>O189*41.35/0.31*60/1000</f>
        <v>6.5433241690888311E-3</v>
      </c>
      <c r="S189" s="1">
        <f>(P189*41.35/0.31*60)/1000</f>
        <v>249.41809074708559</v>
      </c>
    </row>
    <row r="190" spans="1:19" x14ac:dyDescent="0.3">
      <c r="A190" s="1">
        <v>188</v>
      </c>
      <c r="C190" s="1" t="s">
        <v>15</v>
      </c>
      <c r="D190" s="1">
        <v>24.7</v>
      </c>
      <c r="E190" s="1">
        <v>350</v>
      </c>
      <c r="F190" s="1">
        <v>15</v>
      </c>
      <c r="G190" s="1">
        <v>1.4929843339145408</v>
      </c>
      <c r="H190" s="1">
        <v>1.9111636638409404</v>
      </c>
      <c r="I190" s="1">
        <v>1431.5297831690141</v>
      </c>
      <c r="J190" s="1" t="s">
        <v>16</v>
      </c>
      <c r="K190" s="1">
        <f t="shared" si="6"/>
        <v>1.7115982160609224</v>
      </c>
      <c r="L190" s="1">
        <f t="shared" si="7"/>
        <v>0.93900449015060317</v>
      </c>
      <c r="M190" s="1">
        <f t="shared" si="8"/>
        <v>702.49117449018695</v>
      </c>
    </row>
    <row r="191" spans="1:19" x14ac:dyDescent="0.3">
      <c r="A191" s="1">
        <v>189</v>
      </c>
      <c r="C191" s="1" t="s">
        <v>15</v>
      </c>
      <c r="D191" s="1">
        <v>24.7</v>
      </c>
      <c r="E191" s="1">
        <v>351</v>
      </c>
      <c r="F191" s="1">
        <v>30</v>
      </c>
      <c r="G191" s="1">
        <v>2.3320591981275056</v>
      </c>
      <c r="H191" s="1">
        <v>1.9565465536376299</v>
      </c>
      <c r="I191" s="1">
        <v>2298.2448939403607</v>
      </c>
      <c r="J191" s="1" t="s">
        <v>16</v>
      </c>
      <c r="K191" s="1">
        <f t="shared" si="6"/>
        <v>2.6735366692012335</v>
      </c>
      <c r="L191" s="1">
        <f t="shared" si="7"/>
        <v>0.96130228604394763</v>
      </c>
      <c r="M191" s="1">
        <f t="shared" si="8"/>
        <v>1127.8122004812128</v>
      </c>
    </row>
    <row r="192" spans="1:19" x14ac:dyDescent="0.3">
      <c r="A192" s="1">
        <v>190</v>
      </c>
      <c r="C192" s="1" t="s">
        <v>15</v>
      </c>
      <c r="D192" s="1">
        <v>24.7</v>
      </c>
      <c r="E192" s="1">
        <v>352</v>
      </c>
      <c r="F192" s="1">
        <v>45</v>
      </c>
      <c r="G192" s="1">
        <v>3.1500167601966038</v>
      </c>
      <c r="H192" s="1">
        <v>1.9596408415783131</v>
      </c>
      <c r="I192" s="1">
        <v>3278.538053214404</v>
      </c>
      <c r="J192" s="1" t="s">
        <v>16</v>
      </c>
      <c r="K192" s="1">
        <f t="shared" si="6"/>
        <v>3.6112656675894694</v>
      </c>
      <c r="L192" s="1">
        <f t="shared" si="7"/>
        <v>0.96282259030940276</v>
      </c>
      <c r="M192" s="1">
        <f t="shared" si="8"/>
        <v>1608.8691096002408</v>
      </c>
    </row>
    <row r="193" spans="1:19" x14ac:dyDescent="0.3">
      <c r="A193" s="1">
        <v>191</v>
      </c>
      <c r="C193" s="1" t="s">
        <v>15</v>
      </c>
      <c r="D193" s="1">
        <v>24.7</v>
      </c>
      <c r="E193" s="1">
        <v>353</v>
      </c>
      <c r="F193" s="1">
        <v>0</v>
      </c>
      <c r="G193" s="1">
        <v>0.42559721256921174</v>
      </c>
      <c r="H193" s="1">
        <v>1.8719693499256176</v>
      </c>
      <c r="I193" s="1">
        <v>386.45490045779604</v>
      </c>
      <c r="J193" s="1" t="s">
        <v>16</v>
      </c>
      <c r="K193" s="1">
        <f t="shared" si="6"/>
        <v>0.48791632520616984</v>
      </c>
      <c r="L193" s="1">
        <f t="shared" si="7"/>
        <v>0.91974730278816952</v>
      </c>
      <c r="M193" s="1">
        <f t="shared" si="8"/>
        <v>189.64408572003344</v>
      </c>
      <c r="N193" s="1">
        <f>SLOPE(K193:K196,F193:F196)</f>
        <v>3.2980757430822273E-2</v>
      </c>
      <c r="O193" s="1">
        <f>SLOPE(L193:L196,F193:F196)</f>
        <v>8.1758584942262481E-4</v>
      </c>
      <c r="P193" s="1">
        <f>SLOPE(M193:M196,F193:F196)</f>
        <v>29.611588569802777</v>
      </c>
      <c r="Q193" s="1">
        <f>(N193*41.35/0.31*60)/1000</f>
        <v>0.26395244898667763</v>
      </c>
      <c r="R193" s="1">
        <f>O193*41.35/0.31*60/1000</f>
        <v>6.5433241690888129E-3</v>
      </c>
      <c r="S193" s="1">
        <f>(P193*41.35/0.31*60)/1000</f>
        <v>236.9882298118732</v>
      </c>
    </row>
    <row r="194" spans="1:19" x14ac:dyDescent="0.3">
      <c r="A194" s="1">
        <v>192</v>
      </c>
      <c r="C194" s="1" t="s">
        <v>15</v>
      </c>
      <c r="D194" s="1">
        <v>24.7</v>
      </c>
      <c r="E194" s="1">
        <v>354</v>
      </c>
      <c r="F194" s="1">
        <v>15</v>
      </c>
      <c r="G194" s="1">
        <v>1.0039313888042838</v>
      </c>
      <c r="H194" s="1">
        <v>1.8843465016883512</v>
      </c>
      <c r="I194" s="1">
        <v>1562.2002571725493</v>
      </c>
      <c r="J194" s="1" t="s">
        <v>16</v>
      </c>
      <c r="K194" s="1">
        <f t="shared" si="6"/>
        <v>1.1509344974971012</v>
      </c>
      <c r="L194" s="1">
        <f t="shared" si="7"/>
        <v>0.92582851984999071</v>
      </c>
      <c r="M194" s="1">
        <f t="shared" si="8"/>
        <v>766.61478255842019</v>
      </c>
    </row>
    <row r="195" spans="1:19" x14ac:dyDescent="0.3">
      <c r="A195" s="1">
        <v>193</v>
      </c>
      <c r="C195" s="1" t="s">
        <v>15</v>
      </c>
      <c r="D195" s="1">
        <v>24.7</v>
      </c>
      <c r="E195" s="1">
        <v>355</v>
      </c>
      <c r="F195" s="1">
        <v>30</v>
      </c>
      <c r="G195" s="1">
        <v>1.3425846649915918</v>
      </c>
      <c r="H195" s="1">
        <v>1.9204465276629905</v>
      </c>
      <c r="I195" s="1">
        <v>2282.3035198455941</v>
      </c>
      <c r="J195" s="1" t="s">
        <v>16</v>
      </c>
      <c r="K195" s="1">
        <f t="shared" ref="K195:K258" si="9">(G195*28*1)/(0.082*(D195+273.15))</f>
        <v>1.5391759078175944</v>
      </c>
      <c r="L195" s="1">
        <f t="shared" ref="L195:L258" si="10">(H195*12*1)/(0.082*(D195+273.15))</f>
        <v>0.94356540294696911</v>
      </c>
      <c r="M195" s="1">
        <f t="shared" ref="M195:M258" si="11">(I195*12*1)/(0.0821*(D195+273.15))</f>
        <v>1119.9893282346925</v>
      </c>
    </row>
    <row r="196" spans="1:19" x14ac:dyDescent="0.3">
      <c r="A196" s="1">
        <v>194</v>
      </c>
      <c r="C196" s="1" t="s">
        <v>15</v>
      </c>
      <c r="D196" s="1">
        <v>24.7</v>
      </c>
      <c r="E196" s="1">
        <v>356</v>
      </c>
      <c r="F196" s="1">
        <v>45</v>
      </c>
      <c r="G196" s="1">
        <v>1.7511272965719669</v>
      </c>
      <c r="H196" s="1">
        <v>1.9431379725613351</v>
      </c>
      <c r="I196" s="1">
        <v>3163.5310500577953</v>
      </c>
      <c r="J196" s="1" t="s">
        <v>16</v>
      </c>
      <c r="K196" s="1">
        <f t="shared" si="9"/>
        <v>2.007540393307119</v>
      </c>
      <c r="L196" s="1">
        <f t="shared" si="10"/>
        <v>0.95471430089364129</v>
      </c>
      <c r="M196" s="1">
        <f t="shared" si="11"/>
        <v>1552.4319989847479</v>
      </c>
    </row>
    <row r="197" spans="1:19" x14ac:dyDescent="0.3">
      <c r="A197" s="1">
        <v>195</v>
      </c>
      <c r="C197" s="1" t="s">
        <v>15</v>
      </c>
      <c r="D197" s="1">
        <v>24.7</v>
      </c>
      <c r="E197" s="1">
        <v>357</v>
      </c>
      <c r="F197" s="1">
        <v>0</v>
      </c>
      <c r="G197" s="1">
        <v>0.42274067328692755</v>
      </c>
      <c r="H197" s="1">
        <v>1.8709379206120564</v>
      </c>
      <c r="I197" s="1">
        <v>391.23520318962511</v>
      </c>
      <c r="J197" s="1" t="s">
        <v>16</v>
      </c>
      <c r="K197" s="1">
        <f t="shared" si="9"/>
        <v>0.48464151017388735</v>
      </c>
      <c r="L197" s="1">
        <f t="shared" si="10"/>
        <v>0.91924053469968436</v>
      </c>
      <c r="M197" s="1">
        <f t="shared" si="11"/>
        <v>191.98991220578586</v>
      </c>
      <c r="N197" s="1">
        <f>SLOPE(K197:K200,F197:F200)</f>
        <v>4.7931423615451191E-2</v>
      </c>
      <c r="O197" s="1">
        <f>SLOPE(L197:L200,F197:F200)</f>
        <v>-9.1218255927316699E-5</v>
      </c>
      <c r="P197" s="1">
        <f>SLOPE(M197:M200,F197:F200)</f>
        <v>24.843979789062423</v>
      </c>
      <c r="Q197" s="1">
        <f>(N197*41.35/0.31*60)/1000</f>
        <v>0.38360600641914322</v>
      </c>
      <c r="R197" s="1">
        <f>O197*41.35/0.31*60/1000</f>
        <v>-7.3004029985700885E-4</v>
      </c>
      <c r="S197" s="1">
        <f>(P197*41.35/0.31*60)/1000</f>
        <v>198.83198018278671</v>
      </c>
    </row>
    <row r="198" spans="1:19" x14ac:dyDescent="0.3">
      <c r="A198" s="1">
        <v>196</v>
      </c>
      <c r="C198" s="1" t="s">
        <v>15</v>
      </c>
      <c r="D198" s="1">
        <v>24.7</v>
      </c>
      <c r="E198" s="1">
        <v>358</v>
      </c>
      <c r="F198" s="1">
        <v>15</v>
      </c>
      <c r="G198" s="1">
        <v>1.3557841770442942</v>
      </c>
      <c r="H198" s="1">
        <v>1.8544350515950787</v>
      </c>
      <c r="I198" s="1">
        <v>1422.8533319328085</v>
      </c>
      <c r="J198" s="1" t="s">
        <v>16</v>
      </c>
      <c r="K198" s="1">
        <f t="shared" si="9"/>
        <v>1.5543081907016645</v>
      </c>
      <c r="L198" s="1">
        <f t="shared" si="10"/>
        <v>0.91113224528392289</v>
      </c>
      <c r="M198" s="1">
        <f t="shared" si="11"/>
        <v>698.23340040054416</v>
      </c>
    </row>
    <row r="199" spans="1:19" x14ac:dyDescent="0.3">
      <c r="A199" s="1">
        <v>197</v>
      </c>
      <c r="C199" s="1" t="s">
        <v>15</v>
      </c>
      <c r="D199" s="1">
        <v>24.7</v>
      </c>
      <c r="E199" s="1">
        <v>359</v>
      </c>
      <c r="F199" s="1">
        <v>30</v>
      </c>
      <c r="G199" s="1">
        <v>1.7640488232582721</v>
      </c>
      <c r="H199" s="1">
        <v>1.8606236274764454</v>
      </c>
      <c r="I199" s="1">
        <v>2019.7353951203379</v>
      </c>
      <c r="J199" s="1" t="s">
        <v>16</v>
      </c>
      <c r="K199" s="1">
        <f t="shared" si="9"/>
        <v>2.0223539861377118</v>
      </c>
      <c r="L199" s="1">
        <f t="shared" si="10"/>
        <v>0.91417285381483349</v>
      </c>
      <c r="M199" s="1">
        <f t="shared" si="11"/>
        <v>991.13990261282004</v>
      </c>
    </row>
    <row r="200" spans="1:19" x14ac:dyDescent="0.3">
      <c r="A200" s="1">
        <v>198</v>
      </c>
      <c r="C200" s="1" t="s">
        <v>15</v>
      </c>
      <c r="D200" s="1">
        <v>24.7</v>
      </c>
      <c r="E200" s="1">
        <v>360</v>
      </c>
      <c r="F200" s="1">
        <v>45</v>
      </c>
      <c r="G200" s="1">
        <v>2.3771215845906526</v>
      </c>
      <c r="H200" s="1">
        <v>1.8595921981628842</v>
      </c>
      <c r="I200" s="1">
        <v>2723.6157117610364</v>
      </c>
      <c r="J200" s="1" t="s">
        <v>16</v>
      </c>
      <c r="K200" s="1">
        <f t="shared" si="9"/>
        <v>2.725197425801098</v>
      </c>
      <c r="L200" s="1">
        <f t="shared" si="10"/>
        <v>0.91366608572634833</v>
      </c>
      <c r="M200" s="1">
        <f t="shared" si="11"/>
        <v>1336.5534009214816</v>
      </c>
    </row>
    <row r="201" spans="1:19" x14ac:dyDescent="0.3">
      <c r="A201" s="1">
        <v>199</v>
      </c>
      <c r="C201" s="1" t="s">
        <v>15</v>
      </c>
      <c r="D201" s="1">
        <v>24.7</v>
      </c>
      <c r="E201" s="1">
        <v>361</v>
      </c>
      <c r="F201" s="1">
        <v>0</v>
      </c>
      <c r="G201" s="1">
        <v>0.42834830912631094</v>
      </c>
      <c r="H201" s="1">
        <v>1.8503093343408341</v>
      </c>
      <c r="I201" s="1">
        <v>389.2229268669787</v>
      </c>
      <c r="J201" s="1" t="s">
        <v>129</v>
      </c>
      <c r="K201" s="1">
        <f t="shared" si="9"/>
        <v>0.49107025780437474</v>
      </c>
      <c r="L201" s="1">
        <f t="shared" si="10"/>
        <v>0.90910517292998239</v>
      </c>
      <c r="M201" s="1">
        <f t="shared" si="11"/>
        <v>191.00243267590466</v>
      </c>
      <c r="N201" s="1">
        <f>SLOPE(K201:K204,F201:F204)</f>
        <v>1.9637021736530761E-2</v>
      </c>
      <c r="O201" s="1">
        <f>SLOPE(L201:L204,F201:F204)</f>
        <v>1.9595032754757231E-4</v>
      </c>
      <c r="P201" s="1">
        <f>SLOPE(M201:M204,F201:F204)</f>
        <v>35.299410651008095</v>
      </c>
      <c r="Q201" s="1">
        <f>(N201*41.35/0.31*60)/1000</f>
        <v>0.15715951912365425</v>
      </c>
      <c r="R201" s="1">
        <f>O201*41.35/0.31*60/1000</f>
        <v>1.5682347182113773E-3</v>
      </c>
      <c r="S201" s="1">
        <f>(P201*41.35/0.31*60)/1000</f>
        <v>282.50915427468095</v>
      </c>
    </row>
    <row r="202" spans="1:19" x14ac:dyDescent="0.3">
      <c r="A202" s="1">
        <v>200</v>
      </c>
      <c r="C202" s="1" t="s">
        <v>15</v>
      </c>
      <c r="D202" s="1">
        <v>24.7</v>
      </c>
      <c r="E202" s="1">
        <v>362</v>
      </c>
      <c r="F202" s="1">
        <v>15</v>
      </c>
      <c r="G202" s="1">
        <v>0.7145390366829435</v>
      </c>
      <c r="H202" s="1">
        <v>1.8554664809086396</v>
      </c>
      <c r="I202" s="1">
        <v>1497.5964651877871</v>
      </c>
      <c r="J202" s="1" t="s">
        <v>129</v>
      </c>
      <c r="K202" s="1">
        <f t="shared" si="9"/>
        <v>0.81916716251519717</v>
      </c>
      <c r="L202" s="1">
        <f t="shared" si="10"/>
        <v>0.91163901337240782</v>
      </c>
      <c r="M202" s="1">
        <f t="shared" si="11"/>
        <v>734.91191878186044</v>
      </c>
    </row>
    <row r="203" spans="1:19" x14ac:dyDescent="0.3">
      <c r="A203" s="1">
        <v>201</v>
      </c>
      <c r="C203" s="1" t="s">
        <v>15</v>
      </c>
      <c r="D203" s="1">
        <v>24.7</v>
      </c>
      <c r="E203" s="1">
        <v>363</v>
      </c>
      <c r="F203" s="1">
        <v>30</v>
      </c>
      <c r="G203" s="1">
        <v>0.94425080634958136</v>
      </c>
      <c r="H203" s="1">
        <v>1.8781579258069845</v>
      </c>
      <c r="I203" s="1">
        <v>2487.4759107536725</v>
      </c>
      <c r="J203" s="1" t="s">
        <v>129</v>
      </c>
      <c r="K203" s="1">
        <f t="shared" si="9"/>
        <v>1.0825150398092134</v>
      </c>
      <c r="L203" s="1">
        <f t="shared" si="10"/>
        <v>0.92278791131908011</v>
      </c>
      <c r="M203" s="1">
        <f t="shared" si="11"/>
        <v>1220.6730831635684</v>
      </c>
    </row>
    <row r="204" spans="1:19" x14ac:dyDescent="0.3">
      <c r="A204" s="1">
        <v>202</v>
      </c>
      <c r="C204" s="1" t="s">
        <v>15</v>
      </c>
      <c r="D204" s="1">
        <v>24.7</v>
      </c>
      <c r="E204" s="1">
        <v>364</v>
      </c>
      <c r="F204" s="1">
        <v>45</v>
      </c>
      <c r="G204" s="1">
        <v>1.2082218759990502</v>
      </c>
      <c r="H204" s="1">
        <v>1.8626864861035677</v>
      </c>
      <c r="I204" s="1">
        <v>3655.9031486086283</v>
      </c>
      <c r="J204" s="1" t="s">
        <v>129</v>
      </c>
      <c r="K204" s="1">
        <f t="shared" si="9"/>
        <v>1.3851387188662407</v>
      </c>
      <c r="L204" s="1">
        <f t="shared" si="10"/>
        <v>0.91518638999180357</v>
      </c>
      <c r="M204" s="1">
        <f t="shared" si="11"/>
        <v>1794.0525770990737</v>
      </c>
    </row>
    <row r="205" spans="1:19" x14ac:dyDescent="0.3">
      <c r="A205" s="1">
        <v>203</v>
      </c>
      <c r="C205" s="1" t="s">
        <v>15</v>
      </c>
      <c r="D205" s="1">
        <v>24.7</v>
      </c>
      <c r="E205" s="1" t="s">
        <v>155</v>
      </c>
      <c r="F205"/>
      <c r="G205" s="1">
        <v>0.46668153258219824</v>
      </c>
      <c r="H205" s="1">
        <v>1.9070379465866958</v>
      </c>
      <c r="I205" s="1">
        <v>575.57127071671823</v>
      </c>
      <c r="J205"/>
      <c r="K205" s="1">
        <f t="shared" si="9"/>
        <v>0.53501651724765509</v>
      </c>
      <c r="L205" s="1">
        <f t="shared" si="10"/>
        <v>0.93697741779666277</v>
      </c>
      <c r="M205" s="1">
        <f t="shared" si="11"/>
        <v>282.44870817393183</v>
      </c>
    </row>
    <row r="206" spans="1:19" x14ac:dyDescent="0.3">
      <c r="A206" s="1">
        <v>204</v>
      </c>
      <c r="C206" s="1" t="s">
        <v>15</v>
      </c>
      <c r="D206" s="1">
        <v>24.7</v>
      </c>
      <c r="E206" s="1" t="s">
        <v>156</v>
      </c>
      <c r="F206"/>
      <c r="G206" s="1">
        <v>0.42619152611116351</v>
      </c>
      <c r="H206" s="1">
        <v>1.9173522397223071</v>
      </c>
      <c r="I206" s="1">
        <v>524.40222056154823</v>
      </c>
      <c r="J206"/>
      <c r="K206" s="1">
        <f t="shared" si="9"/>
        <v>0.48859766256187959</v>
      </c>
      <c r="L206" s="1">
        <f t="shared" si="10"/>
        <v>0.94204509868151376</v>
      </c>
      <c r="M206" s="1">
        <f t="shared" si="11"/>
        <v>257.33864300890355</v>
      </c>
    </row>
    <row r="207" spans="1:19" x14ac:dyDescent="0.3">
      <c r="A207" s="1">
        <v>205</v>
      </c>
      <c r="C207" s="1" t="s">
        <v>15</v>
      </c>
      <c r="D207" s="1">
        <v>24.7</v>
      </c>
      <c r="E207" s="1" t="s">
        <v>157</v>
      </c>
      <c r="F207"/>
      <c r="G207" s="1">
        <v>0.42993953570637533</v>
      </c>
      <c r="H207" s="1">
        <v>1.9091008052138183</v>
      </c>
      <c r="I207" s="1">
        <v>426.75820877413645</v>
      </c>
      <c r="J207"/>
      <c r="K207" s="1">
        <f t="shared" si="9"/>
        <v>0.49289448362772681</v>
      </c>
      <c r="L207" s="1">
        <f t="shared" si="10"/>
        <v>0.93799095397363319</v>
      </c>
      <c r="M207" s="1">
        <f t="shared" si="11"/>
        <v>209.42203147279977</v>
      </c>
    </row>
    <row r="208" spans="1:19" x14ac:dyDescent="0.3">
      <c r="A208" s="1">
        <v>206</v>
      </c>
      <c r="B208" s="1" t="s">
        <v>158</v>
      </c>
      <c r="C208" s="1" t="s">
        <v>29</v>
      </c>
      <c r="D208" s="1">
        <v>25.7</v>
      </c>
      <c r="E208" s="1">
        <v>33</v>
      </c>
      <c r="F208" s="1">
        <v>0</v>
      </c>
      <c r="G208" s="1">
        <v>0.39380874344833555</v>
      </c>
      <c r="H208" s="1">
        <v>1.900194772775305</v>
      </c>
      <c r="I208" s="1">
        <v>411.32269147830141</v>
      </c>
      <c r="J208" s="1" t="s">
        <v>129</v>
      </c>
      <c r="K208" s="1">
        <f t="shared" si="9"/>
        <v>0.44996245022804476</v>
      </c>
      <c r="L208" s="1">
        <f t="shared" si="10"/>
        <v>0.93049116219098671</v>
      </c>
      <c r="M208" s="1">
        <f t="shared" si="11"/>
        <v>201.1719833759667</v>
      </c>
      <c r="N208" s="1">
        <f>SLOPE(K208:K211,F208:F211)</f>
        <v>3.6829275202100347E-3</v>
      </c>
      <c r="O208" s="1">
        <f>SLOPE(L208:L211,F208:F211)</f>
        <v>7.6139390595521365E-5</v>
      </c>
      <c r="P208" s="1">
        <f>SLOPE(M208:M211,F208:F211)</f>
        <v>8.2798801280434127</v>
      </c>
      <c r="Q208" s="1">
        <f>(N208*84.63/0.31*60)/1000</f>
        <v>6.0326352781040357E-2</v>
      </c>
      <c r="R208" s="1">
        <f>O208*84.63/0.31*60/1000</f>
        <v>1.2471632179546399E-3</v>
      </c>
      <c r="S208" s="1">
        <f>(P208*84.63/0.31*60)/1000</f>
        <v>135.62443649735107</v>
      </c>
    </row>
    <row r="209" spans="1:19" x14ac:dyDescent="0.3">
      <c r="A209" s="1">
        <v>207</v>
      </c>
      <c r="B209" s="1" t="s">
        <v>87</v>
      </c>
      <c r="C209" s="1" t="s">
        <v>29</v>
      </c>
      <c r="D209" s="1">
        <v>25.7</v>
      </c>
      <c r="E209" s="1">
        <v>34</v>
      </c>
      <c r="F209" s="1">
        <v>15</v>
      </c>
      <c r="G209" s="1">
        <v>0.43394471667378515</v>
      </c>
      <c r="H209" s="1">
        <v>1.9135222660904241</v>
      </c>
      <c r="I209" s="1">
        <v>644.4542276049541</v>
      </c>
      <c r="J209" s="1" t="s">
        <v>129</v>
      </c>
      <c r="K209" s="1">
        <f t="shared" si="9"/>
        <v>0.49582146467417726</v>
      </c>
      <c r="L209" s="1">
        <f t="shared" si="10"/>
        <v>0.93701739567060283</v>
      </c>
      <c r="M209" s="1">
        <f t="shared" si="11"/>
        <v>315.19324814384697</v>
      </c>
    </row>
    <row r="210" spans="1:19" x14ac:dyDescent="0.3">
      <c r="A210" s="1">
        <v>208</v>
      </c>
      <c r="C210" s="1" t="s">
        <v>29</v>
      </c>
      <c r="D210" s="1">
        <v>25.7</v>
      </c>
      <c r="E210" s="1">
        <v>35</v>
      </c>
      <c r="F210" s="1">
        <v>30</v>
      </c>
      <c r="G210" s="1">
        <v>0.48185477480326339</v>
      </c>
      <c r="H210" s="1">
        <v>1.9035266461040847</v>
      </c>
      <c r="I210" s="1">
        <v>897.44631404276276</v>
      </c>
      <c r="J210" s="1" t="s">
        <v>129</v>
      </c>
      <c r="K210" s="1">
        <f t="shared" si="9"/>
        <v>0.55056308101753371</v>
      </c>
      <c r="L210" s="1">
        <f t="shared" si="10"/>
        <v>0.93212272056089063</v>
      </c>
      <c r="M210" s="1">
        <f t="shared" si="11"/>
        <v>438.92802101572693</v>
      </c>
    </row>
    <row r="211" spans="1:19" x14ac:dyDescent="0.3">
      <c r="A211" s="1">
        <v>209</v>
      </c>
      <c r="C211" s="1" t="s">
        <v>29</v>
      </c>
      <c r="D211" s="1">
        <v>25.7</v>
      </c>
      <c r="E211" s="1">
        <v>36</v>
      </c>
      <c r="F211" s="1">
        <v>45</v>
      </c>
      <c r="G211" s="1">
        <v>0.53900429002186245</v>
      </c>
      <c r="H211" s="1">
        <v>1.911301017204571</v>
      </c>
      <c r="I211" s="1">
        <v>1173.4574237966153</v>
      </c>
      <c r="J211" s="1" t="s">
        <v>129</v>
      </c>
      <c r="K211" s="1">
        <f t="shared" si="9"/>
        <v>0.61586162079076101</v>
      </c>
      <c r="L211" s="1">
        <f t="shared" si="10"/>
        <v>0.93592969009066684</v>
      </c>
      <c r="M211" s="1">
        <f t="shared" si="11"/>
        <v>573.92106548751076</v>
      </c>
    </row>
    <row r="212" spans="1:19" x14ac:dyDescent="0.3">
      <c r="A212" s="1">
        <v>210</v>
      </c>
      <c r="C212" s="1" t="s">
        <v>29</v>
      </c>
      <c r="D212" s="1">
        <v>25.7</v>
      </c>
      <c r="E212" s="1">
        <v>37</v>
      </c>
      <c r="F212" s="1">
        <v>0</v>
      </c>
      <c r="G212" s="1">
        <v>0.39197227051507055</v>
      </c>
      <c r="H212" s="1">
        <v>1.9168541394192038</v>
      </c>
      <c r="I212" s="1">
        <v>412.85689271926896</v>
      </c>
      <c r="J212" s="1" t="s">
        <v>16</v>
      </c>
      <c r="K212" s="1">
        <f t="shared" si="9"/>
        <v>0.44786411220336392</v>
      </c>
      <c r="L212" s="1">
        <f t="shared" si="10"/>
        <v>0.93864895404050674</v>
      </c>
      <c r="M212" s="1">
        <f t="shared" si="11"/>
        <v>201.92233902844492</v>
      </c>
      <c r="N212" s="1">
        <f>SLOPE(K212:K215,F212:F215)</f>
        <v>4.4053501486035918E-3</v>
      </c>
      <c r="O212" s="1">
        <f>SLOPE(L212:L215,F212:F215)</f>
        <v>-2.3204385705301848E-4</v>
      </c>
      <c r="P212" s="1">
        <f>SLOPE(M212:M215,F212:F215)</f>
        <v>11.910903177233587</v>
      </c>
      <c r="Q212" s="1">
        <f>(N212*84.63/0.31*60)/1000</f>
        <v>7.2159635434126831E-2</v>
      </c>
      <c r="R212" s="1">
        <f>O212*84.63/0.31*60/1000</f>
        <v>-3.8008783785284431E-3</v>
      </c>
      <c r="S212" s="1">
        <f>(P212*84.63/0.31*60)/1000</f>
        <v>195.10059404308615</v>
      </c>
    </row>
    <row r="213" spans="1:19" x14ac:dyDescent="0.3">
      <c r="A213" s="1">
        <v>211</v>
      </c>
      <c r="C213" s="1" t="s">
        <v>29</v>
      </c>
      <c r="D213" s="1">
        <v>25.7</v>
      </c>
      <c r="E213" s="1">
        <v>38</v>
      </c>
      <c r="F213" s="1">
        <v>15</v>
      </c>
      <c r="G213" s="1">
        <v>0.45408882651690446</v>
      </c>
      <c r="H213" s="1">
        <v>1.9146328905333505</v>
      </c>
      <c r="I213" s="1">
        <v>720.53379599266191</v>
      </c>
      <c r="J213" s="1" t="s">
        <v>16</v>
      </c>
      <c r="K213" s="1">
        <f t="shared" si="9"/>
        <v>0.51883794963919938</v>
      </c>
      <c r="L213" s="1">
        <f t="shared" si="10"/>
        <v>0.93756124846057076</v>
      </c>
      <c r="M213" s="1">
        <f t="shared" si="11"/>
        <v>352.40266543112563</v>
      </c>
    </row>
    <row r="214" spans="1:19" x14ac:dyDescent="0.3">
      <c r="A214" s="1">
        <v>212</v>
      </c>
      <c r="C214" s="1" t="s">
        <v>29</v>
      </c>
      <c r="D214" s="1">
        <v>25.7</v>
      </c>
      <c r="E214" s="1">
        <v>39</v>
      </c>
      <c r="F214" s="1">
        <v>30</v>
      </c>
      <c r="G214" s="1">
        <v>0.50483447497857425</v>
      </c>
      <c r="H214" s="1">
        <v>1.9301816327343229</v>
      </c>
      <c r="I214" s="1">
        <v>987.84009009489284</v>
      </c>
      <c r="J214" s="1" t="s">
        <v>16</v>
      </c>
      <c r="K214" s="1">
        <f t="shared" si="9"/>
        <v>0.57681948687040485</v>
      </c>
      <c r="L214" s="1">
        <f t="shared" si="10"/>
        <v>0.94517518752012297</v>
      </c>
      <c r="M214" s="1">
        <f t="shared" si="11"/>
        <v>483.1383103821945</v>
      </c>
    </row>
    <row r="215" spans="1:19" x14ac:dyDescent="0.3">
      <c r="A215" s="1">
        <v>213</v>
      </c>
      <c r="C215" s="1" t="s">
        <v>29</v>
      </c>
      <c r="D215" s="1">
        <v>25.7</v>
      </c>
      <c r="E215" s="1">
        <v>40</v>
      </c>
      <c r="F215" s="1">
        <v>45</v>
      </c>
      <c r="G215" s="1">
        <v>0.5678359635337431</v>
      </c>
      <c r="H215" s="1">
        <v>1.8879779039031124</v>
      </c>
      <c r="I215" s="1">
        <v>1541.4255335676282</v>
      </c>
      <c r="J215" s="1" t="s">
        <v>16</v>
      </c>
      <c r="K215" s="1">
        <f t="shared" si="9"/>
        <v>0.64880444055647502</v>
      </c>
      <c r="L215" s="1">
        <f t="shared" si="10"/>
        <v>0.92450878150133842</v>
      </c>
      <c r="M215" s="1">
        <f t="shared" si="11"/>
        <v>753.88894957310129</v>
      </c>
      <c r="N215" s="1"/>
      <c r="O215" s="1"/>
      <c r="P215" s="1"/>
      <c r="Q215" s="1"/>
      <c r="R215" s="1"/>
      <c r="S215" s="1"/>
    </row>
    <row r="216" spans="1:19" x14ac:dyDescent="0.3">
      <c r="A216" s="1">
        <v>214</v>
      </c>
      <c r="C216" s="1" t="s">
        <v>29</v>
      </c>
      <c r="D216" s="1">
        <v>25.7</v>
      </c>
      <c r="E216" s="1">
        <v>41</v>
      </c>
      <c r="F216" s="1">
        <v>0</v>
      </c>
      <c r="G216" s="1">
        <v>0.38873703322330833</v>
      </c>
      <c r="H216" s="1">
        <v>2.0001509726386977</v>
      </c>
      <c r="I216" s="1">
        <v>417.1322402087755</v>
      </c>
      <c r="J216" s="1" t="s">
        <v>16</v>
      </c>
      <c r="K216" s="1">
        <f t="shared" si="9"/>
        <v>0.4441675581702475</v>
      </c>
      <c r="L216" s="1">
        <f t="shared" si="10"/>
        <v>0.97943791328810736</v>
      </c>
      <c r="M216" s="1">
        <f t="shared" si="11"/>
        <v>204.01334969210257</v>
      </c>
      <c r="N216" s="1">
        <f>SLOPE(K216:K219,F216:F219)</f>
        <v>4.4847898195897783E-3</v>
      </c>
      <c r="O216" s="1">
        <f>SLOPE(L216:L219,F216:F219)</f>
        <v>-6.8162883009323426E-4</v>
      </c>
      <c r="P216" s="1">
        <f>SLOPE(M216:M219,F216:F219)</f>
        <v>6.6158820353068668</v>
      </c>
      <c r="Q216" s="1">
        <f>(N216*84.63/0.31*60)/1000</f>
        <v>7.3460857244880579E-2</v>
      </c>
      <c r="R216" s="1">
        <f>O216*84.63/0.31*60/1000</f>
        <v>-1.1165080236927177E-2</v>
      </c>
      <c r="S216" s="1">
        <f>(P216*84.63/0.31*60)/1000</f>
        <v>108.36814773832648</v>
      </c>
    </row>
    <row r="217" spans="1:19" x14ac:dyDescent="0.3">
      <c r="A217" s="1">
        <v>215</v>
      </c>
      <c r="C217" s="1" t="s">
        <v>29</v>
      </c>
      <c r="D217" s="1">
        <v>25.7</v>
      </c>
      <c r="E217" s="1">
        <v>42</v>
      </c>
      <c r="F217" s="1">
        <v>15</v>
      </c>
      <c r="G217" s="1">
        <v>0.46591647343943499</v>
      </c>
      <c r="H217" s="1">
        <v>1.940177252720662</v>
      </c>
      <c r="I217" s="1">
        <v>683.84907277745788</v>
      </c>
      <c r="J217" s="1" t="s">
        <v>16</v>
      </c>
      <c r="K217" s="1">
        <f t="shared" si="9"/>
        <v>0.53235211629556312</v>
      </c>
      <c r="L217" s="1">
        <f t="shared" si="10"/>
        <v>0.95006986262983484</v>
      </c>
      <c r="M217" s="1">
        <f t="shared" si="11"/>
        <v>334.46069752685725</v>
      </c>
    </row>
    <row r="218" spans="1:19" x14ac:dyDescent="0.3">
      <c r="A218" s="1">
        <v>216</v>
      </c>
      <c r="C218" s="1" t="s">
        <v>29</v>
      </c>
      <c r="D218" s="1">
        <v>25.7</v>
      </c>
      <c r="E218" s="1">
        <v>43</v>
      </c>
      <c r="F218" s="1">
        <v>30</v>
      </c>
      <c r="G218" s="1">
        <v>0.50822195873112519</v>
      </c>
      <c r="H218" s="1">
        <v>1.9279603838484698</v>
      </c>
      <c r="I218" s="1">
        <v>843.29691642695491</v>
      </c>
      <c r="J218" s="1" t="s">
        <v>16</v>
      </c>
      <c r="K218" s="1">
        <f t="shared" si="9"/>
        <v>0.58068999638743257</v>
      </c>
      <c r="L218" s="1">
        <f t="shared" si="10"/>
        <v>0.94408748194018699</v>
      </c>
      <c r="M218" s="1">
        <f t="shared" si="11"/>
        <v>412.44433328667162</v>
      </c>
    </row>
    <row r="219" spans="1:19" x14ac:dyDescent="0.3">
      <c r="A219" s="1">
        <v>217</v>
      </c>
      <c r="C219" s="1" t="s">
        <v>29</v>
      </c>
      <c r="D219" s="1">
        <v>25.7</v>
      </c>
      <c r="E219" s="1">
        <v>44</v>
      </c>
      <c r="F219" s="1">
        <v>45</v>
      </c>
      <c r="G219" s="1">
        <v>0.5708904081533186</v>
      </c>
      <c r="H219" s="1">
        <v>1.9346241305060292</v>
      </c>
      <c r="I219" s="1">
        <v>1040.3351924391291</v>
      </c>
      <c r="J219" s="1" t="s">
        <v>16</v>
      </c>
      <c r="K219" s="1">
        <f t="shared" si="9"/>
        <v>0.65229442245244662</v>
      </c>
      <c r="L219" s="1">
        <f t="shared" si="10"/>
        <v>0.94735059867999494</v>
      </c>
      <c r="M219" s="1">
        <f t="shared" si="11"/>
        <v>508.81290620417445</v>
      </c>
      <c r="N219" s="1"/>
      <c r="O219" s="1"/>
      <c r="P219" s="1"/>
      <c r="Q219" s="1"/>
      <c r="R219" s="1"/>
      <c r="S219" s="1"/>
    </row>
    <row r="220" spans="1:19" x14ac:dyDescent="0.3">
      <c r="A220" s="1">
        <v>218</v>
      </c>
      <c r="C220" s="1" t="s">
        <v>29</v>
      </c>
      <c r="D220" s="1">
        <v>25.7</v>
      </c>
      <c r="E220" s="1">
        <v>45</v>
      </c>
      <c r="F220" s="1">
        <v>0</v>
      </c>
      <c r="G220" s="1">
        <v>0.39387535127493062</v>
      </c>
      <c r="H220" s="1">
        <v>1.9712747371226063</v>
      </c>
      <c r="I220" s="1">
        <v>409.28209374161975</v>
      </c>
      <c r="J220" s="1" t="s">
        <v>16</v>
      </c>
      <c r="K220" s="1">
        <f t="shared" si="9"/>
        <v>0.45003855575225599</v>
      </c>
      <c r="L220" s="1">
        <f t="shared" si="10"/>
        <v>0.96529774074893915</v>
      </c>
      <c r="M220" s="1">
        <f t="shared" si="11"/>
        <v>200.17395651660385</v>
      </c>
      <c r="N220" s="1">
        <f>SLOPE(K220:K223,F220:F223)</f>
        <v>1.0427544038711656E-2</v>
      </c>
      <c r="O220" s="1">
        <f>SLOPE(L220:L223,F220:F223)</f>
        <v>-3.8794832351050966E-4</v>
      </c>
      <c r="P220" s="1">
        <f>SLOPE(M220:M223,F220:F223)</f>
        <v>4.8914508628403874</v>
      </c>
      <c r="Q220" s="1">
        <f>(N220*84.63/0.31*60)/1000</f>
        <v>0.17080317135409692</v>
      </c>
      <c r="R220" s="1">
        <f>O220*84.63/0.31*60/1000</f>
        <v>-6.354593539102147E-3</v>
      </c>
      <c r="S220" s="1">
        <f>(P220*84.63/0.31*60)/1000</f>
        <v>80.121965133325531</v>
      </c>
    </row>
    <row r="221" spans="1:19" x14ac:dyDescent="0.3">
      <c r="A221" s="1">
        <v>219</v>
      </c>
      <c r="C221" s="1" t="s">
        <v>29</v>
      </c>
      <c r="D221" s="1">
        <v>25.7</v>
      </c>
      <c r="E221" s="1">
        <v>46</v>
      </c>
      <c r="F221" s="1">
        <v>15</v>
      </c>
      <c r="G221" s="1">
        <v>0.81731082034380464</v>
      </c>
      <c r="H221" s="1">
        <v>1.9368453793918823</v>
      </c>
      <c r="I221" s="1">
        <v>718.39612224790881</v>
      </c>
      <c r="J221" s="1" t="s">
        <v>16</v>
      </c>
      <c r="K221" s="1">
        <f t="shared" si="9"/>
        <v>0.93385224538072908</v>
      </c>
      <c r="L221" s="1">
        <f t="shared" si="10"/>
        <v>0.94843830425993092</v>
      </c>
      <c r="M221" s="1">
        <f t="shared" si="11"/>
        <v>351.35716009929683</v>
      </c>
    </row>
    <row r="222" spans="1:19" x14ac:dyDescent="0.3">
      <c r="A222" s="1">
        <v>220</v>
      </c>
      <c r="C222" s="1" t="s">
        <v>29</v>
      </c>
      <c r="D222" s="1">
        <v>25.7</v>
      </c>
      <c r="E222" s="1">
        <v>47</v>
      </c>
      <c r="F222" s="1">
        <v>30</v>
      </c>
      <c r="G222" s="1">
        <v>0.75248237425917019</v>
      </c>
      <c r="H222" s="1">
        <v>1.9479516238211481</v>
      </c>
      <c r="I222" s="1">
        <v>782.21208854375948</v>
      </c>
      <c r="J222" s="1" t="s">
        <v>16</v>
      </c>
      <c r="K222" s="1">
        <f t="shared" si="9"/>
        <v>0.85977982588772284</v>
      </c>
      <c r="L222" s="1">
        <f t="shared" si="10"/>
        <v>0.95387683215961094</v>
      </c>
      <c r="M222" s="1">
        <f t="shared" si="11"/>
        <v>382.56862685463238</v>
      </c>
    </row>
    <row r="223" spans="1:19" x14ac:dyDescent="0.3">
      <c r="A223" s="1">
        <v>221</v>
      </c>
      <c r="C223" s="1" t="s">
        <v>29</v>
      </c>
      <c r="D223" s="1">
        <v>25.7</v>
      </c>
      <c r="E223" s="1">
        <v>48</v>
      </c>
      <c r="F223" s="1">
        <v>45</v>
      </c>
      <c r="G223" s="1">
        <v>0.87179602249859967</v>
      </c>
      <c r="H223" s="1">
        <v>1.9279603838484698</v>
      </c>
      <c r="I223" s="1">
        <v>888.07097338693472</v>
      </c>
      <c r="J223" s="1" t="s">
        <v>16</v>
      </c>
      <c r="K223" s="1">
        <f t="shared" si="9"/>
        <v>0.99610656418550747</v>
      </c>
      <c r="L223" s="1">
        <f t="shared" si="10"/>
        <v>0.94408748194018699</v>
      </c>
      <c r="M223" s="1">
        <f t="shared" si="11"/>
        <v>434.3426774068447</v>
      </c>
      <c r="N223" s="1"/>
      <c r="O223" s="1"/>
      <c r="P223" s="1"/>
      <c r="Q223" s="1"/>
      <c r="R223" s="1"/>
      <c r="S223" s="1"/>
    </row>
    <row r="224" spans="1:19" x14ac:dyDescent="0.3">
      <c r="A224" s="1">
        <v>222</v>
      </c>
      <c r="C224" s="1" t="s">
        <v>29</v>
      </c>
      <c r="D224" s="1">
        <v>25.7</v>
      </c>
      <c r="E224" s="1">
        <v>49</v>
      </c>
      <c r="F224" s="1">
        <v>0</v>
      </c>
      <c r="G224" s="1">
        <v>0.412915674277331</v>
      </c>
      <c r="H224" s="1">
        <v>1.9734959860084595</v>
      </c>
      <c r="I224" s="1">
        <v>578.38249510092271</v>
      </c>
      <c r="J224" s="1" t="s">
        <v>16</v>
      </c>
      <c r="K224" s="1">
        <f t="shared" si="9"/>
        <v>0.4717938634589206</v>
      </c>
      <c r="L224" s="1">
        <f t="shared" si="10"/>
        <v>0.96638544632887524</v>
      </c>
      <c r="M224" s="1">
        <f t="shared" si="11"/>
        <v>282.87851873966213</v>
      </c>
      <c r="N224" s="1">
        <f>SLOPE(K224:K227,F224:F227)</f>
        <v>3.506725111298153E-3</v>
      </c>
      <c r="O224" s="1">
        <f>SLOPE(L224:L227,F224:F227)</f>
        <v>-3.2993735924726023E-4</v>
      </c>
      <c r="P224" s="1">
        <f>SLOPE(M224:M227,F224:F227)</f>
        <v>3.406611399126092</v>
      </c>
      <c r="Q224" s="1">
        <f>(N224*84.63/0.31*60)/1000</f>
        <v>5.7440157323063748E-2</v>
      </c>
      <c r="R224" s="1">
        <f>O224*84.63/0.31*60/1000</f>
        <v>-5.4043739444701224E-3</v>
      </c>
      <c r="S224" s="1">
        <f>(P224*84.63/0.31*60)/1000</f>
        <v>55.800294717685382</v>
      </c>
    </row>
    <row r="225" spans="1:19" x14ac:dyDescent="0.3">
      <c r="A225" s="1">
        <v>223</v>
      </c>
      <c r="C225" s="1" t="s">
        <v>29</v>
      </c>
      <c r="D225" s="1">
        <v>25.7</v>
      </c>
      <c r="E225" s="1">
        <v>50</v>
      </c>
      <c r="F225" s="1">
        <v>15</v>
      </c>
      <c r="G225" s="1">
        <v>0.44239439524756408</v>
      </c>
      <c r="H225" s="1">
        <v>1.9168541394192038</v>
      </c>
      <c r="I225" s="1">
        <v>544.66809757599378</v>
      </c>
      <c r="J225" s="1" t="s">
        <v>16</v>
      </c>
      <c r="K225" s="1">
        <f t="shared" si="9"/>
        <v>0.50547599403125787</v>
      </c>
      <c r="L225" s="1">
        <f t="shared" si="10"/>
        <v>0.93864895404050674</v>
      </c>
      <c r="M225" s="1">
        <f t="shared" si="11"/>
        <v>266.38929419909601</v>
      </c>
    </row>
    <row r="226" spans="1:19" x14ac:dyDescent="0.3">
      <c r="A226" s="1">
        <v>224</v>
      </c>
      <c r="C226" s="1" t="s">
        <v>29</v>
      </c>
      <c r="D226" s="1">
        <v>25.7</v>
      </c>
      <c r="E226" s="1">
        <v>51</v>
      </c>
      <c r="F226" s="1">
        <v>30</v>
      </c>
      <c r="G226" s="1">
        <v>0.46406096969857141</v>
      </c>
      <c r="H226" s="1">
        <v>1.9224072616338368</v>
      </c>
      <c r="I226" s="1">
        <v>692.61693779514667</v>
      </c>
      <c r="J226" s="1" t="s">
        <v>16</v>
      </c>
      <c r="K226" s="1">
        <f t="shared" si="9"/>
        <v>0.53023203383539341</v>
      </c>
      <c r="L226" s="1">
        <f t="shared" si="10"/>
        <v>0.94136821799034687</v>
      </c>
      <c r="M226" s="1">
        <f t="shared" si="11"/>
        <v>338.74893358123563</v>
      </c>
    </row>
    <row r="227" spans="1:19" x14ac:dyDescent="0.3">
      <c r="A227" s="1">
        <v>225</v>
      </c>
      <c r="C227" s="1" t="s">
        <v>29</v>
      </c>
      <c r="D227" s="1">
        <v>25.7</v>
      </c>
      <c r="E227" s="1">
        <v>52</v>
      </c>
      <c r="F227" s="1">
        <v>45</v>
      </c>
      <c r="G227" s="1">
        <v>0.55914839986498177</v>
      </c>
      <c r="H227" s="1">
        <v>1.9379560038348087</v>
      </c>
      <c r="I227" s="1">
        <v>877.32956313298484</v>
      </c>
      <c r="J227" s="1" t="s">
        <v>16</v>
      </c>
      <c r="K227" s="1">
        <f t="shared" si="9"/>
        <v>0.63887810575578308</v>
      </c>
      <c r="L227" s="1">
        <f t="shared" si="10"/>
        <v>0.94898215704989886</v>
      </c>
      <c r="M227" s="1">
        <f t="shared" si="11"/>
        <v>429.08920890192019</v>
      </c>
      <c r="N227" s="1"/>
      <c r="O227" s="1"/>
      <c r="P227" s="1"/>
      <c r="Q227" s="1"/>
      <c r="R227" s="1"/>
      <c r="S227" s="1"/>
    </row>
    <row r="228" spans="1:19" x14ac:dyDescent="0.3">
      <c r="A228" s="1">
        <v>226</v>
      </c>
      <c r="C228" s="1" t="s">
        <v>29</v>
      </c>
      <c r="D228" s="1">
        <v>25.7</v>
      </c>
      <c r="E228" s="1">
        <v>53</v>
      </c>
      <c r="F228" s="1">
        <v>0</v>
      </c>
      <c r="G228" s="1">
        <v>0.39102073013514049</v>
      </c>
      <c r="H228" s="1">
        <v>1.9690534882367532</v>
      </c>
      <c r="I228" s="1">
        <v>409.79749728962906</v>
      </c>
      <c r="J228" s="1" t="s">
        <v>16</v>
      </c>
      <c r="K228" s="1">
        <f t="shared" si="9"/>
        <v>0.44677689042891794</v>
      </c>
      <c r="L228" s="1">
        <f t="shared" si="10"/>
        <v>0.96421003516900317</v>
      </c>
      <c r="M228" s="1">
        <f t="shared" si="11"/>
        <v>200.42603294258316</v>
      </c>
      <c r="N228" s="1">
        <f>SLOPE(K228:K231,F228:F231)</f>
        <v>2.4924921586432858E-3</v>
      </c>
      <c r="O228" s="1">
        <f>SLOPE(L228:L231,F228:F231)</f>
        <v>-3.9882537930988614E-5</v>
      </c>
      <c r="P228" s="1">
        <f>SLOPE(M228:M231,F228:F231)</f>
        <v>6.8055936114050679</v>
      </c>
      <c r="Q228" s="1">
        <f>(N228*84.63/0.31*60)/1000</f>
        <v>4.0827021558577023E-2</v>
      </c>
      <c r="R228" s="1">
        <f>O228*84.63/0.31*60/1000</f>
        <v>-6.5327597130959345E-4</v>
      </c>
      <c r="S228" s="1">
        <f>(P228*84.63/0.31*60)/1000</f>
        <v>111.47562335481499</v>
      </c>
    </row>
    <row r="229" spans="1:19" x14ac:dyDescent="0.3">
      <c r="A229" s="1">
        <v>227</v>
      </c>
      <c r="C229" s="1" t="s">
        <v>29</v>
      </c>
      <c r="D229" s="1">
        <v>25.7</v>
      </c>
      <c r="E229" s="1">
        <v>54</v>
      </c>
      <c r="F229" s="1">
        <v>15</v>
      </c>
      <c r="G229" s="1">
        <v>0.42331601062996649</v>
      </c>
      <c r="H229" s="1">
        <v>1.9479516238211481</v>
      </c>
      <c r="I229" s="1">
        <v>648.70355472116319</v>
      </c>
      <c r="J229" s="1" t="s">
        <v>16</v>
      </c>
      <c r="K229" s="1">
        <f t="shared" si="9"/>
        <v>0.48367719745361543</v>
      </c>
      <c r="L229" s="1">
        <f t="shared" si="10"/>
        <v>0.95387683215961094</v>
      </c>
      <c r="M229" s="1">
        <f t="shared" si="11"/>
        <v>317.27153261900867</v>
      </c>
    </row>
    <row r="230" spans="1:19" x14ac:dyDescent="0.3">
      <c r="A230" s="1">
        <v>228</v>
      </c>
      <c r="C230" s="1" t="s">
        <v>29</v>
      </c>
      <c r="D230" s="1">
        <v>25.7</v>
      </c>
      <c r="E230" s="1">
        <v>55</v>
      </c>
      <c r="F230" s="1">
        <v>30</v>
      </c>
      <c r="G230" s="1">
        <v>0.45533534441461282</v>
      </c>
      <c r="H230" s="1">
        <v>1.945730374935295</v>
      </c>
      <c r="I230" s="1">
        <v>840.86601309080993</v>
      </c>
      <c r="J230" s="1" t="s">
        <v>16</v>
      </c>
      <c r="K230" s="1">
        <f t="shared" si="9"/>
        <v>0.52026221016372354</v>
      </c>
      <c r="L230" s="1">
        <f t="shared" si="10"/>
        <v>0.95278912657967507</v>
      </c>
      <c r="M230" s="1">
        <f t="shared" si="11"/>
        <v>411.25541359986806</v>
      </c>
    </row>
    <row r="231" spans="1:19" x14ac:dyDescent="0.3">
      <c r="A231" s="1">
        <v>229</v>
      </c>
      <c r="C231" s="1" t="s">
        <v>29</v>
      </c>
      <c r="D231" s="1">
        <v>25.7</v>
      </c>
      <c r="E231" s="1">
        <v>56</v>
      </c>
      <c r="F231" s="1">
        <v>45</v>
      </c>
      <c r="G231" s="1">
        <v>0.48941952082370732</v>
      </c>
      <c r="H231" s="1">
        <v>1.9657216149079733</v>
      </c>
      <c r="I231" s="1">
        <v>1041.4900967001051</v>
      </c>
      <c r="J231" s="1" t="s">
        <v>16</v>
      </c>
      <c r="K231" s="1">
        <f t="shared" si="9"/>
        <v>0.55920649412437951</v>
      </c>
      <c r="L231" s="1">
        <f t="shared" si="10"/>
        <v>0.96257847679909903</v>
      </c>
      <c r="M231" s="1">
        <f t="shared" si="11"/>
        <v>509.37775318588342</v>
      </c>
      <c r="N231" s="1"/>
      <c r="O231" s="1"/>
      <c r="P231" s="1"/>
      <c r="Q231" s="1"/>
      <c r="R231" s="1"/>
      <c r="S231" s="1"/>
    </row>
    <row r="232" spans="1:19" x14ac:dyDescent="0.3">
      <c r="A232" s="1">
        <v>230</v>
      </c>
      <c r="C232" s="1" t="s">
        <v>29</v>
      </c>
      <c r="D232" s="1">
        <v>25.7</v>
      </c>
      <c r="E232" s="1">
        <v>57</v>
      </c>
      <c r="F232" s="1">
        <v>0</v>
      </c>
      <c r="G232" s="1">
        <v>0.39016434379320342</v>
      </c>
      <c r="H232" s="1">
        <v>1.9201860127479835</v>
      </c>
      <c r="I232" s="1">
        <v>411.25463819429234</v>
      </c>
      <c r="J232" s="1" t="s">
        <v>16</v>
      </c>
      <c r="K232" s="1">
        <f t="shared" si="9"/>
        <v>0.44579839083191658</v>
      </c>
      <c r="L232" s="1">
        <f t="shared" si="10"/>
        <v>0.94028051241041088</v>
      </c>
      <c r="M232" s="1">
        <f t="shared" si="11"/>
        <v>201.1386994983616</v>
      </c>
      <c r="N232" s="1">
        <f>SLOPE(K232:K235,F232:F235)</f>
        <v>1.9283690206090679E-3</v>
      </c>
      <c r="O232" s="1">
        <f>SLOPE(L232:L235,F232:F235)</f>
        <v>-1.7765857805621528E-4</v>
      </c>
      <c r="P232" s="1">
        <f>SLOPE(M232:M235,F232:F235)</f>
        <v>5.2144578424962544</v>
      </c>
      <c r="Q232" s="1">
        <f>(N232*84.63/0.31*60)/1000</f>
        <v>3.158668455757653E-2</v>
      </c>
      <c r="R232" s="1">
        <f>O232*84.63/0.31*60/1000</f>
        <v>-2.9100475085608066E-3</v>
      </c>
      <c r="S232" s="1">
        <f>(P232*84.63/0.31*60)/1000</f>
        <v>85.412819460088656</v>
      </c>
    </row>
    <row r="233" spans="1:19" x14ac:dyDescent="0.3">
      <c r="A233" s="1">
        <v>231</v>
      </c>
      <c r="C233" s="1" t="s">
        <v>29</v>
      </c>
      <c r="D233" s="1">
        <v>25.7</v>
      </c>
      <c r="E233" s="1">
        <v>58</v>
      </c>
      <c r="F233" s="1">
        <v>15</v>
      </c>
      <c r="G233" s="1">
        <v>0.42295442528559307</v>
      </c>
      <c r="H233" s="1">
        <v>1.9357347549489556</v>
      </c>
      <c r="I233" s="1">
        <v>650.35184529120465</v>
      </c>
      <c r="J233" s="1" t="s">
        <v>16</v>
      </c>
      <c r="K233" s="1">
        <f t="shared" si="9"/>
        <v>0.48326405317932591</v>
      </c>
      <c r="L233" s="1">
        <f t="shared" si="10"/>
        <v>0.94789445146996287</v>
      </c>
      <c r="M233" s="1">
        <f t="shared" si="11"/>
        <v>318.07768771335418</v>
      </c>
    </row>
    <row r="234" spans="1:19" x14ac:dyDescent="0.3">
      <c r="A234" s="1">
        <v>232</v>
      </c>
      <c r="C234" s="1" t="s">
        <v>29</v>
      </c>
      <c r="D234" s="1">
        <v>25.7</v>
      </c>
      <c r="E234" s="1">
        <v>59</v>
      </c>
      <c r="F234" s="1">
        <v>30</v>
      </c>
      <c r="G234" s="1">
        <v>0.44477324619738923</v>
      </c>
      <c r="H234" s="1">
        <v>1.911301017204571</v>
      </c>
      <c r="I234" s="1">
        <v>764.04186171335675</v>
      </c>
      <c r="J234" s="1" t="s">
        <v>16</v>
      </c>
      <c r="K234" s="1">
        <f t="shared" si="9"/>
        <v>0.50819404846737293</v>
      </c>
      <c r="L234" s="1">
        <f t="shared" si="10"/>
        <v>0.93592969009066684</v>
      </c>
      <c r="M234" s="1">
        <f t="shared" si="11"/>
        <v>373.68183153408739</v>
      </c>
    </row>
    <row r="235" spans="1:19" x14ac:dyDescent="0.3">
      <c r="A235" s="1">
        <v>233</v>
      </c>
      <c r="C235" s="1" t="s">
        <v>29</v>
      </c>
      <c r="D235" s="1">
        <v>25.7</v>
      </c>
      <c r="E235" s="1">
        <v>60</v>
      </c>
      <c r="F235" s="1">
        <v>45</v>
      </c>
      <c r="G235" s="1">
        <v>0.46727717618273501</v>
      </c>
      <c r="H235" s="1">
        <v>1.9101903927616442</v>
      </c>
      <c r="I235" s="1">
        <v>906.44035615142275</v>
      </c>
      <c r="J235" s="1" t="s">
        <v>16</v>
      </c>
      <c r="K235" s="1">
        <f t="shared" si="9"/>
        <v>0.53390684343302097</v>
      </c>
      <c r="L235" s="1">
        <f t="shared" si="10"/>
        <v>0.9353858373006988</v>
      </c>
      <c r="M235" s="1">
        <f t="shared" si="11"/>
        <v>443.32687701626327</v>
      </c>
      <c r="N235" s="1"/>
      <c r="O235" s="1"/>
      <c r="P235" s="1"/>
      <c r="Q235" s="1"/>
      <c r="R235" s="1"/>
      <c r="S235" s="1"/>
    </row>
    <row r="236" spans="1:19" x14ac:dyDescent="0.3">
      <c r="A236" s="1">
        <v>234</v>
      </c>
      <c r="C236" s="1" t="s">
        <v>29</v>
      </c>
      <c r="D236" s="1">
        <v>25.7</v>
      </c>
      <c r="E236" s="1">
        <v>61</v>
      </c>
      <c r="F236" s="1">
        <v>0</v>
      </c>
      <c r="G236" s="1">
        <v>0.39024046702359788</v>
      </c>
      <c r="H236" s="1">
        <v>1.9435091260494417</v>
      </c>
      <c r="I236" s="1">
        <v>406.71208148669166</v>
      </c>
      <c r="J236" s="1" t="s">
        <v>129</v>
      </c>
      <c r="K236" s="1">
        <f t="shared" si="9"/>
        <v>0.44588536857387229</v>
      </c>
      <c r="L236" s="1">
        <f t="shared" si="10"/>
        <v>0.95170142099973898</v>
      </c>
      <c r="M236" s="1">
        <f t="shared" si="11"/>
        <v>198.91700066822537</v>
      </c>
      <c r="N236" s="1">
        <f>SLOPE(K236:K239,F236:F239)</f>
        <v>2.0549216351545825E-3</v>
      </c>
      <c r="O236" s="1">
        <f>SLOPE(L236:L239,F236:F239)</f>
        <v>2.9730619184917815E-4</v>
      </c>
      <c r="P236" s="1">
        <f>SLOPE(M236:M239,F236:F239)</f>
        <v>4.5479645090816563</v>
      </c>
      <c r="Q236" s="1">
        <f>(N236*84.63/0.31*60)/1000</f>
        <v>3.365961638383206E-2</v>
      </c>
      <c r="R236" s="1">
        <f>O236*84.63/0.31*60/1000</f>
        <v>4.8698754224895374E-3</v>
      </c>
      <c r="S236" s="1">
        <f>(P236*84.63/0.31*60)/1000</f>
        <v>74.495658658757534</v>
      </c>
    </row>
    <row r="237" spans="1:19" x14ac:dyDescent="0.3">
      <c r="A237" s="1">
        <v>235</v>
      </c>
      <c r="C237" s="1" t="s">
        <v>29</v>
      </c>
      <c r="D237" s="1">
        <v>25.7</v>
      </c>
      <c r="E237" s="1">
        <v>62</v>
      </c>
      <c r="F237" s="1">
        <v>15</v>
      </c>
      <c r="G237" s="1">
        <v>0.42281169422860354</v>
      </c>
      <c r="H237" s="1">
        <v>1.9746066104513862</v>
      </c>
      <c r="I237" s="1">
        <v>612.81945837665307</v>
      </c>
      <c r="J237" s="1" t="s">
        <v>129</v>
      </c>
      <c r="K237" s="1">
        <f t="shared" si="9"/>
        <v>0.48310096991315898</v>
      </c>
      <c r="L237" s="1">
        <f t="shared" si="10"/>
        <v>0.96692929911884329</v>
      </c>
      <c r="M237" s="1">
        <f t="shared" si="11"/>
        <v>299.72113974538769</v>
      </c>
    </row>
    <row r="238" spans="1:19" x14ac:dyDescent="0.3">
      <c r="A238" s="1">
        <v>236</v>
      </c>
      <c r="C238" s="1" t="s">
        <v>29</v>
      </c>
      <c r="D238" s="1">
        <v>25.7</v>
      </c>
      <c r="E238" s="1">
        <v>63</v>
      </c>
      <c r="F238" s="1">
        <v>30</v>
      </c>
      <c r="G238" s="1">
        <v>0.44762786733717935</v>
      </c>
      <c r="H238" s="1">
        <v>1.9957084748669913</v>
      </c>
      <c r="I238" s="1">
        <v>761.91219423731036</v>
      </c>
      <c r="J238" s="1" t="s">
        <v>129</v>
      </c>
      <c r="K238" s="1">
        <f t="shared" si="9"/>
        <v>0.51145571379071086</v>
      </c>
      <c r="L238" s="1">
        <f t="shared" si="10"/>
        <v>0.9772625021282354</v>
      </c>
      <c r="M238" s="1">
        <f t="shared" si="11"/>
        <v>372.64024195256502</v>
      </c>
    </row>
    <row r="239" spans="1:19" x14ac:dyDescent="0.3">
      <c r="A239" s="1">
        <v>237</v>
      </c>
      <c r="C239" s="1" t="s">
        <v>29</v>
      </c>
      <c r="D239" s="1">
        <v>25.7</v>
      </c>
      <c r="E239" s="1">
        <v>64</v>
      </c>
      <c r="F239" s="1">
        <v>45</v>
      </c>
      <c r="G239" s="1">
        <v>0.47189214702539578</v>
      </c>
      <c r="H239" s="1">
        <v>1.9668322393509001</v>
      </c>
      <c r="I239" s="1">
        <v>821.96021032295687</v>
      </c>
      <c r="J239" s="1" t="s">
        <v>129</v>
      </c>
      <c r="K239" s="1">
        <f t="shared" si="9"/>
        <v>0.5391798690390841</v>
      </c>
      <c r="L239" s="1">
        <f t="shared" si="10"/>
        <v>0.96312232958906718</v>
      </c>
      <c r="M239" s="1">
        <f t="shared" si="11"/>
        <v>402.00885871991574</v>
      </c>
      <c r="N239" s="1"/>
      <c r="O239" s="1"/>
      <c r="P239" s="1"/>
      <c r="Q239" s="1"/>
      <c r="R239" s="1"/>
      <c r="S239" s="1"/>
    </row>
    <row r="240" spans="1:19" x14ac:dyDescent="0.3">
      <c r="A240" s="1">
        <v>238</v>
      </c>
      <c r="C240" s="1" t="s">
        <v>29</v>
      </c>
      <c r="D240" s="1">
        <v>25.7</v>
      </c>
      <c r="E240" s="1" t="s">
        <v>155</v>
      </c>
      <c r="F240"/>
      <c r="G240" s="1">
        <v>0.38861333297391742</v>
      </c>
      <c r="H240" s="1">
        <v>1.8546591706153148</v>
      </c>
      <c r="I240" s="1">
        <v>397.32373064421483</v>
      </c>
      <c r="J240"/>
      <c r="K240" s="1">
        <f t="shared" si="9"/>
        <v>0.44402621933956959</v>
      </c>
      <c r="L240" s="1">
        <f t="shared" si="10"/>
        <v>0.90819319780229824</v>
      </c>
      <c r="M240" s="1">
        <f t="shared" si="11"/>
        <v>194.32529396509514</v>
      </c>
    </row>
    <row r="241" spans="1:19" x14ac:dyDescent="0.3">
      <c r="A241" s="1">
        <v>239</v>
      </c>
      <c r="C241" s="1" t="s">
        <v>29</v>
      </c>
      <c r="D241" s="1">
        <v>25.7</v>
      </c>
      <c r="E241" s="1" t="s">
        <v>156</v>
      </c>
      <c r="F241"/>
      <c r="G241" s="1">
        <v>0.38839447868653348</v>
      </c>
      <c r="H241" s="1">
        <v>1.8213404373275173</v>
      </c>
      <c r="I241" s="1">
        <v>529.87251300556659</v>
      </c>
      <c r="J241"/>
      <c r="K241" s="1">
        <f t="shared" si="9"/>
        <v>0.4437761583314469</v>
      </c>
      <c r="L241" s="1">
        <f t="shared" si="10"/>
        <v>0.89187761410325794</v>
      </c>
      <c r="M241" s="1">
        <f t="shared" si="11"/>
        <v>259.15298763273017</v>
      </c>
    </row>
    <row r="242" spans="1:19" x14ac:dyDescent="0.3">
      <c r="A242" s="1">
        <v>240</v>
      </c>
      <c r="C242" s="1" t="s">
        <v>29</v>
      </c>
      <c r="D242" s="1">
        <v>25.7</v>
      </c>
      <c r="E242" s="1" t="s">
        <v>157</v>
      </c>
      <c r="F242"/>
      <c r="G242" s="1">
        <v>0.38931747285506563</v>
      </c>
      <c r="H242" s="1">
        <v>1.8724291617021405</v>
      </c>
      <c r="I242" s="1">
        <v>403.8148129983673</v>
      </c>
      <c r="J242"/>
      <c r="K242" s="1">
        <f t="shared" si="9"/>
        <v>0.44483076345265954</v>
      </c>
      <c r="L242" s="1">
        <f t="shared" si="10"/>
        <v>0.91689484244178665</v>
      </c>
      <c r="M242" s="1">
        <f t="shared" si="11"/>
        <v>197.4999885260697</v>
      </c>
    </row>
    <row r="243" spans="1:19" x14ac:dyDescent="0.3">
      <c r="A243" s="1">
        <v>241</v>
      </c>
      <c r="B243" s="1" t="s">
        <v>68</v>
      </c>
      <c r="C243" s="1" t="s">
        <v>29</v>
      </c>
      <c r="D243" s="1">
        <v>20.2</v>
      </c>
      <c r="E243" s="1">
        <v>433</v>
      </c>
      <c r="F243" s="1">
        <v>0</v>
      </c>
      <c r="G243" s="1">
        <v>0.39062108317556987</v>
      </c>
      <c r="H243" s="1">
        <v>1.900194772775305</v>
      </c>
      <c r="I243" s="1">
        <v>391.59024146645663</v>
      </c>
      <c r="J243" s="1" t="s">
        <v>129</v>
      </c>
      <c r="K243" s="1">
        <f t="shared" si="9"/>
        <v>0.45468828665150501</v>
      </c>
      <c r="L243" s="1">
        <f t="shared" si="10"/>
        <v>0.9479368802480872</v>
      </c>
      <c r="M243" s="1">
        <f t="shared" si="11"/>
        <v>195.11194438961246</v>
      </c>
      <c r="N243" s="1">
        <f>SLOPE(K243:K246,F243:F246)</f>
        <v>1.1350008135273236E-3</v>
      </c>
      <c r="O243" s="1">
        <f>SLOPE(L243:L246,F243:F246)</f>
        <v>1.4774652011311969E-5</v>
      </c>
      <c r="P243" s="1">
        <f>SLOPE(M243:M246,F243:F246)</f>
        <v>19.554106093944295</v>
      </c>
      <c r="Q243" s="1">
        <f>(N243*84.63/0.31*60)/1000</f>
        <v>1.859131332557756E-2</v>
      </c>
      <c r="R243" s="1">
        <f>O243*84.63/0.31*60/1000</f>
        <v>2.4200879994529001E-4</v>
      </c>
      <c r="S243" s="1">
        <f>(P243*84.63/0.31*60)/1000</f>
        <v>320.29625781880748</v>
      </c>
    </row>
    <row r="244" spans="1:19" x14ac:dyDescent="0.3">
      <c r="A244" s="1">
        <v>242</v>
      </c>
      <c r="B244" s="1" t="s">
        <v>105</v>
      </c>
      <c r="C244" s="1" t="s">
        <v>29</v>
      </c>
      <c r="D244" s="1">
        <v>20.2</v>
      </c>
      <c r="E244" s="1">
        <v>434</v>
      </c>
      <c r="F244" s="1">
        <v>15</v>
      </c>
      <c r="G244" s="1">
        <v>0.40008890995587393</v>
      </c>
      <c r="H244" s="1">
        <v>1.8779822839167735</v>
      </c>
      <c r="I244" s="1">
        <v>730.94494766245055</v>
      </c>
      <c r="J244" s="1" t="s">
        <v>129</v>
      </c>
      <c r="K244" s="1">
        <f t="shared" si="9"/>
        <v>0.46570896659548744</v>
      </c>
      <c r="L244" s="1">
        <f t="shared" si="10"/>
        <v>0.93685589123960322</v>
      </c>
      <c r="M244" s="1">
        <f t="shared" si="11"/>
        <v>364.19725232708748</v>
      </c>
    </row>
    <row r="245" spans="1:19" x14ac:dyDescent="0.3">
      <c r="A245" s="1">
        <v>243</v>
      </c>
      <c r="C245" s="1" t="s">
        <v>29</v>
      </c>
      <c r="D245" s="1">
        <v>20.2</v>
      </c>
      <c r="E245" s="1">
        <v>435</v>
      </c>
      <c r="F245" s="1">
        <v>30</v>
      </c>
      <c r="G245" s="1">
        <v>0.41886280165189382</v>
      </c>
      <c r="H245" s="1">
        <v>1.8957522750035987</v>
      </c>
      <c r="I245" s="1">
        <v>1527.2764551952866</v>
      </c>
      <c r="J245" s="1" t="s">
        <v>129</v>
      </c>
      <c r="K245" s="1">
        <f t="shared" si="9"/>
        <v>0.48756203345928356</v>
      </c>
      <c r="L245" s="1">
        <f t="shared" si="10"/>
        <v>0.9457206824463904</v>
      </c>
      <c r="M245" s="1">
        <f t="shared" si="11"/>
        <v>760.97370985980706</v>
      </c>
    </row>
    <row r="246" spans="1:19" x14ac:dyDescent="0.3">
      <c r="A246" s="1">
        <v>244</v>
      </c>
      <c r="C246" s="1" t="s">
        <v>29</v>
      </c>
      <c r="D246" s="1">
        <v>20.2</v>
      </c>
      <c r="E246" s="1">
        <v>436</v>
      </c>
      <c r="F246" s="1">
        <v>45</v>
      </c>
      <c r="G246" s="1">
        <v>0.43311687654324604</v>
      </c>
      <c r="H246" s="1">
        <v>1.8957522750035987</v>
      </c>
      <c r="I246" s="1">
        <v>2088.4038037899604</v>
      </c>
      <c r="J246" s="1" t="s">
        <v>129</v>
      </c>
      <c r="K246" s="1">
        <f t="shared" si="9"/>
        <v>0.50415397170660581</v>
      </c>
      <c r="L246" s="1">
        <f t="shared" si="10"/>
        <v>0.9457206824463904</v>
      </c>
      <c r="M246" s="1">
        <f t="shared" si="11"/>
        <v>1040.5584299092541</v>
      </c>
    </row>
    <row r="247" spans="1:19" x14ac:dyDescent="0.3">
      <c r="A247" s="1">
        <v>245</v>
      </c>
      <c r="C247" s="1" t="s">
        <v>29</v>
      </c>
      <c r="D247" s="1">
        <v>20.2</v>
      </c>
      <c r="E247" s="1">
        <v>437</v>
      </c>
      <c r="F247" s="1">
        <v>0</v>
      </c>
      <c r="G247" s="1">
        <v>0.39168680840109155</v>
      </c>
      <c r="H247" s="1">
        <v>1.9013053972182317</v>
      </c>
      <c r="I247" s="1">
        <v>402.69493616298394</v>
      </c>
      <c r="J247" s="1" t="s">
        <v>16</v>
      </c>
      <c r="K247" s="1">
        <f t="shared" si="9"/>
        <v>0.45592880539896841</v>
      </c>
      <c r="L247" s="1">
        <f t="shared" si="10"/>
        <v>0.94849092969851145</v>
      </c>
      <c r="M247" s="1">
        <f t="shared" si="11"/>
        <v>200.64491826040805</v>
      </c>
      <c r="N247" s="1">
        <f>SLOPE(K247:K250,F247:F250)</f>
        <v>2.059851844002228E-3</v>
      </c>
      <c r="O247" s="1">
        <f>SLOPE(L247:L250,F247:F250)</f>
        <v>-7.3873260056560286E-4</v>
      </c>
      <c r="P247" s="1">
        <f>SLOPE(M247:M250,F247:F250)</f>
        <v>16.838979676633357</v>
      </c>
      <c r="Q247" s="1">
        <f>(N247*84.63/0.31*60)/1000</f>
        <v>3.3740373204756494E-2</v>
      </c>
      <c r="R247" s="1">
        <f>O247*84.63/0.31*60/1000</f>
        <v>-1.2100439997264574E-2</v>
      </c>
      <c r="S247" s="1">
        <f>(P247*84.63/0.31*60)/1000</f>
        <v>275.82248710325445</v>
      </c>
    </row>
    <row r="248" spans="1:19" x14ac:dyDescent="0.3">
      <c r="A248" s="1">
        <v>246</v>
      </c>
      <c r="C248" s="1" t="s">
        <v>29</v>
      </c>
      <c r="D248" s="1">
        <v>20.2</v>
      </c>
      <c r="E248" s="1">
        <v>438</v>
      </c>
      <c r="F248" s="1">
        <v>15</v>
      </c>
      <c r="G248" s="1">
        <v>0.42158420713849382</v>
      </c>
      <c r="H248" s="1">
        <v>1.8702079128162872</v>
      </c>
      <c r="I248" s="1">
        <v>1000.8762971169697</v>
      </c>
      <c r="J248" s="1" t="s">
        <v>16</v>
      </c>
      <c r="K248" s="1">
        <f t="shared" si="9"/>
        <v>0.49072978668941325</v>
      </c>
      <c r="L248" s="1">
        <f t="shared" si="10"/>
        <v>0.93297754508663377</v>
      </c>
      <c r="M248" s="1">
        <f t="shared" si="11"/>
        <v>498.69199930176296</v>
      </c>
    </row>
    <row r="249" spans="1:19" x14ac:dyDescent="0.3">
      <c r="A249" s="1">
        <v>247</v>
      </c>
      <c r="C249" s="1" t="s">
        <v>29</v>
      </c>
      <c r="D249" s="1">
        <v>20.2</v>
      </c>
      <c r="E249" s="1">
        <v>439</v>
      </c>
      <c r="F249" s="1">
        <v>30</v>
      </c>
      <c r="G249" s="1">
        <v>0.45157675991388907</v>
      </c>
      <c r="H249" s="1">
        <v>1.8613229172728747</v>
      </c>
      <c r="I249" s="1">
        <v>1527.1763768364499</v>
      </c>
      <c r="J249" s="1" t="s">
        <v>16</v>
      </c>
      <c r="K249" s="1">
        <f t="shared" si="9"/>
        <v>0.52564152858231017</v>
      </c>
      <c r="L249" s="1">
        <f t="shared" si="10"/>
        <v>0.92854514948324018</v>
      </c>
      <c r="M249" s="1">
        <f t="shared" si="11"/>
        <v>760.92384527914021</v>
      </c>
    </row>
    <row r="250" spans="1:19" x14ac:dyDescent="0.3">
      <c r="A250" s="1">
        <v>248</v>
      </c>
      <c r="C250" s="1" t="s">
        <v>29</v>
      </c>
      <c r="D250" s="1">
        <v>20.2</v>
      </c>
      <c r="E250" s="1">
        <v>440</v>
      </c>
      <c r="F250" s="1">
        <v>45</v>
      </c>
      <c r="G250" s="1">
        <v>0.4701698589377224</v>
      </c>
      <c r="H250" s="1">
        <v>1.8302254328709302</v>
      </c>
      <c r="I250" s="1">
        <v>1917.0556424911842</v>
      </c>
      <c r="J250" s="1" t="s">
        <v>16</v>
      </c>
      <c r="K250" s="1">
        <f t="shared" si="9"/>
        <v>0.5472841503014475</v>
      </c>
      <c r="L250" s="1">
        <f t="shared" si="10"/>
        <v>0.91303176487136251</v>
      </c>
      <c r="M250" s="1">
        <f t="shared" si="11"/>
        <v>955.18328676628357</v>
      </c>
      <c r="N250" s="1"/>
      <c r="O250" s="1"/>
      <c r="P250" s="1"/>
      <c r="Q250" s="1"/>
      <c r="R250" s="1"/>
      <c r="S250" s="1"/>
    </row>
    <row r="251" spans="1:19" x14ac:dyDescent="0.3">
      <c r="A251" s="1">
        <v>249</v>
      </c>
      <c r="C251" s="1" t="s">
        <v>29</v>
      </c>
      <c r="D251" s="1">
        <v>20.2</v>
      </c>
      <c r="E251" s="1">
        <v>441</v>
      </c>
      <c r="F251" s="1">
        <v>0</v>
      </c>
      <c r="G251" s="1">
        <v>0.39101121473134115</v>
      </c>
      <c r="H251" s="1">
        <v>1.8968628994465253</v>
      </c>
      <c r="I251" s="1">
        <v>389.58367037177953</v>
      </c>
      <c r="J251" s="1" t="s">
        <v>16</v>
      </c>
      <c r="K251" s="1">
        <f t="shared" si="9"/>
        <v>0.45514240512155857</v>
      </c>
      <c r="L251" s="1">
        <f t="shared" si="10"/>
        <v>0.94627473189681466</v>
      </c>
      <c r="M251" s="1">
        <f t="shared" si="11"/>
        <v>194.11215954724173</v>
      </c>
      <c r="N251" s="1">
        <f>SLOPE(K251:K254,F251:F254)</f>
        <v>2.8597649149111832E-3</v>
      </c>
      <c r="O251" s="1">
        <f>SLOPE(L251:L254,F251:F254)</f>
        <v>-3.8783461529694251E-4</v>
      </c>
      <c r="P251" s="1">
        <f>SLOPE(M251:M254,F251:F254)</f>
        <v>16.033168053056773</v>
      </c>
      <c r="Q251" s="1">
        <f>(N251*84.63/0.31*60)/1000</f>
        <v>4.6842949306245177E-2</v>
      </c>
      <c r="R251" s="1">
        <f>O251*84.63/0.31*60/1000</f>
        <v>-6.3527309985639182E-3</v>
      </c>
      <c r="S251" s="1">
        <f>(P251*84.63/0.31*60)/1000</f>
        <v>262.62329270906991</v>
      </c>
    </row>
    <row r="252" spans="1:19" x14ac:dyDescent="0.3">
      <c r="A252" s="1">
        <v>250</v>
      </c>
      <c r="C252" s="1" t="s">
        <v>29</v>
      </c>
      <c r="D252" s="1">
        <v>20.2</v>
      </c>
      <c r="E252" s="1">
        <v>442</v>
      </c>
      <c r="F252" s="1">
        <v>15</v>
      </c>
      <c r="G252" s="1">
        <v>0.43293608387105936</v>
      </c>
      <c r="H252" s="1">
        <v>1.8768716594738466</v>
      </c>
      <c r="I252" s="1">
        <v>905.97399099924337</v>
      </c>
      <c r="J252" s="1" t="s">
        <v>16</v>
      </c>
      <c r="K252" s="1">
        <f t="shared" si="9"/>
        <v>0.50394352656194696</v>
      </c>
      <c r="L252" s="1">
        <f t="shared" si="10"/>
        <v>0.93630184178917897</v>
      </c>
      <c r="M252" s="1">
        <f t="shared" si="11"/>
        <v>451.40641474698577</v>
      </c>
    </row>
    <row r="253" spans="1:19" x14ac:dyDescent="0.3">
      <c r="A253" s="1">
        <v>251</v>
      </c>
      <c r="C253" s="1" t="s">
        <v>29</v>
      </c>
      <c r="D253" s="1">
        <v>20.2</v>
      </c>
      <c r="E253" s="1">
        <v>443</v>
      </c>
      <c r="F253" s="1">
        <v>30</v>
      </c>
      <c r="G253" s="1">
        <v>0.46692510624216088</v>
      </c>
      <c r="H253" s="1">
        <v>1.8702079128162872</v>
      </c>
      <c r="I253" s="1">
        <v>1347.8269507486737</v>
      </c>
      <c r="J253" s="1" t="s">
        <v>16</v>
      </c>
      <c r="K253" s="1">
        <f t="shared" si="9"/>
        <v>0.5435072137578314</v>
      </c>
      <c r="L253" s="1">
        <f t="shared" si="10"/>
        <v>0.93297754508663377</v>
      </c>
      <c r="M253" s="1">
        <f t="shared" si="11"/>
        <v>671.56202891185319</v>
      </c>
    </row>
    <row r="254" spans="1:19" x14ac:dyDescent="0.3">
      <c r="A254" s="1">
        <v>252</v>
      </c>
      <c r="C254" s="1" t="s">
        <v>29</v>
      </c>
      <c r="D254" s="1">
        <v>20.2</v>
      </c>
      <c r="E254" s="1">
        <v>444</v>
      </c>
      <c r="F254" s="1">
        <v>45</v>
      </c>
      <c r="G254" s="1">
        <v>0.50252223185534428</v>
      </c>
      <c r="H254" s="1">
        <v>1.8602122928299478</v>
      </c>
      <c r="I254" s="1">
        <v>1851.2301027498909</v>
      </c>
      <c r="J254" s="1" t="s">
        <v>16</v>
      </c>
      <c r="K254" s="1">
        <f t="shared" si="9"/>
        <v>0.58494275513515626</v>
      </c>
      <c r="L254" s="1">
        <f t="shared" si="10"/>
        <v>0.92799110003281593</v>
      </c>
      <c r="M254" s="1">
        <f t="shared" si="11"/>
        <v>922.38535747845788</v>
      </c>
      <c r="N254" s="1"/>
      <c r="O254" s="1"/>
      <c r="P254" s="1"/>
      <c r="Q254" s="1"/>
      <c r="R254" s="1"/>
      <c r="S254" s="1"/>
    </row>
    <row r="255" spans="1:19" x14ac:dyDescent="0.3">
      <c r="A255" s="1">
        <v>253</v>
      </c>
      <c r="C255" s="1" t="s">
        <v>29</v>
      </c>
      <c r="D255" s="1">
        <v>20.2</v>
      </c>
      <c r="E255" s="1">
        <v>445</v>
      </c>
      <c r="F255" s="1">
        <v>0</v>
      </c>
      <c r="G255" s="1">
        <v>0.39071623721356286</v>
      </c>
      <c r="H255" s="1">
        <v>1.8957522750035987</v>
      </c>
      <c r="I255" s="1">
        <v>394.69767450833814</v>
      </c>
      <c r="J255" s="1" t="s">
        <v>16</v>
      </c>
      <c r="K255" s="1">
        <f t="shared" si="9"/>
        <v>0.45479904725395709</v>
      </c>
      <c r="L255" s="1">
        <f t="shared" si="10"/>
        <v>0.9457206824463904</v>
      </c>
      <c r="M255" s="1">
        <f t="shared" si="11"/>
        <v>196.66023961931867</v>
      </c>
      <c r="N255" s="1">
        <f>SLOPE(K255:K258,F255:F258)</f>
        <v>2.3594223534342995E-3</v>
      </c>
      <c r="O255" s="1">
        <f>SLOPE(L255:L258,F255:F258)</f>
        <v>-2.9918670322906776E-4</v>
      </c>
      <c r="P255" s="1">
        <f>SLOPE(M255:M258,F255:F258)</f>
        <v>17.693199835121334</v>
      </c>
      <c r="Q255" s="1">
        <f>(N255*84.63/0.31*60)/1000</f>
        <v>3.8647338149253828E-2</v>
      </c>
      <c r="R255" s="1">
        <f>O255*84.63/0.31*60/1000</f>
        <v>-4.9006781988921297E-3</v>
      </c>
      <c r="S255" s="1">
        <f>(P255*84.63/0.31*60)/1000</f>
        <v>289.81461329928743</v>
      </c>
    </row>
    <row r="256" spans="1:19" x14ac:dyDescent="0.3">
      <c r="A256" s="1">
        <v>254</v>
      </c>
      <c r="C256" s="1" t="s">
        <v>29</v>
      </c>
      <c r="D256" s="1">
        <v>20.2</v>
      </c>
      <c r="E256" s="1">
        <v>446</v>
      </c>
      <c r="F256" s="1">
        <v>15</v>
      </c>
      <c r="G256" s="1">
        <v>0.42384887324272735</v>
      </c>
      <c r="H256" s="1">
        <v>1.8668760394875075</v>
      </c>
      <c r="I256" s="1">
        <v>983.55973868744445</v>
      </c>
      <c r="J256" s="1" t="s">
        <v>16</v>
      </c>
      <c r="K256" s="1">
        <f t="shared" si="9"/>
        <v>0.49336588902777284</v>
      </c>
      <c r="L256" s="1">
        <f t="shared" si="10"/>
        <v>0.93131539673536112</v>
      </c>
      <c r="M256" s="1">
        <f t="shared" si="11"/>
        <v>490.06393090897495</v>
      </c>
    </row>
    <row r="257" spans="1:19" x14ac:dyDescent="0.3">
      <c r="A257" s="1">
        <v>255</v>
      </c>
      <c r="C257" s="1" t="s">
        <v>29</v>
      </c>
      <c r="D257" s="1">
        <v>20.2</v>
      </c>
      <c r="E257" s="1">
        <v>447</v>
      </c>
      <c r="F257" s="1">
        <v>30</v>
      </c>
      <c r="G257" s="1">
        <v>0.45470732776385903</v>
      </c>
      <c r="H257" s="1">
        <v>1.8735397861450671</v>
      </c>
      <c r="I257" s="1">
        <v>1558.6420136383165</v>
      </c>
      <c r="J257" s="1" t="s">
        <v>16</v>
      </c>
      <c r="K257" s="1">
        <f t="shared" si="9"/>
        <v>0.52928555240298381</v>
      </c>
      <c r="L257" s="1">
        <f t="shared" si="10"/>
        <v>0.93463969343790643</v>
      </c>
      <c r="M257" s="1">
        <f t="shared" si="11"/>
        <v>776.60176808660992</v>
      </c>
    </row>
    <row r="258" spans="1:19" x14ac:dyDescent="0.3">
      <c r="A258" s="1">
        <v>256</v>
      </c>
      <c r="C258" s="1" t="s">
        <v>29</v>
      </c>
      <c r="D258" s="1">
        <v>20.2</v>
      </c>
      <c r="E258" s="1">
        <v>448</v>
      </c>
      <c r="F258" s="1">
        <v>45</v>
      </c>
      <c r="G258" s="1">
        <v>0.48177865157286909</v>
      </c>
      <c r="H258" s="1">
        <v>1.8635441661587278</v>
      </c>
      <c r="I258" s="1">
        <v>1978.5187665707826</v>
      </c>
      <c r="J258" s="1" t="s">
        <v>16</v>
      </c>
      <c r="K258" s="1">
        <f t="shared" si="9"/>
        <v>0.56079694380060174</v>
      </c>
      <c r="L258" s="1">
        <f t="shared" si="10"/>
        <v>0.92965324838408858</v>
      </c>
      <c r="M258" s="1">
        <f t="shared" si="11"/>
        <v>985.80761898284038</v>
      </c>
      <c r="N258" s="1"/>
      <c r="O258" s="1"/>
      <c r="P258" s="1"/>
      <c r="Q258" s="1"/>
      <c r="R258" s="1"/>
      <c r="S258" s="1"/>
    </row>
    <row r="259" spans="1:19" x14ac:dyDescent="0.3">
      <c r="A259" s="1">
        <v>257</v>
      </c>
      <c r="C259" s="1" t="s">
        <v>29</v>
      </c>
      <c r="D259" s="1">
        <v>20.2</v>
      </c>
      <c r="E259" s="1">
        <v>449</v>
      </c>
      <c r="F259" s="1">
        <v>0</v>
      </c>
      <c r="G259" s="1">
        <v>0.3900120973324146</v>
      </c>
      <c r="H259" s="1">
        <v>1.8968628994465253</v>
      </c>
      <c r="I259" s="1">
        <v>390.42933250395015</v>
      </c>
      <c r="J259" s="1" t="s">
        <v>16</v>
      </c>
      <c r="K259" s="1">
        <f t="shared" ref="K259:K322" si="12">(G259*28*1)/(0.082*(D259+273.15))</f>
        <v>0.45397941879581166</v>
      </c>
      <c r="L259" s="1">
        <f t="shared" ref="L259:L322" si="13">(H259*12*1)/(0.082*(D259+273.15))</f>
        <v>0.94627473189681466</v>
      </c>
      <c r="M259" s="1">
        <f t="shared" ref="M259:M322" si="14">(I259*12*1)/(0.0821*(D259+273.15))</f>
        <v>194.53351525387674</v>
      </c>
      <c r="N259" s="1">
        <f>SLOPE(K259:K262,F259:F262)</f>
        <v>2.3189282771778178E-2</v>
      </c>
      <c r="O259" s="1">
        <f>SLOPE(L259:L262,F259:F262)</f>
        <v>-4.0630293031107546E-5</v>
      </c>
      <c r="P259" s="1">
        <f>SLOPE(M259:M262,F259:F262)</f>
        <v>17.112084660640413</v>
      </c>
      <c r="Q259" s="1">
        <f>(N259*84.63/0.31*60)/1000</f>
        <v>0.37984045180172654</v>
      </c>
      <c r="R259" s="1">
        <f>O259*84.63/0.31*60/1000</f>
        <v>-6.6552419984954156E-4</v>
      </c>
      <c r="S259" s="1">
        <f>(P259*84.63/0.31*60)/1000</f>
        <v>280.29594674128992</v>
      </c>
    </row>
    <row r="260" spans="1:19" x14ac:dyDescent="0.3">
      <c r="A260" s="1">
        <v>258</v>
      </c>
      <c r="C260" s="1" t="s">
        <v>29</v>
      </c>
      <c r="D260" s="1">
        <v>20.2</v>
      </c>
      <c r="E260" s="1">
        <v>450</v>
      </c>
      <c r="F260" s="1">
        <v>15</v>
      </c>
      <c r="G260" s="1">
        <v>0.66079194324911006</v>
      </c>
      <c r="H260" s="1">
        <v>1.8857566550172593</v>
      </c>
      <c r="I260" s="1">
        <v>876.70407339025508</v>
      </c>
      <c r="J260" s="1" t="s">
        <v>16</v>
      </c>
      <c r="K260" s="1">
        <f t="shared" si="12"/>
        <v>0.76917086519370781</v>
      </c>
      <c r="L260" s="1">
        <f t="shared" si="13"/>
        <v>0.94073423739257256</v>
      </c>
      <c r="M260" s="1">
        <f t="shared" si="14"/>
        <v>436.82252083934696</v>
      </c>
    </row>
    <row r="261" spans="1:19" x14ac:dyDescent="0.3">
      <c r="A261" s="1">
        <v>259</v>
      </c>
      <c r="C261" s="1" t="s">
        <v>29</v>
      </c>
      <c r="D261" s="1">
        <v>20.2</v>
      </c>
      <c r="E261" s="1">
        <v>451</v>
      </c>
      <c r="F261" s="1">
        <v>30</v>
      </c>
      <c r="G261" s="1">
        <v>0.87680112489703177</v>
      </c>
      <c r="H261" s="1">
        <v>1.8802035328026265</v>
      </c>
      <c r="I261" s="1">
        <v>1223.6697387757847</v>
      </c>
      <c r="J261" s="1" t="s">
        <v>16</v>
      </c>
      <c r="K261" s="1">
        <f t="shared" si="12"/>
        <v>1.0206085088201846</v>
      </c>
      <c r="L261" s="1">
        <f t="shared" si="13"/>
        <v>0.93796399014045162</v>
      </c>
      <c r="M261" s="1">
        <f t="shared" si="14"/>
        <v>609.70003013653718</v>
      </c>
    </row>
    <row r="262" spans="1:19" x14ac:dyDescent="0.3">
      <c r="A262" s="1">
        <v>260</v>
      </c>
      <c r="C262" s="1" t="s">
        <v>29</v>
      </c>
      <c r="D262" s="1">
        <v>20.2</v>
      </c>
      <c r="E262" s="1">
        <v>452</v>
      </c>
      <c r="F262" s="1">
        <v>45</v>
      </c>
      <c r="G262" s="1">
        <v>1.3141005373014869</v>
      </c>
      <c r="H262" s="1">
        <v>1.8946416505606722</v>
      </c>
      <c r="I262" s="1">
        <v>1991.9743019163855</v>
      </c>
      <c r="J262" s="1" t="s">
        <v>16</v>
      </c>
      <c r="K262" s="1">
        <f t="shared" si="12"/>
        <v>1.5296310095092285</v>
      </c>
      <c r="L262" s="1">
        <f t="shared" si="13"/>
        <v>0.94516663299596626</v>
      </c>
      <c r="M262" s="1">
        <f t="shared" si="14"/>
        <v>992.51191185350069</v>
      </c>
      <c r="N262" s="1"/>
      <c r="O262" s="1"/>
      <c r="P262" s="1"/>
      <c r="Q262" s="1"/>
      <c r="R262" s="1"/>
      <c r="S262" s="1"/>
    </row>
    <row r="263" spans="1:19" x14ac:dyDescent="0.3">
      <c r="A263" s="1">
        <v>261</v>
      </c>
      <c r="C263" s="1" t="s">
        <v>29</v>
      </c>
      <c r="D263" s="1">
        <v>20.2</v>
      </c>
      <c r="E263" s="1">
        <v>453</v>
      </c>
      <c r="F263" s="1">
        <v>0</v>
      </c>
      <c r="G263" s="1">
        <v>0.39413226717751176</v>
      </c>
      <c r="H263" s="1">
        <v>1.8901991527889659</v>
      </c>
      <c r="I263" s="1">
        <v>562.36395298551031</v>
      </c>
      <c r="J263" s="1" t="s">
        <v>16</v>
      </c>
      <c r="K263" s="1">
        <f t="shared" si="12"/>
        <v>0.45877535288198695</v>
      </c>
      <c r="L263" s="1">
        <f t="shared" si="13"/>
        <v>0.94295043519426935</v>
      </c>
      <c r="M263" s="1">
        <f t="shared" si="14"/>
        <v>280.20086483955549</v>
      </c>
      <c r="N263" s="1">
        <f>SLOPE(K263:K266,F263:F266)</f>
        <v>1.5893408047857722E-3</v>
      </c>
      <c r="O263" s="1">
        <f>SLOPE(L263:L266,F263:F266)</f>
        <v>-4.1738391931956423E-4</v>
      </c>
      <c r="P263" s="1">
        <f>SLOPE(M263:M266,F263:F266)</f>
        <v>14.630653587082808</v>
      </c>
      <c r="Q263" s="1">
        <f>(N263*84.63/0.31*60)/1000</f>
        <v>2.6033402382390946E-2</v>
      </c>
      <c r="R263" s="1">
        <f>O263*84.63/0.31*60/1000</f>
        <v>-6.8367485984544623E-3</v>
      </c>
      <c r="S263" s="1">
        <f>(P263*84.63/0.31*60)/1000</f>
        <v>239.65010575641639</v>
      </c>
    </row>
    <row r="264" spans="1:19" x14ac:dyDescent="0.3">
      <c r="A264" s="1">
        <v>262</v>
      </c>
      <c r="C264" s="1" t="s">
        <v>29</v>
      </c>
      <c r="D264" s="1">
        <v>20.2</v>
      </c>
      <c r="E264" s="1">
        <v>454</v>
      </c>
      <c r="F264" s="1">
        <v>15</v>
      </c>
      <c r="G264" s="1">
        <v>0.41458086994220855</v>
      </c>
      <c r="H264" s="1">
        <v>1.8990841483323784</v>
      </c>
      <c r="I264" s="1">
        <v>913.65300347278821</v>
      </c>
      <c r="J264" s="1" t="s">
        <v>16</v>
      </c>
      <c r="K264" s="1">
        <f t="shared" si="12"/>
        <v>0.48257780634893976</v>
      </c>
      <c r="L264" s="1">
        <f t="shared" si="13"/>
        <v>0.94738283079766294</v>
      </c>
      <c r="M264" s="1">
        <f t="shared" si="14"/>
        <v>455.23252402155441</v>
      </c>
    </row>
    <row r="265" spans="1:19" x14ac:dyDescent="0.3">
      <c r="A265" s="1">
        <v>263</v>
      </c>
      <c r="C265" s="1" t="s">
        <v>29</v>
      </c>
      <c r="D265" s="1">
        <v>20.2</v>
      </c>
      <c r="E265" s="1">
        <v>455</v>
      </c>
      <c r="F265" s="1">
        <v>30</v>
      </c>
      <c r="G265" s="1">
        <v>0.43700867669716004</v>
      </c>
      <c r="H265" s="1">
        <v>1.8635441661587278</v>
      </c>
      <c r="I265" s="1">
        <v>1414.0267835520167</v>
      </c>
      <c r="J265" s="1" t="s">
        <v>16</v>
      </c>
      <c r="K265" s="1">
        <f t="shared" si="12"/>
        <v>0.50868408034689616</v>
      </c>
      <c r="L265" s="1">
        <f t="shared" si="13"/>
        <v>0.92965324838408858</v>
      </c>
      <c r="M265" s="1">
        <f t="shared" si="14"/>
        <v>704.54645173137305</v>
      </c>
    </row>
    <row r="266" spans="1:19" x14ac:dyDescent="0.3">
      <c r="A266" s="1">
        <v>264</v>
      </c>
      <c r="C266" s="1" t="s">
        <v>29</v>
      </c>
      <c r="D266" s="1">
        <v>20.2</v>
      </c>
      <c r="E266" s="1">
        <v>456</v>
      </c>
      <c r="F266" s="1">
        <v>45</v>
      </c>
      <c r="G266" s="1">
        <v>0.45492618205124286</v>
      </c>
      <c r="H266" s="1">
        <v>1.8602122928299478</v>
      </c>
      <c r="I266" s="1">
        <v>1863.760914059842</v>
      </c>
      <c r="J266" s="1" t="s">
        <v>16</v>
      </c>
      <c r="K266" s="1">
        <f t="shared" si="12"/>
        <v>0.52954030178862344</v>
      </c>
      <c r="L266" s="1">
        <f t="shared" si="13"/>
        <v>0.92799110003281593</v>
      </c>
      <c r="M266" s="1">
        <f t="shared" si="14"/>
        <v>928.62890162375641</v>
      </c>
      <c r="N266" s="1"/>
      <c r="O266" s="1"/>
      <c r="P266" s="1"/>
      <c r="Q266" s="1"/>
      <c r="R266" s="1"/>
      <c r="S266" s="1"/>
    </row>
    <row r="267" spans="1:19" x14ac:dyDescent="0.3">
      <c r="A267" s="1">
        <v>265</v>
      </c>
      <c r="C267" s="1" t="s">
        <v>29</v>
      </c>
      <c r="D267" s="1">
        <v>20.2</v>
      </c>
      <c r="E267" s="1">
        <v>457</v>
      </c>
      <c r="F267" s="1">
        <v>0</v>
      </c>
      <c r="G267" s="1">
        <v>0.3941893596003076</v>
      </c>
      <c r="H267" s="1">
        <v>1.9190753883050569</v>
      </c>
      <c r="I267" s="1">
        <v>400.53724674646332</v>
      </c>
      <c r="J267" s="1" t="s">
        <v>16</v>
      </c>
      <c r="K267" s="1">
        <f t="shared" si="12"/>
        <v>0.45884180924345819</v>
      </c>
      <c r="L267" s="1">
        <f t="shared" si="13"/>
        <v>0.95735572090529852</v>
      </c>
      <c r="M267" s="1">
        <f t="shared" si="14"/>
        <v>199.56983790123041</v>
      </c>
      <c r="N267" s="1">
        <f>SLOPE(K267:K270,F267:F270)</f>
        <v>5.1274036491135207E-3</v>
      </c>
      <c r="O267" s="1">
        <f>SLOPE(L267:L270,F267:F270)</f>
        <v>-6.537783515005557E-4</v>
      </c>
      <c r="P267" s="1">
        <f>SLOPE(M267:M270,F267:F270)</f>
        <v>14.492488806971052</v>
      </c>
      <c r="Q267" s="1">
        <f>(N267*84.63/0.31*60)/1000</f>
        <v>8.3986871772479474E-2</v>
      </c>
      <c r="R267" s="1">
        <f>O267*84.63/0.31*60/1000</f>
        <v>-1.0708889397579103E-2</v>
      </c>
      <c r="S267" s="1">
        <f>(P267*84.63/0.31*60)/1000</f>
        <v>237.3869666581858</v>
      </c>
    </row>
    <row r="268" spans="1:19" x14ac:dyDescent="0.3">
      <c r="A268" s="1">
        <v>266</v>
      </c>
      <c r="C268" s="1" t="s">
        <v>29</v>
      </c>
      <c r="D268" s="1">
        <v>20.2</v>
      </c>
      <c r="E268" s="1">
        <v>458</v>
      </c>
      <c r="F268" s="1">
        <v>15</v>
      </c>
      <c r="G268" s="1">
        <v>0.46525039517348393</v>
      </c>
      <c r="H268" s="1">
        <v>1.8890885283460392</v>
      </c>
      <c r="I268" s="1">
        <v>876.12061655823675</v>
      </c>
      <c r="J268" s="1" t="s">
        <v>16</v>
      </c>
      <c r="K268" s="1">
        <f t="shared" si="12"/>
        <v>0.5415578271546746</v>
      </c>
      <c r="L268" s="1">
        <f t="shared" si="13"/>
        <v>0.94239638574384532</v>
      </c>
      <c r="M268" s="1">
        <f t="shared" si="14"/>
        <v>436.53181033405912</v>
      </c>
    </row>
    <row r="269" spans="1:19" x14ac:dyDescent="0.3">
      <c r="A269" s="1">
        <v>267</v>
      </c>
      <c r="C269" s="1" t="s">
        <v>29</v>
      </c>
      <c r="D269" s="1">
        <v>20.2</v>
      </c>
      <c r="E269" s="1">
        <v>459</v>
      </c>
      <c r="F269" s="1">
        <v>30</v>
      </c>
      <c r="G269" s="1">
        <v>0.52452184543932712</v>
      </c>
      <c r="H269" s="1">
        <v>1.8657654150445808</v>
      </c>
      <c r="I269" s="1">
        <v>1267.7342401716119</v>
      </c>
      <c r="J269" s="1" t="s">
        <v>16</v>
      </c>
      <c r="K269" s="1">
        <f t="shared" si="12"/>
        <v>0.61055060642207803</v>
      </c>
      <c r="L269" s="1">
        <f t="shared" si="13"/>
        <v>0.93076134728493698</v>
      </c>
      <c r="M269" s="1">
        <f t="shared" si="14"/>
        <v>631.65540500415909</v>
      </c>
    </row>
    <row r="270" spans="1:19" x14ac:dyDescent="0.3">
      <c r="A270" s="1">
        <v>268</v>
      </c>
      <c r="C270" s="1" t="s">
        <v>29</v>
      </c>
      <c r="D270" s="1">
        <v>20.2</v>
      </c>
      <c r="E270" s="1">
        <v>460</v>
      </c>
      <c r="F270" s="1">
        <v>45</v>
      </c>
      <c r="G270" s="1">
        <v>0.59467891765156999</v>
      </c>
      <c r="H270" s="1">
        <v>1.8613229172728747</v>
      </c>
      <c r="I270" s="1">
        <v>1724.3227374761677</v>
      </c>
      <c r="J270" s="1" t="s">
        <v>16</v>
      </c>
      <c r="K270" s="1">
        <f t="shared" si="12"/>
        <v>0.69221439860999978</v>
      </c>
      <c r="L270" s="1">
        <f t="shared" si="13"/>
        <v>0.92854514948324018</v>
      </c>
      <c r="M270" s="1">
        <f t="shared" si="14"/>
        <v>859.15308002641632</v>
      </c>
      <c r="N270" s="1"/>
      <c r="O270" s="1"/>
      <c r="P270" s="1"/>
      <c r="Q270" s="1"/>
      <c r="R270" s="1"/>
      <c r="S270" s="1"/>
    </row>
    <row r="271" spans="1:19" x14ac:dyDescent="0.3">
      <c r="A271" s="1">
        <v>269</v>
      </c>
      <c r="C271" s="1" t="s">
        <v>29</v>
      </c>
      <c r="D271" s="1">
        <v>20.2</v>
      </c>
      <c r="E271" s="1">
        <v>461</v>
      </c>
      <c r="F271" s="1">
        <v>0</v>
      </c>
      <c r="G271" s="1">
        <v>0.39317121139378236</v>
      </c>
      <c r="H271" s="1">
        <v>1.8979735238894517</v>
      </c>
      <c r="I271" s="1">
        <v>412.48059809004269</v>
      </c>
      <c r="J271" s="1" t="s">
        <v>129</v>
      </c>
      <c r="K271" s="1">
        <f t="shared" si="12"/>
        <v>0.45765667079722083</v>
      </c>
      <c r="L271" s="1">
        <f t="shared" si="13"/>
        <v>0.9468287813472388</v>
      </c>
      <c r="M271" s="1">
        <f t="shared" si="14"/>
        <v>205.52067695801438</v>
      </c>
      <c r="N271" s="1">
        <f>SLOPE(K271:K274,F271:F274)</f>
        <v>1.2335039093080442E-3</v>
      </c>
      <c r="O271" s="1">
        <f>SLOPE(L271:L274,F271:F274)</f>
        <v>-1.2927820509898381E-4</v>
      </c>
      <c r="P271" s="1">
        <f>SLOPE(M271:M274,F271:F274)</f>
        <v>8.7409917221663047</v>
      </c>
      <c r="Q271" s="1">
        <f>(N271*84.63/0.31*60)/1000</f>
        <v>2.0204794034465762E-2</v>
      </c>
      <c r="R271" s="1">
        <f>O271*84.63/0.31*60/1000</f>
        <v>-2.1175769995213545E-3</v>
      </c>
      <c r="S271" s="1">
        <f>(P271*84.63/0.31*60)/1000</f>
        <v>143.17744440908407</v>
      </c>
    </row>
    <row r="272" spans="1:19" x14ac:dyDescent="0.3">
      <c r="A272" s="1">
        <v>270</v>
      </c>
      <c r="C272" s="1" t="s">
        <v>29</v>
      </c>
      <c r="D272" s="1">
        <v>20.2</v>
      </c>
      <c r="E272" s="1">
        <v>462</v>
      </c>
      <c r="F272" s="1">
        <v>15</v>
      </c>
      <c r="G272" s="1">
        <v>0.41773998400357643</v>
      </c>
      <c r="H272" s="1">
        <v>1.8901991527889659</v>
      </c>
      <c r="I272" s="1">
        <v>811.46299126456881</v>
      </c>
      <c r="J272" s="1" t="s">
        <v>129</v>
      </c>
      <c r="K272" s="1">
        <f t="shared" si="12"/>
        <v>0.48625505835034905</v>
      </c>
      <c r="L272" s="1">
        <f t="shared" si="13"/>
        <v>0.94295043519426935</v>
      </c>
      <c r="M272" s="1">
        <f t="shared" si="14"/>
        <v>404.31580070261589</v>
      </c>
    </row>
    <row r="273" spans="1:19" x14ac:dyDescent="0.3">
      <c r="A273" s="1">
        <v>271</v>
      </c>
      <c r="C273" s="1" t="s">
        <v>29</v>
      </c>
      <c r="D273" s="1">
        <v>20.2</v>
      </c>
      <c r="E273" s="1">
        <v>463</v>
      </c>
      <c r="F273" s="1">
        <v>30</v>
      </c>
      <c r="G273" s="1">
        <v>0.43159441193535797</v>
      </c>
      <c r="H273" s="1">
        <v>1.881314157245553</v>
      </c>
      <c r="I273" s="1">
        <v>1074.0215680235835</v>
      </c>
      <c r="J273" s="1" t="s">
        <v>129</v>
      </c>
      <c r="K273" s="1">
        <f t="shared" si="12"/>
        <v>0.50238180206737248</v>
      </c>
      <c r="L273" s="1">
        <f t="shared" si="13"/>
        <v>0.93851803959087565</v>
      </c>
      <c r="M273" s="1">
        <f t="shared" si="14"/>
        <v>535.13702401956334</v>
      </c>
    </row>
    <row r="274" spans="1:19" x14ac:dyDescent="0.3">
      <c r="A274" s="1">
        <v>272</v>
      </c>
      <c r="C274" s="1" t="s">
        <v>29</v>
      </c>
      <c r="D274" s="1">
        <v>20.2</v>
      </c>
      <c r="E274" s="1">
        <v>464</v>
      </c>
      <c r="F274" s="1">
        <v>45</v>
      </c>
      <c r="G274" s="1">
        <v>0.441538008905627</v>
      </c>
      <c r="H274" s="1">
        <v>1.8879779039031124</v>
      </c>
      <c r="I274" s="1">
        <v>1202.1208665510528</v>
      </c>
      <c r="J274" s="1" t="s">
        <v>129</v>
      </c>
      <c r="K274" s="1">
        <f t="shared" si="12"/>
        <v>0.51395628502361523</v>
      </c>
      <c r="L274" s="1">
        <f t="shared" si="13"/>
        <v>0.94184233629342085</v>
      </c>
      <c r="M274" s="1">
        <f t="shared" si="14"/>
        <v>598.96318862734722</v>
      </c>
      <c r="N274" s="1"/>
      <c r="O274" s="1"/>
      <c r="P274" s="1"/>
      <c r="Q274" s="1"/>
      <c r="R274" s="1"/>
      <c r="S274" s="1"/>
    </row>
    <row r="275" spans="1:19" x14ac:dyDescent="0.3">
      <c r="A275" s="1">
        <v>273</v>
      </c>
      <c r="C275" s="1" t="s">
        <v>29</v>
      </c>
      <c r="D275" s="1">
        <v>20.2</v>
      </c>
      <c r="E275" s="1" t="s">
        <v>155</v>
      </c>
      <c r="G275" s="1">
        <v>0.39195323970747198</v>
      </c>
      <c r="H275" s="1">
        <v>1.900194772775305</v>
      </c>
      <c r="I275" s="1">
        <v>395.55934917792268</v>
      </c>
      <c r="J275"/>
      <c r="K275" s="1">
        <f t="shared" si="12"/>
        <v>0.45623893508583424</v>
      </c>
      <c r="L275" s="1">
        <f t="shared" si="13"/>
        <v>0.9479368802480872</v>
      </c>
      <c r="M275" s="1">
        <f t="shared" si="14"/>
        <v>197.08957365886039</v>
      </c>
    </row>
    <row r="276" spans="1:19" x14ac:dyDescent="0.3">
      <c r="A276" s="1">
        <v>274</v>
      </c>
      <c r="C276" s="1" t="s">
        <v>29</v>
      </c>
      <c r="D276" s="1">
        <v>20.2</v>
      </c>
      <c r="E276" s="1" t="s">
        <v>156</v>
      </c>
      <c r="F276"/>
      <c r="G276" s="1">
        <v>0.39024046702359788</v>
      </c>
      <c r="H276" s="1">
        <v>1.8890885283460392</v>
      </c>
      <c r="I276" s="1">
        <v>394.07718868355022</v>
      </c>
      <c r="J276"/>
      <c r="K276" s="1">
        <f t="shared" si="12"/>
        <v>0.45424524424169671</v>
      </c>
      <c r="L276" s="1">
        <f t="shared" si="13"/>
        <v>0.94239638574384532</v>
      </c>
      <c r="M276" s="1">
        <f t="shared" si="14"/>
        <v>196.3510792191841</v>
      </c>
    </row>
    <row r="277" spans="1:19" x14ac:dyDescent="0.3">
      <c r="A277" s="1">
        <v>275</v>
      </c>
      <c r="C277" s="1" t="s">
        <v>29</v>
      </c>
      <c r="D277" s="1">
        <v>20.2</v>
      </c>
      <c r="E277" s="1" t="s">
        <v>157</v>
      </c>
      <c r="F277"/>
      <c r="G277" s="1">
        <v>0.38953632714244957</v>
      </c>
      <c r="H277" s="1">
        <v>1.8924204016748187</v>
      </c>
      <c r="I277" s="1">
        <v>397.42380900305159</v>
      </c>
      <c r="J277"/>
      <c r="K277" s="1">
        <f t="shared" si="12"/>
        <v>0.45342561578355117</v>
      </c>
      <c r="L277" s="1">
        <f t="shared" si="13"/>
        <v>0.94405853409511764</v>
      </c>
      <c r="M277" s="1">
        <f t="shared" si="14"/>
        <v>198.01855079668414</v>
      </c>
    </row>
    <row r="278" spans="1:19" x14ac:dyDescent="0.3">
      <c r="A278" s="1">
        <v>276</v>
      </c>
      <c r="B278" s="1" t="s">
        <v>70</v>
      </c>
      <c r="C278" s="1" t="s">
        <v>29</v>
      </c>
      <c r="D278" s="1">
        <v>22.3</v>
      </c>
      <c r="E278" s="1">
        <v>633</v>
      </c>
      <c r="F278" s="1">
        <v>0</v>
      </c>
      <c r="G278" s="1">
        <v>0.39907280727895339</v>
      </c>
      <c r="H278" s="1">
        <v>1.8581105362472652</v>
      </c>
      <c r="I278" s="1">
        <v>402.71774051727181</v>
      </c>
      <c r="J278" s="1" t="s">
        <v>129</v>
      </c>
      <c r="K278" s="1">
        <f t="shared" si="12"/>
        <v>0.46122444901372833</v>
      </c>
      <c r="L278" s="1">
        <f t="shared" si="13"/>
        <v>0.92035408719098122</v>
      </c>
      <c r="M278" s="1">
        <f t="shared" si="14"/>
        <v>199.2300556082007</v>
      </c>
      <c r="N278" s="1">
        <f>SLOPE(K278:K281,F278:F281)</f>
        <v>1.7747801809548972E-4</v>
      </c>
      <c r="O278" s="1">
        <f>SLOPE(L278:L281,F278:F281)</f>
        <v>-3.1146395841186094E-4</v>
      </c>
      <c r="P278" s="1">
        <f>SLOPE(M278:M281,F278:F281)</f>
        <v>20.735040658603246</v>
      </c>
      <c r="Q278" s="1">
        <f>(N278*84.63/0.31*60)/1000</f>
        <v>2.9070899364041212E-3</v>
      </c>
      <c r="R278" s="1">
        <f>O278*84.63/0.31*60/1000</f>
        <v>-5.1017796387862824E-3</v>
      </c>
      <c r="S278" s="1">
        <f>(P278*84.63/0.31*60)/1000</f>
        <v>339.63996598792113</v>
      </c>
    </row>
    <row r="279" spans="1:19" x14ac:dyDescent="0.3">
      <c r="A279" s="1">
        <v>277</v>
      </c>
      <c r="B279" s="1" t="s">
        <v>159</v>
      </c>
      <c r="C279" s="1" t="s">
        <v>29</v>
      </c>
      <c r="D279" s="1">
        <v>22.3</v>
      </c>
      <c r="E279" s="1">
        <v>634</v>
      </c>
      <c r="F279" s="1">
        <v>15</v>
      </c>
      <c r="G279" s="1">
        <v>0.40071123265273162</v>
      </c>
      <c r="H279" s="1">
        <v>1.8440163580486117</v>
      </c>
      <c r="I279" s="1">
        <v>937.69604903054153</v>
      </c>
      <c r="J279" s="1" t="s">
        <v>129</v>
      </c>
      <c r="K279" s="1">
        <f t="shared" si="12"/>
        <v>0.46311804293064673</v>
      </c>
      <c r="L279" s="1">
        <f t="shared" si="13"/>
        <v>0.91337299846795672</v>
      </c>
      <c r="M279" s="1">
        <f t="shared" si="14"/>
        <v>463.89124986643753</v>
      </c>
    </row>
    <row r="280" spans="1:19" x14ac:dyDescent="0.3">
      <c r="A280" s="1">
        <v>278</v>
      </c>
      <c r="C280" s="1" t="s">
        <v>29</v>
      </c>
      <c r="D280" s="1">
        <v>22.3</v>
      </c>
      <c r="E280" s="1">
        <v>635</v>
      </c>
      <c r="F280" s="1">
        <v>30</v>
      </c>
      <c r="G280" s="1">
        <v>0.40330379986182779</v>
      </c>
      <c r="H280" s="1">
        <v>1.8407638553873837</v>
      </c>
      <c r="I280" s="1">
        <v>1437.4472741107727</v>
      </c>
      <c r="J280" s="1" t="s">
        <v>129</v>
      </c>
      <c r="K280" s="1">
        <f t="shared" si="12"/>
        <v>0.46611437683447648</v>
      </c>
      <c r="L280" s="1">
        <f t="shared" si="13"/>
        <v>0.91176197799341241</v>
      </c>
      <c r="M280" s="1">
        <f t="shared" si="14"/>
        <v>711.12511702886684</v>
      </c>
    </row>
    <row r="281" spans="1:19" x14ac:dyDescent="0.3">
      <c r="A281" s="1">
        <v>279</v>
      </c>
      <c r="C281" s="1" t="s">
        <v>29</v>
      </c>
      <c r="D281" s="1">
        <v>22.3</v>
      </c>
      <c r="E281" s="1">
        <v>636</v>
      </c>
      <c r="F281" s="1">
        <v>45</v>
      </c>
      <c r="G281" s="1">
        <v>0.40588672927460756</v>
      </c>
      <c r="H281" s="1">
        <v>1.8277538447424733</v>
      </c>
      <c r="I281" s="1">
        <v>2331.7938876079174</v>
      </c>
      <c r="J281" s="1" t="s">
        <v>129</v>
      </c>
      <c r="K281" s="1">
        <f t="shared" si="12"/>
        <v>0.46909957195055957</v>
      </c>
      <c r="L281" s="1">
        <f t="shared" si="13"/>
        <v>0.90531789609523627</v>
      </c>
      <c r="M281" s="1">
        <f t="shared" si="14"/>
        <v>1153.5707994842201</v>
      </c>
    </row>
    <row r="282" spans="1:19" x14ac:dyDescent="0.3">
      <c r="A282" s="1">
        <v>280</v>
      </c>
      <c r="C282" s="1" t="s">
        <v>29</v>
      </c>
      <c r="D282" s="1">
        <v>22.3</v>
      </c>
      <c r="E282" s="1">
        <v>637</v>
      </c>
      <c r="F282" s="1">
        <v>0</v>
      </c>
      <c r="G282" s="1">
        <v>0.39849453949997282</v>
      </c>
      <c r="H282" s="1">
        <v>1.86027887135475</v>
      </c>
      <c r="I282" s="1">
        <v>398.55342316639627</v>
      </c>
      <c r="J282" s="1" t="s">
        <v>16</v>
      </c>
      <c r="K282" s="1">
        <f t="shared" si="12"/>
        <v>0.46055612174893351</v>
      </c>
      <c r="L282" s="1">
        <f t="shared" si="13"/>
        <v>0.92142810084067706</v>
      </c>
      <c r="M282" s="1">
        <f t="shared" si="14"/>
        <v>197.16991001759556</v>
      </c>
      <c r="N282" s="1">
        <f>SLOPE(K282:K285,F282:F285)</f>
        <v>2.2188985001279724E-2</v>
      </c>
      <c r="O282" s="1">
        <f>SLOPE(L282:L285,F282:F285)</f>
        <v>-5.3342677934904064E-4</v>
      </c>
      <c r="P282" s="1">
        <f>SLOPE(M282:M285,F282:F285)</f>
        <v>13.97636139938734</v>
      </c>
      <c r="Q282" s="1">
        <f>(N282*84.63/0.31*60)/1000</f>
        <v>0.36345557432096187</v>
      </c>
      <c r="R282" s="1">
        <f>O282*84.63/0.31*60/1000</f>
        <v>-8.7375306457372851E-3</v>
      </c>
      <c r="S282" s="1">
        <f>(P282*84.63/0.31*60)/1000</f>
        <v>228.93279972196461</v>
      </c>
    </row>
    <row r="283" spans="1:19" x14ac:dyDescent="0.3">
      <c r="A283" s="1">
        <v>281</v>
      </c>
      <c r="C283" s="1" t="s">
        <v>29</v>
      </c>
      <c r="D283" s="1">
        <v>22.3</v>
      </c>
      <c r="E283" s="1">
        <v>638</v>
      </c>
      <c r="F283" s="1">
        <v>15</v>
      </c>
      <c r="G283" s="1">
        <v>0.5921853320695073</v>
      </c>
      <c r="H283" s="1">
        <v>1.8505213633710669</v>
      </c>
      <c r="I283" s="1">
        <v>715.93640216254698</v>
      </c>
      <c r="J283" s="1" t="s">
        <v>16</v>
      </c>
      <c r="K283" s="1">
        <f t="shared" si="12"/>
        <v>0.68441233909192689</v>
      </c>
      <c r="L283" s="1">
        <f t="shared" si="13"/>
        <v>0.91659503941704479</v>
      </c>
      <c r="M283" s="1">
        <f t="shared" si="14"/>
        <v>354.18367472853356</v>
      </c>
    </row>
    <row r="284" spans="1:19" x14ac:dyDescent="0.3">
      <c r="A284" s="1">
        <v>282</v>
      </c>
      <c r="C284" s="1" t="s">
        <v>29</v>
      </c>
      <c r="D284" s="1">
        <v>22.3</v>
      </c>
      <c r="E284" s="1">
        <v>639</v>
      </c>
      <c r="F284" s="1">
        <v>30</v>
      </c>
      <c r="G284" s="1">
        <v>0.8150015451070286</v>
      </c>
      <c r="H284" s="1">
        <v>1.8223330069737604</v>
      </c>
      <c r="I284" s="1">
        <v>1069.1079455828651</v>
      </c>
      <c r="J284" s="1" t="s">
        <v>16</v>
      </c>
      <c r="K284" s="1">
        <f t="shared" si="12"/>
        <v>0.94192997300508119</v>
      </c>
      <c r="L284" s="1">
        <f t="shared" si="13"/>
        <v>0.90263286197099601</v>
      </c>
      <c r="M284" s="1">
        <f t="shared" si="14"/>
        <v>528.90253897446155</v>
      </c>
    </row>
    <row r="285" spans="1:19" x14ac:dyDescent="0.3">
      <c r="A285" s="1">
        <v>283</v>
      </c>
      <c r="C285" s="1" t="s">
        <v>29</v>
      </c>
      <c r="D285" s="1">
        <v>22.3</v>
      </c>
      <c r="E285" s="1">
        <v>640</v>
      </c>
      <c r="F285" s="1">
        <v>45</v>
      </c>
      <c r="G285" s="1">
        <v>1.2841694697865795</v>
      </c>
      <c r="H285" s="1">
        <v>1.8158280016513051</v>
      </c>
      <c r="I285" s="1">
        <v>1693.3997486277985</v>
      </c>
      <c r="J285" s="1" t="s">
        <v>16</v>
      </c>
      <c r="K285" s="1">
        <f t="shared" si="12"/>
        <v>1.484166160508535</v>
      </c>
      <c r="L285" s="1">
        <f t="shared" si="13"/>
        <v>0.89941082102190795</v>
      </c>
      <c r="M285" s="1">
        <f t="shared" si="14"/>
        <v>837.74835857165317</v>
      </c>
    </row>
    <row r="286" spans="1:19" x14ac:dyDescent="0.3">
      <c r="A286" s="1">
        <v>284</v>
      </c>
      <c r="C286" s="1" t="s">
        <v>29</v>
      </c>
      <c r="D286" s="1">
        <v>22.3</v>
      </c>
      <c r="E286" s="1">
        <v>641</v>
      </c>
      <c r="F286" s="1">
        <v>0</v>
      </c>
      <c r="G286" s="1">
        <v>0.39920773642738222</v>
      </c>
      <c r="H286" s="1">
        <v>1.8190805043125327</v>
      </c>
      <c r="I286" s="1">
        <v>472.98864622652115</v>
      </c>
      <c r="J286" s="1" t="s">
        <v>16</v>
      </c>
      <c r="K286" s="1">
        <f t="shared" si="12"/>
        <v>0.46138039204218045</v>
      </c>
      <c r="L286" s="1">
        <f t="shared" si="13"/>
        <v>0.90102184149645193</v>
      </c>
      <c r="M286" s="1">
        <f t="shared" si="14"/>
        <v>233.99404796202631</v>
      </c>
      <c r="N286" s="1">
        <f>SLOPE(K286:K289,F286:F289)</f>
        <v>4.1540252436240857E-4</v>
      </c>
      <c r="O286" s="1">
        <f>SLOPE(L286:L289,F286:F289)</f>
        <v>-7.1600909979737306E-5</v>
      </c>
      <c r="P286" s="1">
        <f>SLOPE(M286:M289,F286:F289)</f>
        <v>13.455232654834996</v>
      </c>
      <c r="Q286" s="1">
        <f>(N286*84.63/0.31*60)/1000</f>
        <v>6.8042933490562512E-3</v>
      </c>
      <c r="R286" s="1">
        <f>O286*84.63/0.31*60/1000</f>
        <v>-1.172822905468097E-3</v>
      </c>
      <c r="S286" s="1">
        <f>(P286*84.63/0.31*60)/1000</f>
        <v>220.39671088619721</v>
      </c>
    </row>
    <row r="287" spans="1:19" x14ac:dyDescent="0.3">
      <c r="A287" s="1">
        <v>285</v>
      </c>
      <c r="C287" s="1" t="s">
        <v>29</v>
      </c>
      <c r="D287" s="1">
        <v>22.3</v>
      </c>
      <c r="E287" s="1">
        <v>642</v>
      </c>
      <c r="F287" s="1">
        <v>15</v>
      </c>
      <c r="G287" s="1">
        <v>0.40521208353246363</v>
      </c>
      <c r="H287" s="1">
        <v>1.8375113527261564</v>
      </c>
      <c r="I287" s="1">
        <v>858.05250490166009</v>
      </c>
      <c r="J287" s="1" t="s">
        <v>16</v>
      </c>
      <c r="K287" s="1">
        <f t="shared" si="12"/>
        <v>0.46831985680829907</v>
      </c>
      <c r="L287" s="1">
        <f t="shared" si="13"/>
        <v>0.91015095751886843</v>
      </c>
      <c r="M287" s="1">
        <f t="shared" si="14"/>
        <v>424.49048320229616</v>
      </c>
      <c r="N287" s="1"/>
      <c r="O287" s="1"/>
      <c r="P287" s="1"/>
      <c r="Q287" s="1"/>
      <c r="R287" s="1"/>
      <c r="S287" s="1"/>
    </row>
    <row r="288" spans="1:19" x14ac:dyDescent="0.3">
      <c r="A288" s="1">
        <v>286</v>
      </c>
      <c r="C288" s="1" t="s">
        <v>29</v>
      </c>
      <c r="D288" s="1">
        <v>22.3</v>
      </c>
      <c r="E288" s="1">
        <v>643</v>
      </c>
      <c r="F288" s="1">
        <v>30</v>
      </c>
      <c r="G288" s="1">
        <v>0.41130317080439199</v>
      </c>
      <c r="H288" s="1">
        <v>1.8223330069737604</v>
      </c>
      <c r="I288" s="1">
        <v>1217.1527417040063</v>
      </c>
      <c r="J288" s="1" t="s">
        <v>16</v>
      </c>
      <c r="K288" s="1">
        <f t="shared" si="12"/>
        <v>0.47535957066413675</v>
      </c>
      <c r="L288" s="1">
        <f t="shared" si="13"/>
        <v>0.90263286197099601</v>
      </c>
      <c r="M288" s="1">
        <f t="shared" si="14"/>
        <v>602.14235434945545</v>
      </c>
    </row>
    <row r="289" spans="1:19" x14ac:dyDescent="0.3">
      <c r="A289" s="1">
        <v>287</v>
      </c>
      <c r="C289" s="1" t="s">
        <v>29</v>
      </c>
      <c r="D289" s="1">
        <v>22.3</v>
      </c>
      <c r="E289" s="1">
        <v>644</v>
      </c>
      <c r="F289" s="1">
        <v>45</v>
      </c>
      <c r="G289" s="1">
        <v>0.41514865153461261</v>
      </c>
      <c r="H289" s="1">
        <v>1.8169121692050476</v>
      </c>
      <c r="I289" s="1">
        <v>1713.1890291849434</v>
      </c>
      <c r="J289" s="1" t="s">
        <v>16</v>
      </c>
      <c r="K289" s="1">
        <f t="shared" si="12"/>
        <v>0.47980394697502166</v>
      </c>
      <c r="L289" s="1">
        <f t="shared" si="13"/>
        <v>0.89994782784675587</v>
      </c>
      <c r="M289" s="1">
        <f t="shared" si="14"/>
        <v>847.53839032138967</v>
      </c>
    </row>
    <row r="290" spans="1:19" x14ac:dyDescent="0.3">
      <c r="A290" s="1">
        <v>288</v>
      </c>
      <c r="C290" s="1" t="s">
        <v>29</v>
      </c>
      <c r="D290" s="1">
        <v>22.3</v>
      </c>
      <c r="E290" s="1">
        <v>645</v>
      </c>
      <c r="F290" s="1">
        <v>0</v>
      </c>
      <c r="G290" s="1">
        <v>0.40126058704276318</v>
      </c>
      <c r="H290" s="1">
        <v>1.862447206462235</v>
      </c>
      <c r="I290" s="1">
        <v>543.42039284468785</v>
      </c>
      <c r="J290" s="1" t="s">
        <v>16</v>
      </c>
      <c r="K290" s="1">
        <f t="shared" si="12"/>
        <v>0.46375295383220178</v>
      </c>
      <c r="L290" s="1">
        <f t="shared" si="13"/>
        <v>0.92250211449037312</v>
      </c>
      <c r="M290" s="1">
        <f t="shared" si="14"/>
        <v>268.83761054582629</v>
      </c>
      <c r="N290" s="1">
        <f>SLOPE(K290:K293,F290:F293)</f>
        <v>3.8746644469399068E-3</v>
      </c>
      <c r="O290" s="1">
        <f>SLOPE(L290:L293,F290:F293)</f>
        <v>-3.3652427690476457E-4</v>
      </c>
      <c r="P290" s="1">
        <f>SLOPE(M290:M293,F290:F293)</f>
        <v>14.375456738308916</v>
      </c>
      <c r="Q290" s="1">
        <f>(N290*84.63/0.31*60)/1000</f>
        <v>6.346700364087568E-2</v>
      </c>
      <c r="R290" s="1">
        <f>O290*84.63/0.31*60/1000</f>
        <v>-5.5122676557000433E-3</v>
      </c>
      <c r="S290" s="1">
        <f>(P290*84.63/0.31*60)/1000</f>
        <v>235.46998137350005</v>
      </c>
    </row>
    <row r="291" spans="1:19" x14ac:dyDescent="0.3">
      <c r="A291" s="1">
        <v>289</v>
      </c>
      <c r="C291" s="1" t="s">
        <v>29</v>
      </c>
      <c r="D291" s="1">
        <v>22.3</v>
      </c>
      <c r="E291" s="1">
        <v>646</v>
      </c>
      <c r="F291" s="1">
        <v>15</v>
      </c>
      <c r="G291" s="1">
        <v>0.4542299155973813</v>
      </c>
      <c r="H291" s="1">
        <v>1.8440163580486117</v>
      </c>
      <c r="I291" s="1">
        <v>895.01277097745481</v>
      </c>
      <c r="J291" s="1" t="s">
        <v>16</v>
      </c>
      <c r="K291" s="1">
        <f t="shared" si="12"/>
        <v>0.5249717312873986</v>
      </c>
      <c r="L291" s="1">
        <f t="shared" si="13"/>
        <v>0.91337299846795672</v>
      </c>
      <c r="M291" s="1">
        <f t="shared" si="14"/>
        <v>442.7752398065528</v>
      </c>
      <c r="N291" s="1"/>
      <c r="O291" s="1"/>
      <c r="P291" s="1"/>
      <c r="Q291" s="1"/>
      <c r="R291" s="1"/>
      <c r="S291" s="1"/>
    </row>
    <row r="292" spans="1:19" x14ac:dyDescent="0.3">
      <c r="A292" s="1">
        <v>290</v>
      </c>
      <c r="C292" s="1" t="s">
        <v>29</v>
      </c>
      <c r="D292" s="1">
        <v>22.3</v>
      </c>
      <c r="E292" s="1">
        <v>647</v>
      </c>
      <c r="F292" s="1">
        <v>30</v>
      </c>
      <c r="G292" s="1">
        <v>0.49013070687575694</v>
      </c>
      <c r="H292" s="1">
        <v>1.8461846931560966</v>
      </c>
      <c r="I292" s="1">
        <v>1249.5441511731642</v>
      </c>
      <c r="J292" s="1" t="s">
        <v>16</v>
      </c>
      <c r="K292" s="1">
        <f t="shared" si="12"/>
        <v>0.56646371564340448</v>
      </c>
      <c r="L292" s="1">
        <f t="shared" si="13"/>
        <v>0.91444701211765256</v>
      </c>
      <c r="M292" s="1">
        <f t="shared" si="14"/>
        <v>618.16683417862635</v>
      </c>
    </row>
    <row r="293" spans="1:19" x14ac:dyDescent="0.3">
      <c r="A293" s="1">
        <v>291</v>
      </c>
      <c r="C293" s="1" t="s">
        <v>29</v>
      </c>
      <c r="D293" s="1">
        <v>22.3</v>
      </c>
      <c r="E293" s="1">
        <v>648</v>
      </c>
      <c r="F293" s="1">
        <v>45</v>
      </c>
      <c r="G293" s="1">
        <v>0.55692063534801017</v>
      </c>
      <c r="H293" s="1">
        <v>1.8277538447424733</v>
      </c>
      <c r="I293" s="1">
        <v>1878.1494149572413</v>
      </c>
      <c r="J293" s="1" t="s">
        <v>16</v>
      </c>
      <c r="K293" s="1">
        <f t="shared" si="12"/>
        <v>0.64365551472719518</v>
      </c>
      <c r="L293" s="1">
        <f t="shared" si="13"/>
        <v>0.90531789609523627</v>
      </c>
      <c r="M293" s="1">
        <f t="shared" si="14"/>
        <v>929.14658267058087</v>
      </c>
    </row>
    <row r="294" spans="1:19" x14ac:dyDescent="0.3">
      <c r="A294" s="1">
        <v>292</v>
      </c>
      <c r="C294" s="1" t="s">
        <v>29</v>
      </c>
      <c r="D294" s="1">
        <v>22.3</v>
      </c>
      <c r="E294" s="1">
        <v>649</v>
      </c>
      <c r="F294" s="1">
        <v>0</v>
      </c>
      <c r="G294" s="1">
        <v>0.39615255499510171</v>
      </c>
      <c r="H294" s="1">
        <v>1.8494371958173244</v>
      </c>
      <c r="I294" s="1">
        <v>423.01976239617727</v>
      </c>
      <c r="J294" s="1" t="s">
        <v>16</v>
      </c>
      <c r="K294" s="1">
        <f t="shared" si="12"/>
        <v>0.45784939632651506</v>
      </c>
      <c r="L294" s="1">
        <f t="shared" si="13"/>
        <v>0.91605803259219676</v>
      </c>
      <c r="M294" s="1">
        <f t="shared" si="14"/>
        <v>209.27374760621879</v>
      </c>
      <c r="N294" s="1">
        <f>SLOPE(K294:K297,F294:F297)</f>
        <v>1.3970267591759033E-3</v>
      </c>
      <c r="O294" s="1">
        <f>SLOPE(L294:L297,F294:F297)</f>
        <v>-3.2578414040780395E-4</v>
      </c>
      <c r="P294" s="1">
        <f>SLOPE(M294:M297,F294:F297)</f>
        <v>18.657444271703163</v>
      </c>
      <c r="Q294" s="1">
        <f>(N294*84.63/0.31*60)/1000</f>
        <v>2.2883298315301295E-2</v>
      </c>
      <c r="R294" s="1">
        <f>O294*84.63/0.31*60/1000</f>
        <v>-5.3363442198798286E-3</v>
      </c>
      <c r="S294" s="1">
        <f>(P294*84.63/0.31*60)/1000</f>
        <v>305.60893717049782</v>
      </c>
    </row>
    <row r="295" spans="1:19" x14ac:dyDescent="0.3">
      <c r="A295" s="1">
        <v>293</v>
      </c>
      <c r="C295" s="1" t="s">
        <v>29</v>
      </c>
      <c r="D295" s="1">
        <v>22.3</v>
      </c>
      <c r="E295" s="1">
        <v>650</v>
      </c>
      <c r="F295" s="1">
        <v>15</v>
      </c>
      <c r="G295" s="1">
        <v>0.41316326549344612</v>
      </c>
      <c r="H295" s="1">
        <v>1.845100525602354</v>
      </c>
      <c r="I295" s="1">
        <v>886.77869123427945</v>
      </c>
      <c r="J295" s="1" t="s">
        <v>16</v>
      </c>
      <c r="K295" s="1">
        <f t="shared" si="12"/>
        <v>0.47750935669922651</v>
      </c>
      <c r="L295" s="1">
        <f t="shared" si="13"/>
        <v>0.91391000529280464</v>
      </c>
      <c r="M295" s="1">
        <f t="shared" si="14"/>
        <v>438.70172627569099</v>
      </c>
      <c r="N295" s="1"/>
      <c r="O295" s="1"/>
      <c r="P295" s="1"/>
      <c r="Q295" s="1"/>
      <c r="R295" s="1"/>
      <c r="S295" s="1"/>
    </row>
    <row r="296" spans="1:19" x14ac:dyDescent="0.3">
      <c r="A296" s="1">
        <v>294</v>
      </c>
      <c r="C296" s="1" t="s">
        <v>29</v>
      </c>
      <c r="D296" s="1">
        <v>22.3</v>
      </c>
      <c r="E296" s="1">
        <v>651</v>
      </c>
      <c r="F296" s="1">
        <v>30</v>
      </c>
      <c r="G296" s="1">
        <v>0.42524906207413954</v>
      </c>
      <c r="H296" s="1">
        <v>1.8277538447424733</v>
      </c>
      <c r="I296" s="1">
        <v>1294.2998399678149</v>
      </c>
      <c r="J296" s="1" t="s">
        <v>16</v>
      </c>
      <c r="K296" s="1">
        <f t="shared" si="12"/>
        <v>0.49147739653343625</v>
      </c>
      <c r="L296" s="1">
        <f t="shared" si="13"/>
        <v>0.90531789609523627</v>
      </c>
      <c r="M296" s="1">
        <f t="shared" si="14"/>
        <v>640.30809459563341</v>
      </c>
    </row>
    <row r="297" spans="1:19" x14ac:dyDescent="0.3">
      <c r="A297" s="1">
        <v>295</v>
      </c>
      <c r="C297" s="1" t="s">
        <v>29</v>
      </c>
      <c r="D297" s="1">
        <v>22.3</v>
      </c>
      <c r="E297" s="1">
        <v>652</v>
      </c>
      <c r="F297" s="1">
        <v>45</v>
      </c>
      <c r="G297" s="1">
        <v>0.45256257683465401</v>
      </c>
      <c r="H297" s="1">
        <v>1.8223330069737604</v>
      </c>
      <c r="I297" s="1">
        <v>2172.8596745563855</v>
      </c>
      <c r="J297" s="1" t="s">
        <v>16</v>
      </c>
      <c r="K297" s="1">
        <f t="shared" si="12"/>
        <v>0.52304472100724031</v>
      </c>
      <c r="L297" s="1">
        <f t="shared" si="13"/>
        <v>0.90263286197099601</v>
      </c>
      <c r="M297" s="1">
        <f t="shared" si="14"/>
        <v>1074.9438384180628</v>
      </c>
    </row>
    <row r="298" spans="1:19" x14ac:dyDescent="0.3">
      <c r="A298" s="1">
        <v>296</v>
      </c>
      <c r="C298" s="1" t="s">
        <v>29</v>
      </c>
      <c r="D298" s="1">
        <v>22.3</v>
      </c>
      <c r="E298" s="1">
        <v>653</v>
      </c>
      <c r="F298" s="1">
        <v>0</v>
      </c>
      <c r="G298" s="1">
        <v>0.39774279138729818</v>
      </c>
      <c r="H298" s="1">
        <v>1.8548580335860372</v>
      </c>
      <c r="I298" s="1">
        <v>425.90222644265174</v>
      </c>
      <c r="J298" s="1" t="s">
        <v>16</v>
      </c>
      <c r="K298" s="1">
        <f t="shared" si="12"/>
        <v>0.45968729630470057</v>
      </c>
      <c r="L298" s="1">
        <f t="shared" si="13"/>
        <v>0.91874306671643691</v>
      </c>
      <c r="M298" s="1">
        <f t="shared" si="14"/>
        <v>210.69974257612034</v>
      </c>
      <c r="N298" s="1">
        <f>SLOPE(K298:K301,F298:F301)</f>
        <v>2.2782533871002395E-3</v>
      </c>
      <c r="O298" s="1">
        <f>SLOPE(L298:L301,F298:F301)</f>
        <v>-4.1528527788247559E-4</v>
      </c>
      <c r="P298" s="1">
        <f>SLOPE(M298:M301,F298:F301)</f>
        <v>14.073533528719478</v>
      </c>
      <c r="Q298" s="1">
        <f>(N298*84.63/0.31*60)/1000</f>
        <v>3.7317790480701926E-2</v>
      </c>
      <c r="R298" s="1">
        <f>O298*84.63/0.31*60/1000</f>
        <v>-6.8023728517149495E-3</v>
      </c>
      <c r="S298" s="1">
        <f>(P298*84.63/0.31*60)/1000</f>
        <v>230.52447920042502</v>
      </c>
    </row>
    <row r="299" spans="1:19" x14ac:dyDescent="0.3">
      <c r="A299" s="1">
        <v>297</v>
      </c>
      <c r="C299" s="1" t="s">
        <v>29</v>
      </c>
      <c r="D299" s="1">
        <v>22.3</v>
      </c>
      <c r="E299" s="1">
        <v>654</v>
      </c>
      <c r="F299" s="1">
        <v>15</v>
      </c>
      <c r="G299" s="1">
        <v>0.42123973880654103</v>
      </c>
      <c r="H299" s="1">
        <v>1.8570263686935222</v>
      </c>
      <c r="I299" s="1">
        <v>757.66340790261654</v>
      </c>
      <c r="J299" s="1" t="s">
        <v>16</v>
      </c>
      <c r="K299" s="1">
        <f t="shared" si="12"/>
        <v>0.48684366083085939</v>
      </c>
      <c r="L299" s="1">
        <f t="shared" si="13"/>
        <v>0.91981708036613297</v>
      </c>
      <c r="M299" s="1">
        <f t="shared" si="14"/>
        <v>374.82660360293517</v>
      </c>
      <c r="N299" s="1"/>
      <c r="O299" s="1"/>
      <c r="P299" s="1"/>
      <c r="Q299" s="1"/>
      <c r="R299" s="1"/>
      <c r="S299" s="1"/>
    </row>
    <row r="300" spans="1:19" x14ac:dyDescent="0.3">
      <c r="A300" s="1">
        <v>298</v>
      </c>
      <c r="C300" s="1" t="s">
        <v>29</v>
      </c>
      <c r="D300" s="1">
        <v>22.3</v>
      </c>
      <c r="E300" s="1">
        <v>655</v>
      </c>
      <c r="F300" s="1">
        <v>30</v>
      </c>
      <c r="G300" s="1">
        <v>0.43944553604811198</v>
      </c>
      <c r="H300" s="1">
        <v>1.8418480229411267</v>
      </c>
      <c r="I300" s="1">
        <v>1028.7300538909258</v>
      </c>
      <c r="J300" s="1" t="s">
        <v>16</v>
      </c>
      <c r="K300" s="1">
        <f t="shared" si="12"/>
        <v>0.50788483088414682</v>
      </c>
      <c r="L300" s="1">
        <f t="shared" si="13"/>
        <v>0.91229898481826066</v>
      </c>
      <c r="M300" s="1">
        <f t="shared" si="14"/>
        <v>508.92703554420729</v>
      </c>
    </row>
    <row r="301" spans="1:19" x14ac:dyDescent="0.3">
      <c r="A301" s="1">
        <v>299</v>
      </c>
      <c r="C301" s="1" t="s">
        <v>29</v>
      </c>
      <c r="D301" s="1">
        <v>22.3</v>
      </c>
      <c r="E301" s="1">
        <v>656</v>
      </c>
      <c r="F301" s="1">
        <v>45</v>
      </c>
      <c r="G301" s="1">
        <v>0.49023672263523677</v>
      </c>
      <c r="H301" s="1">
        <v>1.8179963367587901</v>
      </c>
      <c r="I301" s="1">
        <v>1757.937894425882</v>
      </c>
      <c r="J301" s="1" t="s">
        <v>16</v>
      </c>
      <c r="K301" s="1">
        <f t="shared" si="12"/>
        <v>0.56658624230861676</v>
      </c>
      <c r="L301" s="1">
        <f t="shared" si="13"/>
        <v>0.9004848346716039</v>
      </c>
      <c r="M301" s="1">
        <f t="shared" si="14"/>
        <v>869.67627503167023</v>
      </c>
    </row>
    <row r="302" spans="1:19" x14ac:dyDescent="0.3">
      <c r="A302" s="1">
        <v>300</v>
      </c>
      <c r="C302" s="1" t="s">
        <v>29</v>
      </c>
      <c r="D302" s="1">
        <v>22.3</v>
      </c>
      <c r="E302" s="1">
        <v>657</v>
      </c>
      <c r="F302" s="1">
        <v>0</v>
      </c>
      <c r="G302" s="1">
        <v>0.3998341931879445</v>
      </c>
      <c r="H302" s="1">
        <v>1.8581105362472652</v>
      </c>
      <c r="I302" s="1">
        <v>439.24032436213429</v>
      </c>
      <c r="J302" s="1" t="s">
        <v>16</v>
      </c>
      <c r="K302" s="1">
        <f t="shared" si="12"/>
        <v>0.46210441324570811</v>
      </c>
      <c r="L302" s="1">
        <f t="shared" si="13"/>
        <v>0.92035408719098122</v>
      </c>
      <c r="M302" s="1">
        <f t="shared" si="14"/>
        <v>217.29828473816389</v>
      </c>
      <c r="N302" s="1">
        <f>SLOPE(K302:K305,F302:F305)</f>
        <v>1.733269631952631E-3</v>
      </c>
      <c r="O302" s="1">
        <f>SLOPE(L302:L305,F302:F305)</f>
        <v>-5.2626668835107282E-4</v>
      </c>
      <c r="P302" s="1">
        <f>SLOPE(M302:M305,F302:F305)</f>
        <v>13.903368975090984</v>
      </c>
      <c r="Q302" s="1">
        <f>(N302*84.63/0.31*60)/1000</f>
        <v>2.8390956571384098E-2</v>
      </c>
      <c r="R302" s="1">
        <f>O302*84.63/0.31*60/1000</f>
        <v>-8.6202483551905719E-3</v>
      </c>
      <c r="S302" s="1">
        <f>(P302*84.63/0.31*60)/1000</f>
        <v>227.73718381199032</v>
      </c>
    </row>
    <row r="303" spans="1:19" x14ac:dyDescent="0.3">
      <c r="A303" s="1">
        <v>301</v>
      </c>
      <c r="C303" s="1" t="s">
        <v>29</v>
      </c>
      <c r="D303" s="1">
        <v>22.3</v>
      </c>
      <c r="E303" s="1">
        <v>658</v>
      </c>
      <c r="F303" s="1">
        <v>15</v>
      </c>
      <c r="G303" s="1">
        <v>0.47581857934598842</v>
      </c>
      <c r="H303" s="1">
        <v>1.8461846931560966</v>
      </c>
      <c r="I303" s="1">
        <v>816.80412271479281</v>
      </c>
      <c r="J303" s="1" t="s">
        <v>16</v>
      </c>
      <c r="K303" s="1">
        <f t="shared" si="12"/>
        <v>0.54992261583973501</v>
      </c>
      <c r="L303" s="1">
        <f t="shared" si="13"/>
        <v>0.91444701211765256</v>
      </c>
      <c r="M303" s="1">
        <f t="shared" si="14"/>
        <v>404.08433604254515</v>
      </c>
      <c r="N303" s="1"/>
      <c r="O303" s="1"/>
      <c r="P303" s="1"/>
      <c r="Q303" s="1"/>
      <c r="R303" s="1"/>
      <c r="S303" s="1"/>
    </row>
    <row r="304" spans="1:19" x14ac:dyDescent="0.3">
      <c r="A304" s="1">
        <v>302</v>
      </c>
      <c r="C304" s="1" t="s">
        <v>29</v>
      </c>
      <c r="D304" s="1">
        <v>22.3</v>
      </c>
      <c r="E304" s="1">
        <v>659</v>
      </c>
      <c r="F304" s="1">
        <v>30</v>
      </c>
      <c r="G304" s="1">
        <v>0.4347712048346859</v>
      </c>
      <c r="H304" s="1">
        <v>1.8396796878336412</v>
      </c>
      <c r="I304" s="1">
        <v>1032.7023369444878</v>
      </c>
      <c r="J304" s="1" t="s">
        <v>16</v>
      </c>
      <c r="K304" s="1">
        <f t="shared" si="12"/>
        <v>0.50248251882705608</v>
      </c>
      <c r="L304" s="1">
        <f t="shared" si="13"/>
        <v>0.91122497116856449</v>
      </c>
      <c r="M304" s="1">
        <f t="shared" si="14"/>
        <v>510.89217910266132</v>
      </c>
    </row>
    <row r="305" spans="1:19" x14ac:dyDescent="0.3">
      <c r="A305" s="1">
        <v>303</v>
      </c>
      <c r="C305" s="1" t="s">
        <v>29</v>
      </c>
      <c r="D305" s="1">
        <v>22.3</v>
      </c>
      <c r="E305" s="1">
        <v>660</v>
      </c>
      <c r="F305" s="1">
        <v>45</v>
      </c>
      <c r="G305" s="1">
        <v>0.48850191929829512</v>
      </c>
      <c r="H305" s="1">
        <v>1.8071546612213645</v>
      </c>
      <c r="I305" s="1">
        <v>1772.4671898647396</v>
      </c>
      <c r="J305" s="1" t="s">
        <v>16</v>
      </c>
      <c r="K305" s="1">
        <f t="shared" si="12"/>
        <v>0.56458126051423263</v>
      </c>
      <c r="L305" s="1">
        <f t="shared" si="13"/>
        <v>0.8951147664231236</v>
      </c>
      <c r="M305" s="1">
        <f t="shared" si="14"/>
        <v>876.86411913934114</v>
      </c>
    </row>
    <row r="306" spans="1:19" x14ac:dyDescent="0.3">
      <c r="A306" s="1">
        <v>304</v>
      </c>
      <c r="C306" s="1" t="s">
        <v>29</v>
      </c>
      <c r="D306" s="1">
        <v>22.3</v>
      </c>
      <c r="E306" s="1">
        <v>661</v>
      </c>
      <c r="F306" s="1">
        <v>0</v>
      </c>
      <c r="G306" s="1">
        <v>0.3991209962605351</v>
      </c>
      <c r="H306" s="1">
        <v>1.8494371958173244</v>
      </c>
      <c r="I306" s="1">
        <v>393.17158887468662</v>
      </c>
      <c r="J306" s="1" t="s">
        <v>129</v>
      </c>
      <c r="K306" s="1">
        <f t="shared" si="12"/>
        <v>0.46128014295246117</v>
      </c>
      <c r="L306" s="1">
        <f t="shared" si="13"/>
        <v>0.91605803259219676</v>
      </c>
      <c r="M306" s="1">
        <f t="shared" si="14"/>
        <v>194.50744189827648</v>
      </c>
      <c r="N306" s="1">
        <f>SLOPE(K306:K309,F306:F309)</f>
        <v>5.2419135135399865E-4</v>
      </c>
      <c r="O306" s="1">
        <f>SLOPE(L306:L309,F306:F309)</f>
        <v>1.5752200195542725E-4</v>
      </c>
      <c r="P306" s="1">
        <f>SLOPE(M306:M309,F306:F309)</f>
        <v>19.314916203446472</v>
      </c>
      <c r="Q306" s="1">
        <f>(N306*84.63/0.31*60)/1000</f>
        <v>8.5862543351784993E-3</v>
      </c>
      <c r="R306" s="1">
        <f>O306*84.63/0.31*60/1000</f>
        <v>2.5802103920298984E-3</v>
      </c>
      <c r="S306" s="1">
        <f>(P306*84.63/0.31*60)/1000</f>
        <v>316.37832741245319</v>
      </c>
    </row>
    <row r="307" spans="1:19" x14ac:dyDescent="0.3">
      <c r="A307" s="1">
        <v>305</v>
      </c>
      <c r="C307" s="1" t="s">
        <v>29</v>
      </c>
      <c r="D307" s="1">
        <v>22.3</v>
      </c>
      <c r="E307" s="1">
        <v>662</v>
      </c>
      <c r="F307" s="1">
        <v>15</v>
      </c>
      <c r="G307" s="1">
        <v>0.40424830390082933</v>
      </c>
      <c r="H307" s="1">
        <v>1.845100525602354</v>
      </c>
      <c r="I307" s="1">
        <v>991.51829112118753</v>
      </c>
      <c r="J307" s="1" t="s">
        <v>129</v>
      </c>
      <c r="K307" s="1">
        <f t="shared" si="12"/>
        <v>0.46720597803364117</v>
      </c>
      <c r="L307" s="1">
        <f t="shared" si="13"/>
        <v>0.91391000529280464</v>
      </c>
      <c r="M307" s="1">
        <f t="shared" si="14"/>
        <v>490.51786003489997</v>
      </c>
      <c r="N307" s="1"/>
      <c r="O307" s="1"/>
      <c r="P307" s="1"/>
      <c r="Q307" s="1"/>
      <c r="R307" s="1"/>
      <c r="S307" s="1"/>
    </row>
    <row r="308" spans="1:19" x14ac:dyDescent="0.3">
      <c r="A308" s="1">
        <v>306</v>
      </c>
      <c r="C308" s="1" t="s">
        <v>29</v>
      </c>
      <c r="D308" s="1">
        <v>22.3</v>
      </c>
      <c r="E308" s="1">
        <v>663</v>
      </c>
      <c r="F308" s="1">
        <v>30</v>
      </c>
      <c r="G308" s="1">
        <v>0.41217057247286282</v>
      </c>
      <c r="H308" s="1">
        <v>1.863531374015978</v>
      </c>
      <c r="I308" s="1">
        <v>1470.9938137439729</v>
      </c>
      <c r="J308" s="1" t="s">
        <v>129</v>
      </c>
      <c r="K308" s="1">
        <f t="shared" si="12"/>
        <v>0.47636206156132893</v>
      </c>
      <c r="L308" s="1">
        <f t="shared" si="13"/>
        <v>0.92303912131522126</v>
      </c>
      <c r="M308" s="1">
        <f t="shared" si="14"/>
        <v>727.72105578239814</v>
      </c>
    </row>
    <row r="309" spans="1:19" x14ac:dyDescent="0.3">
      <c r="A309" s="1">
        <v>307</v>
      </c>
      <c r="C309" s="1" t="s">
        <v>29</v>
      </c>
      <c r="D309" s="1">
        <v>22.3</v>
      </c>
      <c r="E309" s="1">
        <v>664</v>
      </c>
      <c r="F309" s="1">
        <v>45</v>
      </c>
      <c r="G309" s="1">
        <v>0.41915797480221112</v>
      </c>
      <c r="H309" s="1">
        <v>1.8591947038010077</v>
      </c>
      <c r="I309" s="1">
        <v>2185.4764253692088</v>
      </c>
      <c r="J309" s="1" t="s">
        <v>129</v>
      </c>
      <c r="K309" s="1">
        <f t="shared" si="12"/>
        <v>0.48443768267759851</v>
      </c>
      <c r="L309" s="1">
        <f t="shared" si="13"/>
        <v>0.92089109401582925</v>
      </c>
      <c r="M309" s="1">
        <f t="shared" si="14"/>
        <v>1081.1855201547673</v>
      </c>
    </row>
    <row r="310" spans="1:19" x14ac:dyDescent="0.3">
      <c r="A310" s="1">
        <v>308</v>
      </c>
      <c r="C310" s="1" t="s">
        <v>29</v>
      </c>
      <c r="D310" s="1">
        <v>22.3</v>
      </c>
      <c r="E310" s="1" t="s">
        <v>155</v>
      </c>
      <c r="G310" s="1">
        <v>0.40091362637537481</v>
      </c>
      <c r="H310" s="1">
        <v>1.8678680442309479</v>
      </c>
      <c r="I310" s="1">
        <v>508.7255466011577</v>
      </c>
      <c r="J310"/>
      <c r="K310" s="1">
        <f t="shared" si="12"/>
        <v>0.46335195747332486</v>
      </c>
      <c r="L310" s="1">
        <f t="shared" si="13"/>
        <v>0.92518714861461337</v>
      </c>
      <c r="M310" s="1">
        <f t="shared" si="14"/>
        <v>251.67358857466098</v>
      </c>
    </row>
    <row r="311" spans="1:19" x14ac:dyDescent="0.3">
      <c r="A311" s="1">
        <v>309</v>
      </c>
      <c r="C311" s="1" t="s">
        <v>29</v>
      </c>
      <c r="D311" s="1">
        <v>22.3</v>
      </c>
      <c r="E311" s="1" t="s">
        <v>156</v>
      </c>
      <c r="F311"/>
      <c r="G311" s="1">
        <v>0.39845598831470752</v>
      </c>
      <c r="H311" s="1">
        <v>1.8310063474037011</v>
      </c>
      <c r="I311" s="1">
        <v>427.22697065609736</v>
      </c>
      <c r="J311"/>
      <c r="K311" s="1">
        <f t="shared" si="12"/>
        <v>0.46051156659794734</v>
      </c>
      <c r="L311" s="1">
        <f t="shared" si="13"/>
        <v>0.90692891656978036</v>
      </c>
      <c r="M311" s="1">
        <f t="shared" si="14"/>
        <v>211.35511192481704</v>
      </c>
      <c r="N311" s="1"/>
      <c r="O311" s="1"/>
      <c r="P311" s="1"/>
      <c r="Q311" s="1"/>
      <c r="R311" s="1"/>
      <c r="S311" s="1"/>
    </row>
    <row r="312" spans="1:19" x14ac:dyDescent="0.3">
      <c r="A312" s="1">
        <v>310</v>
      </c>
      <c r="C312" s="1" t="s">
        <v>29</v>
      </c>
      <c r="D312" s="1">
        <v>22.3</v>
      </c>
      <c r="E312" s="1" t="s">
        <v>157</v>
      </c>
      <c r="F312"/>
      <c r="G312" s="1">
        <v>0.401087106709069</v>
      </c>
      <c r="H312" s="1">
        <v>1.8581105362472652</v>
      </c>
      <c r="I312" s="1">
        <v>555.77492423630679</v>
      </c>
      <c r="J312"/>
      <c r="K312" s="1">
        <f t="shared" si="12"/>
        <v>0.46355245565276332</v>
      </c>
      <c r="L312" s="1">
        <f t="shared" si="13"/>
        <v>0.92035408719098122</v>
      </c>
      <c r="M312" s="1">
        <f t="shared" si="14"/>
        <v>274.94956869548201</v>
      </c>
    </row>
    <row r="313" spans="1:19" x14ac:dyDescent="0.3">
      <c r="A313" s="1">
        <v>311</v>
      </c>
      <c r="B313" s="1" t="s">
        <v>160</v>
      </c>
      <c r="C313" s="1" t="s">
        <v>29</v>
      </c>
      <c r="D313" s="1">
        <v>18.7</v>
      </c>
      <c r="E313" s="1">
        <v>133</v>
      </c>
      <c r="F313" s="1">
        <v>0</v>
      </c>
      <c r="G313" s="1">
        <v>0.40426757949346204</v>
      </c>
      <c r="H313" s="1">
        <v>1.8364271851724139</v>
      </c>
      <c r="I313" s="1">
        <v>417.96350909585163</v>
      </c>
      <c r="J313" s="1" t="s">
        <v>129</v>
      </c>
      <c r="K313" s="1">
        <f t="shared" si="12"/>
        <v>0.47299156456987751</v>
      </c>
      <c r="L313" s="1">
        <f t="shared" si="13"/>
        <v>0.92083413305653039</v>
      </c>
      <c r="M313" s="1">
        <f t="shared" si="14"/>
        <v>209.32290727784974</v>
      </c>
      <c r="N313" s="1">
        <f>SLOPE(K313:K316,F313:F316)</f>
        <v>4.9209275040490853E-4</v>
      </c>
      <c r="O313" s="1">
        <f>SLOPE(L313:L316,F313:F316)</f>
        <v>-5.9074553419953709E-4</v>
      </c>
      <c r="P313" s="1">
        <f>SLOPE(M313:M316,F313:F316)</f>
        <v>22.200999303415525</v>
      </c>
      <c r="Q313" s="1">
        <f>(N313*84.63/0.31*60)/1000</f>
        <v>8.0604792516324013E-3</v>
      </c>
      <c r="R313" s="1">
        <f>O313*84.63/0.31*60/1000</f>
        <v>-9.6764118501884173E-3</v>
      </c>
      <c r="S313" s="1">
        <f>(P313*84.63/0.31*60)/1000</f>
        <v>363.65236858994632</v>
      </c>
    </row>
    <row r="314" spans="1:19" x14ac:dyDescent="0.3">
      <c r="A314" s="1">
        <v>312</v>
      </c>
      <c r="B314" s="1" t="s">
        <v>73</v>
      </c>
      <c r="C314" s="1" t="s">
        <v>29</v>
      </c>
      <c r="D314" s="1">
        <v>18.7</v>
      </c>
      <c r="E314" s="1">
        <v>134</v>
      </c>
      <c r="F314" s="1">
        <v>15</v>
      </c>
      <c r="G314" s="1">
        <v>0.40309176834286825</v>
      </c>
      <c r="H314" s="1">
        <v>1.8104071638825923</v>
      </c>
      <c r="I314" s="1">
        <v>867.14342803234001</v>
      </c>
      <c r="J314" s="1" t="s">
        <v>129</v>
      </c>
      <c r="K314" s="1">
        <f t="shared" si="12"/>
        <v>0.47161586989642656</v>
      </c>
      <c r="L314" s="1">
        <f t="shared" si="13"/>
        <v>0.90778699242390248</v>
      </c>
      <c r="M314" s="1">
        <f t="shared" si="14"/>
        <v>434.27949912484786</v>
      </c>
    </row>
    <row r="315" spans="1:19" x14ac:dyDescent="0.3">
      <c r="A315" s="1">
        <v>313</v>
      </c>
      <c r="C315" s="1" t="s">
        <v>29</v>
      </c>
      <c r="D315" s="1">
        <v>18.7</v>
      </c>
      <c r="E315" s="1">
        <v>135</v>
      </c>
      <c r="F315" s="1">
        <v>30</v>
      </c>
      <c r="G315" s="1">
        <v>0.41587148625833831</v>
      </c>
      <c r="H315" s="1">
        <v>1.7930604830227113</v>
      </c>
      <c r="I315" s="1">
        <v>2172.0583943919614</v>
      </c>
      <c r="J315" s="1" t="s">
        <v>129</v>
      </c>
      <c r="K315" s="1">
        <f t="shared" si="12"/>
        <v>0.48656809233081955</v>
      </c>
      <c r="L315" s="1">
        <f t="shared" si="13"/>
        <v>0.89908889866881736</v>
      </c>
      <c r="M315" s="1">
        <f t="shared" si="14"/>
        <v>1087.8020879739433</v>
      </c>
      <c r="N315" s="1"/>
      <c r="O315" s="1"/>
      <c r="P315" s="1"/>
      <c r="Q315" s="1"/>
      <c r="R315" s="1"/>
      <c r="S315" s="1"/>
    </row>
    <row r="316" spans="1:19" x14ac:dyDescent="0.3">
      <c r="A316" s="1">
        <v>314</v>
      </c>
      <c r="C316" s="1" t="s">
        <v>29</v>
      </c>
      <c r="D316" s="1">
        <v>18.7</v>
      </c>
      <c r="E316" s="1">
        <v>136</v>
      </c>
      <c r="F316" s="1">
        <v>45</v>
      </c>
      <c r="G316" s="1">
        <v>0.4210373450838979</v>
      </c>
      <c r="H316" s="1">
        <v>1.7833029750390281</v>
      </c>
      <c r="I316" s="1">
        <v>2199.4734836185585</v>
      </c>
      <c r="J316" s="1" t="s">
        <v>129</v>
      </c>
      <c r="K316" s="1">
        <f t="shared" si="12"/>
        <v>0.49261212794532527</v>
      </c>
      <c r="L316" s="1">
        <f t="shared" si="13"/>
        <v>0.89419622093158191</v>
      </c>
      <c r="M316" s="1">
        <f t="shared" si="14"/>
        <v>1101.5320094989274</v>
      </c>
    </row>
    <row r="317" spans="1:19" x14ac:dyDescent="0.3">
      <c r="A317" s="1">
        <v>315</v>
      </c>
      <c r="C317" s="1" t="s">
        <v>29</v>
      </c>
      <c r="D317" s="1">
        <v>18.7</v>
      </c>
      <c r="E317" s="1">
        <v>137</v>
      </c>
      <c r="F317" s="1">
        <v>0</v>
      </c>
      <c r="G317" s="1">
        <v>0.40498077642087132</v>
      </c>
      <c r="H317" s="1">
        <v>1.8472688607098395</v>
      </c>
      <c r="I317" s="1">
        <v>390.20334301012298</v>
      </c>
      <c r="J317" s="1" t="s">
        <v>16</v>
      </c>
      <c r="K317" s="1">
        <f t="shared" si="12"/>
        <v>0.47382600232262639</v>
      </c>
      <c r="L317" s="1">
        <f t="shared" si="13"/>
        <v>0.92627044165345862</v>
      </c>
      <c r="M317" s="1">
        <f t="shared" si="14"/>
        <v>195.42016566255697</v>
      </c>
      <c r="N317" s="1">
        <f>SLOPE(K317:K320,F317:F320)</f>
        <v>7.4155956864791171E-3</v>
      </c>
      <c r="O317" s="1">
        <f>SLOPE(L317:L320,F317:F320)</f>
        <v>-6.1973918004981936E-4</v>
      </c>
      <c r="P317" s="1">
        <f>SLOPE(M317:M320,F317:F320)</f>
        <v>10.209371244608851</v>
      </c>
      <c r="Q317" s="1">
        <f>(N317*84.63/0.31*60)/1000</f>
        <v>0.12146745734452795</v>
      </c>
      <c r="R317" s="1">
        <f>O317*84.63/0.31*60/1000</f>
        <v>-1.0151327769216041E-2</v>
      </c>
      <c r="S317" s="1">
        <f>(P317*84.63/0.31*60)/1000</f>
        <v>167.22950098669295</v>
      </c>
    </row>
    <row r="318" spans="1:19" x14ac:dyDescent="0.3">
      <c r="A318" s="1">
        <v>316</v>
      </c>
      <c r="C318" s="1" t="s">
        <v>29</v>
      </c>
      <c r="D318" s="1">
        <v>18.7</v>
      </c>
      <c r="E318" s="1">
        <v>138</v>
      </c>
      <c r="F318" s="1">
        <v>15</v>
      </c>
      <c r="G318" s="1">
        <v>0.43594701598527968</v>
      </c>
      <c r="H318" s="1">
        <v>1.7952288181301963</v>
      </c>
      <c r="I318" s="1">
        <v>578.75762793049967</v>
      </c>
      <c r="J318" s="1" t="s">
        <v>16</v>
      </c>
      <c r="K318" s="1">
        <f t="shared" si="12"/>
        <v>0.51005638745211712</v>
      </c>
      <c r="L318" s="1">
        <f t="shared" si="13"/>
        <v>0.90017616038820292</v>
      </c>
      <c r="M318" s="1">
        <f t="shared" si="14"/>
        <v>289.85121105359826</v>
      </c>
    </row>
    <row r="319" spans="1:19" x14ac:dyDescent="0.3">
      <c r="A319" s="1">
        <v>317</v>
      </c>
      <c r="C319" s="1" t="s">
        <v>29</v>
      </c>
      <c r="D319" s="1">
        <v>18.7</v>
      </c>
      <c r="E319" s="1">
        <v>139</v>
      </c>
      <c r="F319" s="1">
        <v>30</v>
      </c>
      <c r="G319" s="1">
        <v>0.62465506785926506</v>
      </c>
      <c r="H319" s="1">
        <v>1.7984813207914241</v>
      </c>
      <c r="I319" s="1">
        <v>1089.8954145686846</v>
      </c>
      <c r="J319" s="1" t="s">
        <v>16</v>
      </c>
      <c r="K319" s="1">
        <f t="shared" si="12"/>
        <v>0.73084410635514485</v>
      </c>
      <c r="L319" s="1">
        <f t="shared" si="13"/>
        <v>0.90180705296728148</v>
      </c>
      <c r="M319" s="1">
        <f t="shared" si="14"/>
        <v>545.8373083808973</v>
      </c>
    </row>
    <row r="320" spans="1:19" x14ac:dyDescent="0.3">
      <c r="A320" s="1">
        <v>318</v>
      </c>
      <c r="C320" s="1" t="s">
        <v>29</v>
      </c>
      <c r="D320" s="1">
        <v>18.7</v>
      </c>
      <c r="E320" s="1">
        <v>140</v>
      </c>
      <c r="F320" s="1">
        <v>45</v>
      </c>
      <c r="G320" s="1">
        <v>0.65898489833807683</v>
      </c>
      <c r="H320" s="1">
        <v>1.7843871425927706</v>
      </c>
      <c r="I320" s="1">
        <v>1239.0972904406426</v>
      </c>
      <c r="J320" s="1" t="s">
        <v>16</v>
      </c>
      <c r="K320" s="1">
        <f t="shared" si="12"/>
        <v>0.77100988034557305</v>
      </c>
      <c r="L320" s="1">
        <f t="shared" si="13"/>
        <v>0.8947398517912748</v>
      </c>
      <c r="M320" s="1">
        <f t="shared" si="14"/>
        <v>620.56002878389984</v>
      </c>
    </row>
    <row r="321" spans="1:19" x14ac:dyDescent="0.3">
      <c r="A321" s="1">
        <v>319</v>
      </c>
      <c r="C321" s="1" t="s">
        <v>29</v>
      </c>
      <c r="D321" s="1">
        <v>18.7</v>
      </c>
      <c r="E321" s="1">
        <v>141</v>
      </c>
      <c r="F321" s="1">
        <v>0</v>
      </c>
      <c r="G321" s="1">
        <v>0.40353510697341999</v>
      </c>
      <c r="H321" s="1">
        <v>1.8223330069737604</v>
      </c>
      <c r="I321" s="1">
        <v>376.33300790113242</v>
      </c>
      <c r="J321" s="1" t="s">
        <v>16</v>
      </c>
      <c r="K321" s="1">
        <f t="shared" si="12"/>
        <v>0.47213457444543261</v>
      </c>
      <c r="L321" s="1">
        <f t="shared" si="13"/>
        <v>0.91376693188052349</v>
      </c>
      <c r="M321" s="1">
        <f t="shared" si="14"/>
        <v>188.47367677836561</v>
      </c>
      <c r="N321" s="1">
        <f>SLOPE(K321:K324,F321:F324)</f>
        <v>7.4264959994654834E-4</v>
      </c>
      <c r="O321" s="1">
        <f>SLOPE(L321:L324,F321:F324)</f>
        <v>-3.6966898459112052E-4</v>
      </c>
      <c r="P321" s="1">
        <f>SLOPE(M321:M324,F321:F324)</f>
        <v>10.507835771572452</v>
      </c>
      <c r="Q321" s="1">
        <f>(N321*84.63/0.31*60)/1000</f>
        <v>1.216460044712446E-2</v>
      </c>
      <c r="R321" s="1">
        <f>O321*84.63/0.31*60/1000</f>
        <v>-6.0551779676025538E-3</v>
      </c>
      <c r="S321" s="1">
        <f>(P321*84.63/0.31*60)/1000</f>
        <v>172.11834993835674</v>
      </c>
    </row>
    <row r="322" spans="1:19" x14ac:dyDescent="0.3">
      <c r="A322" s="1">
        <v>320</v>
      </c>
      <c r="C322" s="1" t="s">
        <v>29</v>
      </c>
      <c r="D322" s="1">
        <v>18.7</v>
      </c>
      <c r="E322" s="1">
        <v>142</v>
      </c>
      <c r="F322" s="1">
        <v>15</v>
      </c>
      <c r="G322" s="1">
        <v>0.41326928125292584</v>
      </c>
      <c r="H322" s="1">
        <v>1.8006496558989091</v>
      </c>
      <c r="I322" s="1">
        <v>574.95398413295368</v>
      </c>
      <c r="J322" s="1" t="s">
        <v>16</v>
      </c>
      <c r="K322" s="1">
        <f t="shared" si="12"/>
        <v>0.48352352215187067</v>
      </c>
      <c r="L322" s="1">
        <f t="shared" si="13"/>
        <v>0.90289431468666703</v>
      </c>
      <c r="M322" s="1">
        <f t="shared" si="14"/>
        <v>287.94628452143752</v>
      </c>
      <c r="N322" s="1"/>
      <c r="O322" s="1"/>
      <c r="P322" s="1"/>
      <c r="Q322" s="1"/>
      <c r="R322" s="1"/>
      <c r="S322" s="1"/>
    </row>
    <row r="323" spans="1:19" x14ac:dyDescent="0.3">
      <c r="A323" s="1">
        <v>321</v>
      </c>
      <c r="C323" s="1" t="s">
        <v>29</v>
      </c>
      <c r="D323" s="1">
        <v>18.7</v>
      </c>
      <c r="E323" s="1">
        <v>143</v>
      </c>
      <c r="F323" s="1">
        <v>30</v>
      </c>
      <c r="G323" s="1">
        <v>0.42648270000263139</v>
      </c>
      <c r="H323" s="1">
        <v>1.8006496558989091</v>
      </c>
      <c r="I323" s="1">
        <v>1047.1721699867155</v>
      </c>
      <c r="J323" s="1" t="s">
        <v>16</v>
      </c>
      <c r="K323" s="1">
        <f t="shared" ref="K323:K382" si="15">(G323*28*1)/(0.082*(D323+273.15))</f>
        <v>0.49898317294942185</v>
      </c>
      <c r="L323" s="1">
        <f t="shared" ref="L323:L382" si="16">(H323*12*1)/(0.082*(D323+273.15))</f>
        <v>0.90289431468666703</v>
      </c>
      <c r="M323" s="1">
        <f t="shared" ref="M323:M382" si="17">(I323*12*1)/(0.0821*(D323+273.15))</f>
        <v>524.44081426210198</v>
      </c>
    </row>
    <row r="324" spans="1:19" x14ac:dyDescent="0.3">
      <c r="A324" s="1">
        <v>322</v>
      </c>
      <c r="C324" s="1" t="s">
        <v>29</v>
      </c>
      <c r="D324" s="1">
        <v>18.7</v>
      </c>
      <c r="E324" s="1">
        <v>144</v>
      </c>
      <c r="F324" s="1">
        <v>45</v>
      </c>
      <c r="G324" s="1">
        <v>0.43086789732656722</v>
      </c>
      <c r="H324" s="1">
        <v>1.7854713101465132</v>
      </c>
      <c r="I324" s="1">
        <v>1267.9979647896025</v>
      </c>
      <c r="J324" s="1" t="s">
        <v>16</v>
      </c>
      <c r="K324" s="1">
        <f t="shared" si="15"/>
        <v>0.50411383751024297</v>
      </c>
      <c r="L324" s="1">
        <f t="shared" si="16"/>
        <v>0.89528348265096747</v>
      </c>
      <c r="M324" s="1">
        <f t="shared" si="17"/>
        <v>635.03395544343346</v>
      </c>
    </row>
    <row r="325" spans="1:19" x14ac:dyDescent="0.3">
      <c r="A325" s="1">
        <v>323</v>
      </c>
      <c r="C325" s="1" t="s">
        <v>29</v>
      </c>
      <c r="D325" s="1">
        <v>18.7</v>
      </c>
      <c r="E325" s="1">
        <v>145</v>
      </c>
      <c r="F325" s="1">
        <v>0</v>
      </c>
      <c r="G325" s="1">
        <v>0.40673485535044562</v>
      </c>
      <c r="H325" s="1">
        <v>1.8310063474037011</v>
      </c>
      <c r="I325" s="1">
        <v>398.95211366183355</v>
      </c>
      <c r="J325" s="1" t="s">
        <v>16</v>
      </c>
      <c r="K325" s="1">
        <f t="shared" si="15"/>
        <v>0.47587826814695477</v>
      </c>
      <c r="L325" s="1">
        <f t="shared" si="16"/>
        <v>0.91811597875806628</v>
      </c>
      <c r="M325" s="1">
        <f t="shared" si="17"/>
        <v>199.80169196346472</v>
      </c>
      <c r="N325" s="1">
        <f>SLOPE(K325:K328,F325:F328)</f>
        <v>4.0827310226841868E-4</v>
      </c>
      <c r="O325" s="1">
        <f>SLOPE(L325:L328,F325:F328)</f>
        <v>-4.7114674506711622E-4</v>
      </c>
      <c r="P325" s="1">
        <f>SLOPE(M325:M328,F325:F328)</f>
        <v>10.476106523730259</v>
      </c>
      <c r="Q325" s="1">
        <f>(N325*84.63/0.31*60)/1000</f>
        <v>6.6875134151566972E-3</v>
      </c>
      <c r="R325" s="1">
        <f>O325*84.63/0.31*60/1000</f>
        <v>-7.7173836841993625E-3</v>
      </c>
      <c r="S325" s="1">
        <f>(P325*84.63/0.31*60)/1000</f>
        <v>171.59862485870164</v>
      </c>
    </row>
    <row r="326" spans="1:19" x14ac:dyDescent="0.3">
      <c r="A326" s="1">
        <v>324</v>
      </c>
      <c r="C326" s="1" t="s">
        <v>29</v>
      </c>
      <c r="D326" s="1">
        <v>18.7</v>
      </c>
      <c r="E326" s="1">
        <v>146</v>
      </c>
      <c r="F326" s="1">
        <v>15</v>
      </c>
      <c r="G326" s="1">
        <v>0.40648427264622078</v>
      </c>
      <c r="H326" s="1">
        <v>1.788723812807741</v>
      </c>
      <c r="I326" s="1">
        <v>641.31596835882044</v>
      </c>
      <c r="J326" s="1" t="s">
        <v>16</v>
      </c>
      <c r="K326" s="1">
        <f t="shared" si="15"/>
        <v>0.4755850873149079</v>
      </c>
      <c r="L326" s="1">
        <f t="shared" si="16"/>
        <v>0.89691437523004602</v>
      </c>
      <c r="M326" s="1">
        <f t="shared" si="17"/>
        <v>321.18144301873014</v>
      </c>
      <c r="N326" s="1"/>
      <c r="O326" s="1"/>
      <c r="P326" s="1"/>
      <c r="Q326" s="1"/>
      <c r="R326" s="1"/>
      <c r="S326" s="1"/>
    </row>
    <row r="327" spans="1:19" x14ac:dyDescent="0.3">
      <c r="A327" s="1">
        <v>325</v>
      </c>
      <c r="C327" s="1" t="s">
        <v>29</v>
      </c>
      <c r="D327" s="1">
        <v>18.7</v>
      </c>
      <c r="E327" s="1">
        <v>147</v>
      </c>
      <c r="F327" s="1">
        <v>30</v>
      </c>
      <c r="G327" s="1">
        <v>0.4168159902973399</v>
      </c>
      <c r="H327" s="1">
        <v>1.8071546612213645</v>
      </c>
      <c r="I327" s="1">
        <v>1009.6611456470524</v>
      </c>
      <c r="J327" s="1" t="s">
        <v>16</v>
      </c>
      <c r="K327" s="1">
        <f t="shared" si="15"/>
        <v>0.48767315854391946</v>
      </c>
      <c r="L327" s="1">
        <f t="shared" si="16"/>
        <v>0.90615609984482404</v>
      </c>
      <c r="M327" s="1">
        <f t="shared" si="17"/>
        <v>505.65468461472233</v>
      </c>
    </row>
    <row r="328" spans="1:19" x14ac:dyDescent="0.3">
      <c r="A328" s="1">
        <v>326</v>
      </c>
      <c r="C328" s="1" t="s">
        <v>29</v>
      </c>
      <c r="D328" s="1">
        <v>18.7</v>
      </c>
      <c r="E328" s="1">
        <v>148</v>
      </c>
      <c r="F328" s="1">
        <v>45</v>
      </c>
      <c r="G328" s="1">
        <v>0.42073857339809123</v>
      </c>
      <c r="H328" s="1">
        <v>1.7778821372703153</v>
      </c>
      <c r="I328" s="1">
        <v>1322.0736531609664</v>
      </c>
      <c r="J328" s="1" t="s">
        <v>16</v>
      </c>
      <c r="K328" s="1">
        <f t="shared" si="15"/>
        <v>0.49226256618403852</v>
      </c>
      <c r="L328" s="1">
        <f t="shared" si="16"/>
        <v>0.89147806663311779</v>
      </c>
      <c r="M328" s="1">
        <f t="shared" si="17"/>
        <v>662.11593761798019</v>
      </c>
    </row>
    <row r="329" spans="1:19" x14ac:dyDescent="0.3">
      <c r="A329" s="1">
        <v>327</v>
      </c>
      <c r="C329" s="1" t="s">
        <v>29</v>
      </c>
      <c r="D329" s="1">
        <v>18.7</v>
      </c>
      <c r="E329" s="1">
        <v>149</v>
      </c>
      <c r="F329" s="1">
        <v>0</v>
      </c>
      <c r="G329" s="1">
        <v>0.40424830390082933</v>
      </c>
      <c r="H329" s="1">
        <v>1.8299221798499581</v>
      </c>
      <c r="I329" s="1">
        <v>399.77191490061779</v>
      </c>
      <c r="J329" s="1" t="s">
        <v>16</v>
      </c>
      <c r="K329" s="1">
        <f t="shared" si="15"/>
        <v>0.47296901219818155</v>
      </c>
      <c r="L329" s="1">
        <f t="shared" si="16"/>
        <v>0.91757234789837328</v>
      </c>
      <c r="M329" s="1">
        <f t="shared" si="17"/>
        <v>200.21226172603451</v>
      </c>
      <c r="N329" s="1">
        <f>SLOPE(K329:K332,F329:F332)</f>
        <v>1.0695086403927057E-3</v>
      </c>
      <c r="O329" s="1">
        <f>SLOPE(L329:L332,F329:F332)</f>
        <v>-8.0819787807666409E-4</v>
      </c>
      <c r="P329" s="1">
        <f>SLOPE(M329:M332,F329:F332)</f>
        <v>9.4678103264023186</v>
      </c>
      <c r="Q329" s="1">
        <f>(N329*84.63/0.31*60)/1000</f>
        <v>1.7518551529632522E-2</v>
      </c>
      <c r="R329" s="1">
        <f>O329*84.63/0.31*60/1000</f>
        <v>-1.3238281242895757E-2</v>
      </c>
      <c r="S329" s="1">
        <f>(P329*84.63/0.31*60)/1000</f>
        <v>155.08273314646999</v>
      </c>
    </row>
    <row r="330" spans="1:19" x14ac:dyDescent="0.3">
      <c r="A330" s="1">
        <v>328</v>
      </c>
      <c r="C330" s="1" t="s">
        <v>29</v>
      </c>
      <c r="D330" s="1">
        <v>18.7</v>
      </c>
      <c r="E330" s="1">
        <v>150</v>
      </c>
      <c r="F330" s="1">
        <v>15</v>
      </c>
      <c r="G330" s="1">
        <v>0.4120452811207504</v>
      </c>
      <c r="H330" s="1">
        <v>1.806070493667622</v>
      </c>
      <c r="I330" s="1">
        <v>611.33424814325906</v>
      </c>
      <c r="J330" s="1" t="s">
        <v>16</v>
      </c>
      <c r="K330" s="1">
        <f t="shared" si="15"/>
        <v>0.48209144654918007</v>
      </c>
      <c r="L330" s="1">
        <f t="shared" si="16"/>
        <v>0.90561246898513115</v>
      </c>
      <c r="M330" s="1">
        <f t="shared" si="17"/>
        <v>306.16611104803138</v>
      </c>
    </row>
    <row r="331" spans="1:19" x14ac:dyDescent="0.3">
      <c r="A331" s="1">
        <v>329</v>
      </c>
      <c r="C331" s="1" t="s">
        <v>29</v>
      </c>
      <c r="D331" s="1">
        <v>18.7</v>
      </c>
      <c r="E331" s="1">
        <v>151</v>
      </c>
      <c r="F331" s="1">
        <v>30</v>
      </c>
      <c r="G331" s="1">
        <v>0.43509888990944151</v>
      </c>
      <c r="H331" s="1">
        <v>1.788723812807741</v>
      </c>
      <c r="I331" s="1">
        <v>1054.5922972514309</v>
      </c>
      <c r="J331" s="1" t="s">
        <v>16</v>
      </c>
      <c r="K331" s="1">
        <f t="shared" si="15"/>
        <v>0.50906408309749673</v>
      </c>
      <c r="L331" s="1">
        <f t="shared" si="16"/>
        <v>0.89691437523004602</v>
      </c>
      <c r="M331" s="1">
        <f t="shared" si="17"/>
        <v>528.1569343960864</v>
      </c>
    </row>
    <row r="332" spans="1:19" x14ac:dyDescent="0.3">
      <c r="A332" s="1">
        <v>330</v>
      </c>
      <c r="C332" s="1" t="s">
        <v>29</v>
      </c>
      <c r="D332" s="1">
        <v>18.7</v>
      </c>
      <c r="E332" s="1">
        <v>152</v>
      </c>
      <c r="F332" s="1">
        <v>45</v>
      </c>
      <c r="G332" s="1">
        <v>0.44226941036880035</v>
      </c>
      <c r="H332" s="1">
        <v>1.7551146186417215</v>
      </c>
      <c r="I332" s="1">
        <v>1197.2572086676373</v>
      </c>
      <c r="J332" s="1" t="s">
        <v>16</v>
      </c>
      <c r="K332" s="1">
        <f t="shared" si="15"/>
        <v>0.51745356536837794</v>
      </c>
      <c r="L332" s="1">
        <f t="shared" si="16"/>
        <v>0.88006181857956844</v>
      </c>
      <c r="M332" s="1">
        <f t="shared" si="17"/>
        <v>599.60583693013211</v>
      </c>
    </row>
    <row r="333" spans="1:19" x14ac:dyDescent="0.3">
      <c r="A333" s="1">
        <v>331</v>
      </c>
      <c r="C333" s="1" t="s">
        <v>29</v>
      </c>
      <c r="D333" s="1">
        <v>18.7</v>
      </c>
      <c r="E333" s="1">
        <v>153</v>
      </c>
      <c r="F333" s="1">
        <v>0</v>
      </c>
      <c r="G333" s="1">
        <v>0.40996351711642037</v>
      </c>
      <c r="H333" s="1">
        <v>1.8310063474037011</v>
      </c>
      <c r="I333" s="1">
        <v>406.62373762049231</v>
      </c>
      <c r="J333" s="1" t="s">
        <v>16</v>
      </c>
      <c r="K333" s="1">
        <f t="shared" si="15"/>
        <v>0.47965579040602097</v>
      </c>
      <c r="L333" s="1">
        <f t="shared" si="16"/>
        <v>0.91811597875806628</v>
      </c>
      <c r="M333" s="1">
        <f t="shared" si="17"/>
        <v>203.64376572258948</v>
      </c>
      <c r="N333" s="1">
        <f>SLOPE(K333:K336,F333:F336)</f>
        <v>1.2634590369775907E-3</v>
      </c>
      <c r="O333" s="1">
        <f>SLOPE(L333:L336,F333:F336)</f>
        <v>-6.7410226601910539E-4</v>
      </c>
      <c r="P333" s="1">
        <f>SLOPE(M333:M336,F333:F336)</f>
        <v>8.7149949473240813</v>
      </c>
      <c r="Q333" s="1">
        <f>(N333*84.63/0.31*60)/1000</f>
        <v>2.0695459025692933E-2</v>
      </c>
      <c r="R333" s="1">
        <f>O333*84.63/0.31*60/1000</f>
        <v>-1.1041795117392946E-2</v>
      </c>
      <c r="S333" s="1">
        <f>(P333*84.63/0.31*60)/1000</f>
        <v>142.75161723716846</v>
      </c>
    </row>
    <row r="334" spans="1:19" x14ac:dyDescent="0.3">
      <c r="A334" s="1">
        <v>332</v>
      </c>
      <c r="C334" s="1" t="s">
        <v>29</v>
      </c>
      <c r="D334" s="1">
        <v>18.7</v>
      </c>
      <c r="E334" s="1">
        <v>154</v>
      </c>
      <c r="F334" s="1">
        <v>15</v>
      </c>
      <c r="G334" s="1">
        <v>0.42088314034283641</v>
      </c>
      <c r="H334" s="1">
        <v>1.8017338234526517</v>
      </c>
      <c r="I334" s="1">
        <v>658.01807825814183</v>
      </c>
      <c r="J334" s="1" t="s">
        <v>16</v>
      </c>
      <c r="K334" s="1">
        <f t="shared" si="15"/>
        <v>0.49243170897175798</v>
      </c>
      <c r="L334" s="1">
        <f t="shared" si="16"/>
        <v>0.90343794554635992</v>
      </c>
      <c r="M334" s="1">
        <f t="shared" si="17"/>
        <v>329.54613066661364</v>
      </c>
    </row>
    <row r="335" spans="1:19" x14ac:dyDescent="0.3">
      <c r="A335" s="1">
        <v>333</v>
      </c>
      <c r="C335" s="1" t="s">
        <v>29</v>
      </c>
      <c r="D335" s="1">
        <v>18.7</v>
      </c>
      <c r="E335" s="1">
        <v>155</v>
      </c>
      <c r="F335" s="1">
        <v>30</v>
      </c>
      <c r="G335" s="1">
        <v>0.45431665576422842</v>
      </c>
      <c r="H335" s="1">
        <v>1.7789663048240578</v>
      </c>
      <c r="I335" s="1">
        <v>1138.8680595571288</v>
      </c>
      <c r="J335" s="1" t="s">
        <v>16</v>
      </c>
      <c r="K335" s="1">
        <f t="shared" si="15"/>
        <v>0.53154879767832608</v>
      </c>
      <c r="L335" s="1">
        <f t="shared" si="16"/>
        <v>0.89202169749281057</v>
      </c>
      <c r="M335" s="1">
        <f t="shared" si="17"/>
        <v>570.36360362672531</v>
      </c>
    </row>
    <row r="336" spans="1:19" x14ac:dyDescent="0.3">
      <c r="A336" s="1">
        <v>334</v>
      </c>
      <c r="C336" s="1" t="s">
        <v>29</v>
      </c>
      <c r="D336" s="1">
        <v>18.7</v>
      </c>
      <c r="E336" s="1">
        <v>156</v>
      </c>
      <c r="F336" s="1">
        <v>45</v>
      </c>
      <c r="G336" s="1">
        <v>0.45281315953887896</v>
      </c>
      <c r="H336" s="1">
        <v>1.77137713194786</v>
      </c>
      <c r="I336" s="1">
        <v>1116.4195426392189</v>
      </c>
      <c r="J336" s="1" t="s">
        <v>16</v>
      </c>
      <c r="K336" s="1">
        <f t="shared" si="15"/>
        <v>0.52978971268604447</v>
      </c>
      <c r="L336" s="1">
        <f t="shared" si="16"/>
        <v>0.88821628147496079</v>
      </c>
      <c r="M336" s="1">
        <f t="shared" si="17"/>
        <v>559.12102210208968</v>
      </c>
    </row>
    <row r="337" spans="1:19" x14ac:dyDescent="0.3">
      <c r="A337" s="1">
        <v>335</v>
      </c>
      <c r="C337" s="1" t="s">
        <v>29</v>
      </c>
      <c r="D337" s="1">
        <v>18.7</v>
      </c>
      <c r="E337" s="1">
        <v>157</v>
      </c>
      <c r="F337" s="1">
        <v>0</v>
      </c>
      <c r="G337" s="1">
        <v>0.40378568967764489</v>
      </c>
      <c r="H337" s="1">
        <v>1.8364271851724139</v>
      </c>
      <c r="I337" s="1">
        <v>400.88122977545311</v>
      </c>
      <c r="J337" s="1" t="s">
        <v>16</v>
      </c>
      <c r="K337" s="1">
        <f t="shared" si="15"/>
        <v>0.47242775527747954</v>
      </c>
      <c r="L337" s="1">
        <f t="shared" si="16"/>
        <v>0.92083413305653039</v>
      </c>
      <c r="M337" s="1">
        <f t="shared" si="17"/>
        <v>200.76782461521927</v>
      </c>
      <c r="N337" s="1">
        <f>SLOPE(K337:K340,F337:F340)</f>
        <v>1.4308728095336169E-3</v>
      </c>
      <c r="O337" s="1">
        <f>SLOPE(L337:L340,F337:F340)</f>
        <v>-6.9947170613810167E-4</v>
      </c>
      <c r="P337" s="1">
        <f>SLOPE(M337:M340,F337:F340)</f>
        <v>8.5765403435232095</v>
      </c>
      <c r="Q337" s="1">
        <f>(N337*84.63/0.31*60)/1000</f>
        <v>2.3437696620160646E-2</v>
      </c>
      <c r="R337" s="1">
        <f>O337*84.63/0.31*60/1000</f>
        <v>-1.1457346546542105E-2</v>
      </c>
      <c r="S337" s="1">
        <f>(P337*84.63/0.31*60)/1000</f>
        <v>140.48373082691018</v>
      </c>
    </row>
    <row r="338" spans="1:19" x14ac:dyDescent="0.3">
      <c r="A338" s="1">
        <v>336</v>
      </c>
      <c r="C338" s="1" t="s">
        <v>29</v>
      </c>
      <c r="D338" s="1">
        <v>18.7</v>
      </c>
      <c r="E338" s="1">
        <v>158</v>
      </c>
      <c r="F338" s="1">
        <v>15</v>
      </c>
      <c r="G338" s="1">
        <v>0.42339860518140182</v>
      </c>
      <c r="H338" s="1">
        <v>1.8028179910063942</v>
      </c>
      <c r="I338" s="1">
        <v>599.90674526303587</v>
      </c>
      <c r="J338" s="1" t="s">
        <v>16</v>
      </c>
      <c r="K338" s="1">
        <f t="shared" si="15"/>
        <v>0.49537479347807523</v>
      </c>
      <c r="L338" s="1">
        <f t="shared" si="16"/>
        <v>0.90398157640605259</v>
      </c>
      <c r="M338" s="1">
        <f t="shared" si="17"/>
        <v>300.44303218167573</v>
      </c>
    </row>
    <row r="339" spans="1:19" x14ac:dyDescent="0.3">
      <c r="A339" s="1">
        <v>337</v>
      </c>
      <c r="C339" s="1" t="s">
        <v>29</v>
      </c>
      <c r="D339" s="1">
        <v>18.7</v>
      </c>
      <c r="E339" s="1">
        <v>159</v>
      </c>
      <c r="F339" s="1">
        <v>30</v>
      </c>
      <c r="G339" s="1">
        <v>0.4477340408801665</v>
      </c>
      <c r="H339" s="1">
        <v>1.7854713101465132</v>
      </c>
      <c r="I339" s="1">
        <v>998.48708904754722</v>
      </c>
      <c r="J339" s="1" t="s">
        <v>16</v>
      </c>
      <c r="K339" s="1">
        <f t="shared" si="15"/>
        <v>0.52384716274417042</v>
      </c>
      <c r="L339" s="1">
        <f t="shared" si="16"/>
        <v>0.89528348265096747</v>
      </c>
      <c r="M339" s="1">
        <f t="shared" si="17"/>
        <v>500.05853575819788</v>
      </c>
    </row>
    <row r="340" spans="1:19" x14ac:dyDescent="0.3">
      <c r="A340" s="1">
        <v>338</v>
      </c>
      <c r="C340" s="1" t="s">
        <v>29</v>
      </c>
      <c r="D340" s="1">
        <v>18.7</v>
      </c>
      <c r="E340" s="1">
        <v>160</v>
      </c>
      <c r="F340" s="1">
        <v>45</v>
      </c>
      <c r="G340" s="1">
        <v>0.45682248280647747</v>
      </c>
      <c r="H340" s="1">
        <v>1.7724612995016025</v>
      </c>
      <c r="I340" s="1">
        <v>1124.2773521348665</v>
      </c>
      <c r="J340" s="1" t="s">
        <v>16</v>
      </c>
      <c r="K340" s="1">
        <f t="shared" si="15"/>
        <v>0.53448060599879532</v>
      </c>
      <c r="L340" s="1">
        <f t="shared" si="16"/>
        <v>0.88875991233465368</v>
      </c>
      <c r="M340" s="1">
        <f t="shared" si="17"/>
        <v>563.05634059920578</v>
      </c>
    </row>
    <row r="341" spans="1:19" x14ac:dyDescent="0.3">
      <c r="A341" s="1">
        <v>339</v>
      </c>
      <c r="C341" s="1" t="s">
        <v>29</v>
      </c>
      <c r="D341" s="1">
        <v>18.7</v>
      </c>
      <c r="E341" s="1">
        <v>161</v>
      </c>
      <c r="F341" s="1">
        <v>0</v>
      </c>
      <c r="G341" s="1">
        <v>0.40399772119660443</v>
      </c>
      <c r="H341" s="1">
        <v>1.8049863261138794</v>
      </c>
      <c r="I341" s="1">
        <v>409.67484092298304</v>
      </c>
      <c r="J341" s="1" t="s">
        <v>129</v>
      </c>
      <c r="K341" s="1">
        <f t="shared" si="15"/>
        <v>0.47267583136613461</v>
      </c>
      <c r="L341" s="1">
        <f t="shared" si="16"/>
        <v>0.90506883812543837</v>
      </c>
      <c r="M341" s="1">
        <f t="shared" si="17"/>
        <v>205.17180776402026</v>
      </c>
      <c r="N341" s="1">
        <f>SLOPE(K341:K344,F341:F344)</f>
        <v>1.3844149238400275E-3</v>
      </c>
      <c r="O341" s="1">
        <f>SLOPE(L341:L344,F341:F344)</f>
        <v>-1.9570710948941584E-4</v>
      </c>
      <c r="P341" s="1">
        <f>SLOPE(M341:M344,F341:F344)</f>
        <v>16.154704558179148</v>
      </c>
      <c r="Q341" s="1">
        <f>(N341*84.63/0.31*60)/1000</f>
        <v>2.2676716452499652E-2</v>
      </c>
      <c r="R341" s="1">
        <f>O341*84.63/0.31*60/1000</f>
        <v>-3.2056824534366312E-3</v>
      </c>
      <c r="S341" s="1">
        <f>(P341*84.63/0.31*60)/1000</f>
        <v>264.61406066297445</v>
      </c>
    </row>
    <row r="342" spans="1:19" x14ac:dyDescent="0.3">
      <c r="A342" s="1">
        <v>340</v>
      </c>
      <c r="C342" s="1" t="s">
        <v>29</v>
      </c>
      <c r="D342" s="1">
        <v>18.7</v>
      </c>
      <c r="E342" s="1">
        <v>162</v>
      </c>
      <c r="F342" s="1">
        <v>15</v>
      </c>
      <c r="G342" s="1">
        <v>0.40699507585098693</v>
      </c>
      <c r="H342" s="1">
        <v>1.8223330069737604</v>
      </c>
      <c r="I342" s="1">
        <v>918.35614822497735</v>
      </c>
      <c r="J342" s="1" t="s">
        <v>129</v>
      </c>
      <c r="K342" s="1">
        <f t="shared" si="15"/>
        <v>0.47618272516484972</v>
      </c>
      <c r="L342" s="1">
        <f t="shared" si="16"/>
        <v>0.91376693188052349</v>
      </c>
      <c r="M342" s="1">
        <f t="shared" si="17"/>
        <v>459.92766038064656</v>
      </c>
    </row>
    <row r="343" spans="1:19" x14ac:dyDescent="0.3">
      <c r="A343" s="1">
        <v>341</v>
      </c>
      <c r="C343" s="1" t="s">
        <v>29</v>
      </c>
      <c r="D343" s="1">
        <v>18.7</v>
      </c>
      <c r="E343" s="1">
        <v>163</v>
      </c>
      <c r="F343" s="1">
        <v>30</v>
      </c>
      <c r="G343" s="1">
        <v>0.42632849526156985</v>
      </c>
      <c r="H343" s="1">
        <v>1.7898079803614835</v>
      </c>
      <c r="I343" s="1">
        <v>1736.9193994072548</v>
      </c>
      <c r="J343" s="1" t="s">
        <v>129</v>
      </c>
      <c r="K343" s="1">
        <f t="shared" si="15"/>
        <v>0.4988027539758545</v>
      </c>
      <c r="L343" s="1">
        <f t="shared" si="16"/>
        <v>0.8974580060897388</v>
      </c>
      <c r="M343" s="1">
        <f t="shared" si="17"/>
        <v>869.87741867159991</v>
      </c>
    </row>
    <row r="344" spans="1:19" x14ac:dyDescent="0.3">
      <c r="A344" s="1">
        <v>342</v>
      </c>
      <c r="C344" s="1" t="s">
        <v>29</v>
      </c>
      <c r="D344" s="1">
        <v>18.7</v>
      </c>
      <c r="E344" s="1">
        <v>164</v>
      </c>
      <c r="F344" s="1">
        <v>45</v>
      </c>
      <c r="G344" s="1">
        <v>0.45671646704699764</v>
      </c>
      <c r="H344" s="1">
        <v>1.7963129856839388</v>
      </c>
      <c r="I344" s="1">
        <v>1749.6579993935002</v>
      </c>
      <c r="J344" s="1" t="s">
        <v>129</v>
      </c>
      <c r="K344" s="1">
        <f t="shared" si="15"/>
        <v>0.53435656795446773</v>
      </c>
      <c r="L344" s="1">
        <f t="shared" si="16"/>
        <v>0.90071979124789581</v>
      </c>
      <c r="M344" s="1">
        <f t="shared" si="17"/>
        <v>876.25711624265978</v>
      </c>
    </row>
    <row r="345" spans="1:19" x14ac:dyDescent="0.3">
      <c r="A345" s="1">
        <v>343</v>
      </c>
      <c r="C345" s="1" t="s">
        <v>29</v>
      </c>
      <c r="D345" s="1">
        <v>18.7</v>
      </c>
      <c r="E345" s="1" t="s">
        <v>161</v>
      </c>
      <c r="G345" s="1">
        <v>0.40427721728977833</v>
      </c>
      <c r="H345" s="1">
        <v>2.3795951295974378</v>
      </c>
      <c r="I345" s="1">
        <v>399.8333268840226</v>
      </c>
      <c r="J345"/>
      <c r="K345" s="1">
        <f t="shared" si="15"/>
        <v>0.47300284075572541</v>
      </c>
      <c r="L345" s="1">
        <f t="shared" si="16"/>
        <v>1.193193193762635</v>
      </c>
      <c r="M345" s="1">
        <f t="shared" si="17"/>
        <v>200.24301784380131</v>
      </c>
    </row>
    <row r="346" spans="1:19" x14ac:dyDescent="0.3">
      <c r="A346" s="1">
        <v>344</v>
      </c>
      <c r="C346" s="1" t="s">
        <v>29</v>
      </c>
      <c r="D346" s="1">
        <v>18.7</v>
      </c>
      <c r="E346" s="1" t="s">
        <v>162</v>
      </c>
      <c r="F346"/>
      <c r="G346" s="1">
        <v>0.40590600486724027</v>
      </c>
      <c r="H346" s="1">
        <v>2.3318917572327651</v>
      </c>
      <c r="I346" s="1">
        <v>399.23187936401087</v>
      </c>
      <c r="J346"/>
      <c r="K346" s="1">
        <f t="shared" si="15"/>
        <v>0.47490851616403046</v>
      </c>
      <c r="L346" s="1">
        <f t="shared" si="16"/>
        <v>1.169273435936151</v>
      </c>
      <c r="M346" s="1">
        <f t="shared" si="17"/>
        <v>199.94180316662474</v>
      </c>
    </row>
    <row r="347" spans="1:19" x14ac:dyDescent="0.3">
      <c r="A347" s="1">
        <v>345</v>
      </c>
      <c r="C347" s="1" t="s">
        <v>29</v>
      </c>
      <c r="D347" s="1">
        <v>18.7</v>
      </c>
      <c r="E347" s="1" t="s">
        <v>163</v>
      </c>
      <c r="F347"/>
      <c r="G347" s="1">
        <v>0.40447961101242152</v>
      </c>
      <c r="H347" s="1">
        <v>2.3926051402423489</v>
      </c>
      <c r="I347" s="1">
        <v>400.06435291683096</v>
      </c>
      <c r="J347"/>
      <c r="K347" s="1">
        <f t="shared" si="15"/>
        <v>0.47323964065853258</v>
      </c>
      <c r="L347" s="1">
        <f t="shared" si="16"/>
        <v>1.1997167640789492</v>
      </c>
      <c r="M347" s="1">
        <f t="shared" si="17"/>
        <v>200.358719429686</v>
      </c>
    </row>
    <row r="348" spans="1:19" x14ac:dyDescent="0.3">
      <c r="A348" s="1">
        <v>346</v>
      </c>
      <c r="B348" s="10">
        <v>45184</v>
      </c>
      <c r="C348" s="1" t="s">
        <v>29</v>
      </c>
      <c r="D348" s="1">
        <v>18.7</v>
      </c>
      <c r="E348" s="1">
        <v>433</v>
      </c>
      <c r="F348" s="1">
        <v>0</v>
      </c>
      <c r="G348" s="1">
        <v>0.39547439763255449</v>
      </c>
      <c r="H348" s="1">
        <v>1.9237531486146098</v>
      </c>
      <c r="I348" s="1">
        <v>400.95473816526498</v>
      </c>
      <c r="J348" s="1" t="s">
        <v>129</v>
      </c>
      <c r="K348" s="1">
        <f t="shared" si="15"/>
        <v>0.46270357449372695</v>
      </c>
      <c r="L348" s="1">
        <f t="shared" si="16"/>
        <v>0.96462172697197934</v>
      </c>
      <c r="M348" s="1">
        <f t="shared" si="17"/>
        <v>200.80463880959238</v>
      </c>
      <c r="N348" s="1">
        <f>SLOPE(K348:K351,F348:F351)</f>
        <v>1.9128406792960352E-4</v>
      </c>
      <c r="O348" s="1">
        <f>SLOPE(L348:L351,F348:F351)</f>
        <v>-1.3984066079053781E-4</v>
      </c>
      <c r="P348" s="1">
        <f>SLOPE(M348:M351,F348:F351)</f>
        <v>9.7900570163911258</v>
      </c>
      <c r="Q348" s="1">
        <f>(N348*84.63/0.31*60)/1000</f>
        <v>3.1332330326869053E-3</v>
      </c>
      <c r="R348" s="1">
        <f>O348*84.63/0.31*60/1000</f>
        <v>-2.2905900237490092E-3</v>
      </c>
      <c r="S348" s="1">
        <f>(P348*84.63/0.31*60)/1000</f>
        <v>160.36113392848662</v>
      </c>
    </row>
    <row r="349" spans="1:19" x14ac:dyDescent="0.3">
      <c r="A349" s="1">
        <v>347</v>
      </c>
      <c r="B349" s="4">
        <v>17.8</v>
      </c>
      <c r="C349" s="1" t="s">
        <v>29</v>
      </c>
      <c r="D349" s="1">
        <v>15.6</v>
      </c>
      <c r="E349" s="1">
        <v>434</v>
      </c>
      <c r="F349" s="1">
        <v>15</v>
      </c>
      <c r="G349" s="1">
        <v>0.39655021816583808</v>
      </c>
      <c r="H349" s="1">
        <v>1.9011838790931992</v>
      </c>
      <c r="I349" s="1">
        <v>606.40574232594952</v>
      </c>
      <c r="J349" s="1" t="s">
        <v>129</v>
      </c>
      <c r="K349" s="1">
        <f t="shared" si="15"/>
        <v>0.46894334742449434</v>
      </c>
      <c r="L349" s="1">
        <f t="shared" si="16"/>
        <v>0.96353950159934054</v>
      </c>
      <c r="M349" s="1">
        <f t="shared" si="17"/>
        <v>306.95831428935861</v>
      </c>
    </row>
    <row r="350" spans="1:19" x14ac:dyDescent="0.3">
      <c r="A350" s="1">
        <v>348</v>
      </c>
      <c r="C350" s="1" t="s">
        <v>29</v>
      </c>
      <c r="D350" s="1">
        <v>15.6</v>
      </c>
      <c r="E350" s="1">
        <v>435</v>
      </c>
      <c r="F350" s="1">
        <v>30</v>
      </c>
      <c r="G350" s="1">
        <v>0.39757801099674289</v>
      </c>
      <c r="H350" s="1">
        <v>1.8898992443324938</v>
      </c>
      <c r="I350" s="1">
        <v>1008.855112244806</v>
      </c>
      <c r="J350" s="1" t="s">
        <v>129</v>
      </c>
      <c r="K350" s="1">
        <f t="shared" si="15"/>
        <v>0.47015877131913419</v>
      </c>
      <c r="L350" s="1">
        <f t="shared" si="16"/>
        <v>0.95782033288944879</v>
      </c>
      <c r="M350" s="1">
        <f t="shared" si="17"/>
        <v>510.67534985579499</v>
      </c>
    </row>
    <row r="351" spans="1:19" x14ac:dyDescent="0.3">
      <c r="A351" s="1">
        <v>349</v>
      </c>
      <c r="C351" s="1" t="s">
        <v>29</v>
      </c>
      <c r="D351" s="1">
        <v>15.6</v>
      </c>
      <c r="E351" s="1">
        <v>436</v>
      </c>
      <c r="F351" s="1">
        <v>45</v>
      </c>
      <c r="G351" s="1">
        <v>0.39901884206810484</v>
      </c>
      <c r="H351" s="1">
        <v>1.8932846347607055</v>
      </c>
      <c r="I351" s="1">
        <v>1229.5742278984819</v>
      </c>
      <c r="J351" s="1" t="s">
        <v>129</v>
      </c>
      <c r="K351" s="1">
        <f t="shared" si="15"/>
        <v>0.47186263659199384</v>
      </c>
      <c r="L351" s="1">
        <f t="shared" si="16"/>
        <v>0.95953608350241637</v>
      </c>
      <c r="M351" s="1">
        <f t="shared" si="17"/>
        <v>622.40181110700325</v>
      </c>
    </row>
    <row r="352" spans="1:19" x14ac:dyDescent="0.3">
      <c r="A352" s="1">
        <v>350</v>
      </c>
      <c r="C352" s="1" t="s">
        <v>29</v>
      </c>
      <c r="D352" s="1">
        <v>15.6</v>
      </c>
      <c r="E352" s="1">
        <v>437</v>
      </c>
      <c r="F352" s="1">
        <v>0</v>
      </c>
      <c r="G352" s="1">
        <v>0.39539755330874848</v>
      </c>
      <c r="H352" s="1">
        <v>1.8865138539042825</v>
      </c>
      <c r="I352" s="1">
        <v>407.04824979998784</v>
      </c>
      <c r="J352" s="1" t="s">
        <v>16</v>
      </c>
      <c r="K352" s="1">
        <f t="shared" si="15"/>
        <v>0.46758025520620655</v>
      </c>
      <c r="L352" s="1">
        <f t="shared" si="16"/>
        <v>0.95610458227648143</v>
      </c>
      <c r="M352" s="1">
        <f t="shared" si="17"/>
        <v>206.04495616052029</v>
      </c>
      <c r="N352" s="1">
        <f>SLOPE(K352:K355,F352:F355)</f>
        <v>1.1022872405220202E-3</v>
      </c>
      <c r="O352" s="1">
        <f>SLOPE(L352:L355,F352:F355)</f>
        <v>-4.3846960109170883E-4</v>
      </c>
      <c r="P352" s="1">
        <f>SLOPE(M352:M355,F352:F355)</f>
        <v>6.3078768608032405</v>
      </c>
      <c r="Q352" s="1">
        <f>(N352*84.63/0.31*60)/1000</f>
        <v>1.8055464999750689E-2</v>
      </c>
      <c r="R352" s="1">
        <f>O352*84.63/0.31*60/1000</f>
        <v>-7.1821320658821903E-3</v>
      </c>
      <c r="S352" s="1">
        <f>(P352*84.63/0.31*60)/1000</f>
        <v>103.32302297995706</v>
      </c>
    </row>
    <row r="353" spans="1:19" x14ac:dyDescent="0.3">
      <c r="A353" s="1">
        <v>351</v>
      </c>
      <c r="C353" s="1" t="s">
        <v>29</v>
      </c>
      <c r="D353" s="1">
        <v>15.6</v>
      </c>
      <c r="E353" s="1">
        <v>438</v>
      </c>
      <c r="F353" s="1">
        <v>15</v>
      </c>
      <c r="G353" s="1">
        <v>0.41104497874373935</v>
      </c>
      <c r="H353" s="1">
        <v>1.9056977329974814</v>
      </c>
      <c r="I353" s="1">
        <v>626.31951883858778</v>
      </c>
      <c r="J353" s="1" t="s">
        <v>16</v>
      </c>
      <c r="K353" s="1">
        <f t="shared" si="15"/>
        <v>0.48608423206946261</v>
      </c>
      <c r="L353" s="1">
        <f t="shared" si="16"/>
        <v>0.96582716908329735</v>
      </c>
      <c r="M353" s="1">
        <f t="shared" si="17"/>
        <v>317.03852765608633</v>
      </c>
    </row>
    <row r="354" spans="1:19" x14ac:dyDescent="0.3">
      <c r="A354" s="1">
        <v>352</v>
      </c>
      <c r="C354" s="1" t="s">
        <v>29</v>
      </c>
      <c r="D354" s="1">
        <v>15.6</v>
      </c>
      <c r="E354" s="1">
        <v>439</v>
      </c>
      <c r="F354" s="1">
        <v>30</v>
      </c>
      <c r="G354" s="1">
        <v>0.42617370499303997</v>
      </c>
      <c r="H354" s="1">
        <v>1.8605591939546602</v>
      </c>
      <c r="I354" s="1">
        <v>828.88267717624854</v>
      </c>
      <c r="J354" s="1" t="s">
        <v>16</v>
      </c>
      <c r="K354" s="1">
        <f t="shared" si="15"/>
        <v>0.50397481743448924</v>
      </c>
      <c r="L354" s="1">
        <f t="shared" si="16"/>
        <v>0.94295049424373001</v>
      </c>
      <c r="M354" s="1">
        <f t="shared" si="17"/>
        <v>419.57457123305358</v>
      </c>
    </row>
    <row r="355" spans="1:19" x14ac:dyDescent="0.3">
      <c r="A355" s="1">
        <v>353</v>
      </c>
      <c r="C355" s="1" t="s">
        <v>29</v>
      </c>
      <c r="D355" s="1">
        <v>15.6</v>
      </c>
      <c r="E355" s="1">
        <v>440</v>
      </c>
      <c r="F355" s="1">
        <v>45</v>
      </c>
      <c r="G355" s="1">
        <v>0.4369607269473032</v>
      </c>
      <c r="H355" s="1">
        <v>1.8583022670025191</v>
      </c>
      <c r="I355" s="1">
        <v>962.59759000420274</v>
      </c>
      <c r="J355" s="1" t="s">
        <v>16</v>
      </c>
      <c r="K355" s="1">
        <f t="shared" si="15"/>
        <v>0.51673108877729867</v>
      </c>
      <c r="L355" s="1">
        <f t="shared" si="16"/>
        <v>0.94180666050175177</v>
      </c>
      <c r="M355" s="1">
        <f t="shared" si="17"/>
        <v>487.26011800835988</v>
      </c>
    </row>
    <row r="356" spans="1:19" x14ac:dyDescent="0.3">
      <c r="A356" s="1">
        <v>354</v>
      </c>
      <c r="C356" s="1" t="s">
        <v>29</v>
      </c>
      <c r="D356" s="1">
        <v>15.6</v>
      </c>
      <c r="E356" s="1">
        <v>441</v>
      </c>
      <c r="F356" s="1">
        <v>0</v>
      </c>
      <c r="G356" s="1">
        <v>0.39479240425877643</v>
      </c>
      <c r="H356" s="1">
        <v>1.8876423173803529</v>
      </c>
      <c r="I356" s="1">
        <v>409.99887488003401</v>
      </c>
      <c r="J356" s="1" t="s">
        <v>16</v>
      </c>
      <c r="K356" s="1">
        <f t="shared" si="15"/>
        <v>0.46686463179160548</v>
      </c>
      <c r="L356" s="1">
        <f t="shared" si="16"/>
        <v>0.95667649914747055</v>
      </c>
      <c r="M356" s="1">
        <f t="shared" si="17"/>
        <v>207.5385417871947</v>
      </c>
      <c r="N356" s="1">
        <f>SLOPE(K356:K359,F356:F359)</f>
        <v>8.8854680795995514E-3</v>
      </c>
      <c r="O356" s="1">
        <f>SLOPE(L356:L359,F356:F359)</f>
        <v>-1.1857743125175742E-3</v>
      </c>
      <c r="P356" s="1">
        <f>SLOPE(M356:M359,F356:F359)</f>
        <v>23.61938831893227</v>
      </c>
      <c r="Q356" s="1">
        <f>(N356*84.63/0.31*60)/1000</f>
        <v>0.14554396714384063</v>
      </c>
      <c r="R356" s="1">
        <f>O356*84.63/0.31*60/1000</f>
        <v>-1.9422983239037864E-2</v>
      </c>
      <c r="S356" s="1">
        <f>(P356*84.63/0.31*60)/1000</f>
        <v>386.88558066411053</v>
      </c>
    </row>
    <row r="357" spans="1:19" x14ac:dyDescent="0.3">
      <c r="A357" s="1">
        <v>355</v>
      </c>
      <c r="C357" s="1" t="s">
        <v>29</v>
      </c>
      <c r="D357" s="1">
        <v>15.6</v>
      </c>
      <c r="E357" s="1">
        <v>442</v>
      </c>
      <c r="F357" s="1">
        <v>15</v>
      </c>
      <c r="G357" s="1">
        <v>0.50714841120358223</v>
      </c>
      <c r="H357" s="1">
        <v>1.8188060453400507</v>
      </c>
      <c r="I357" s="1">
        <v>1108.9350571971947</v>
      </c>
      <c r="J357" s="1" t="s">
        <v>16</v>
      </c>
      <c r="K357" s="1">
        <f t="shared" si="15"/>
        <v>0.59973204576920291</v>
      </c>
      <c r="L357" s="1">
        <f t="shared" si="16"/>
        <v>0.92178957001713058</v>
      </c>
      <c r="M357" s="1">
        <f t="shared" si="17"/>
        <v>561.33511287011777</v>
      </c>
    </row>
    <row r="358" spans="1:19" x14ac:dyDescent="0.3">
      <c r="A358" s="1">
        <v>356</v>
      </c>
      <c r="C358" s="1" t="s">
        <v>29</v>
      </c>
      <c r="D358" s="1">
        <v>15.6</v>
      </c>
      <c r="E358" s="1">
        <v>443</v>
      </c>
      <c r="F358" s="1">
        <v>30</v>
      </c>
      <c r="G358" s="1">
        <v>0.61641143411519772</v>
      </c>
      <c r="H358" s="1">
        <v>1.8300906801007559</v>
      </c>
      <c r="I358" s="1">
        <v>1797.7598554302081</v>
      </c>
      <c r="J358" s="1" t="s">
        <v>16</v>
      </c>
      <c r="K358" s="1">
        <f t="shared" si="15"/>
        <v>0.72894182896106163</v>
      </c>
      <c r="L358" s="1">
        <f t="shared" si="16"/>
        <v>0.92750873872702222</v>
      </c>
      <c r="M358" s="1">
        <f t="shared" si="17"/>
        <v>910.01337257014188</v>
      </c>
    </row>
    <row r="359" spans="1:19" x14ac:dyDescent="0.3">
      <c r="A359" s="1">
        <v>357</v>
      </c>
      <c r="C359" s="1" t="s">
        <v>29</v>
      </c>
      <c r="D359" s="1">
        <v>15.6</v>
      </c>
      <c r="E359" s="1">
        <v>444</v>
      </c>
      <c r="F359" s="1">
        <v>45</v>
      </c>
      <c r="G359" s="1">
        <v>0.73406009386213977</v>
      </c>
      <c r="H359" s="1">
        <v>1.7668967254408061</v>
      </c>
      <c r="I359" s="1">
        <v>2513.4325952991462</v>
      </c>
      <c r="J359" s="1" t="s">
        <v>16</v>
      </c>
      <c r="K359" s="1">
        <f t="shared" si="15"/>
        <v>0.86806810804096346</v>
      </c>
      <c r="L359" s="1">
        <f t="shared" si="16"/>
        <v>0.89548139395162796</v>
      </c>
      <c r="M359" s="1">
        <f t="shared" si="17"/>
        <v>1272.2818711671334</v>
      </c>
    </row>
    <row r="360" spans="1:19" x14ac:dyDescent="0.3">
      <c r="A360" s="1">
        <v>358</v>
      </c>
      <c r="C360" s="1" t="s">
        <v>29</v>
      </c>
      <c r="D360" s="1">
        <v>15.6</v>
      </c>
      <c r="E360" s="1">
        <v>445</v>
      </c>
      <c r="F360" s="1">
        <v>0</v>
      </c>
      <c r="G360" s="1">
        <v>0.39571453614444813</v>
      </c>
      <c r="H360" s="1">
        <v>1.8786146095717886</v>
      </c>
      <c r="I360" s="1">
        <v>412.71309682035564</v>
      </c>
      <c r="J360" s="1" t="s">
        <v>16</v>
      </c>
      <c r="K360" s="1">
        <f t="shared" si="15"/>
        <v>0.46795510556623571</v>
      </c>
      <c r="L360" s="1">
        <f t="shared" si="16"/>
        <v>0.95210116417955704</v>
      </c>
      <c r="M360" s="1">
        <f t="shared" si="17"/>
        <v>208.91246181013622</v>
      </c>
      <c r="N360" s="1">
        <f>SLOPE(K360:K363,F360:F363)</f>
        <v>7.8408093489729244E-4</v>
      </c>
      <c r="O360" s="1">
        <f>SLOPE(L360:L363,F360:F363)</f>
        <v>-3.2408622689387306E-4</v>
      </c>
      <c r="P360" s="1">
        <f>SLOPE(M360:M363,F360:F363)</f>
        <v>8.9348827840566223</v>
      </c>
      <c r="Q360" s="1">
        <f>(N360*84.63/0.31*60)/1000</f>
        <v>1.2843245713617647E-2</v>
      </c>
      <c r="R360" s="1">
        <f>O360*84.63/0.31*60/1000</f>
        <v>-5.3085323965216405E-3</v>
      </c>
      <c r="S360" s="1">
        <f>(P360*84.63/0.31*60)/1000</f>
        <v>146.35338000284747</v>
      </c>
    </row>
    <row r="361" spans="1:19" x14ac:dyDescent="0.3">
      <c r="A361" s="1">
        <v>359</v>
      </c>
      <c r="C361" s="1" t="s">
        <v>29</v>
      </c>
      <c r="D361" s="1">
        <v>15.6</v>
      </c>
      <c r="E361" s="1">
        <v>446</v>
      </c>
      <c r="F361" s="1">
        <v>15</v>
      </c>
      <c r="G361" s="1">
        <v>0.40454202784165905</v>
      </c>
      <c r="H361" s="1">
        <v>1.8865138539042825</v>
      </c>
      <c r="I361" s="1">
        <v>631.95297623044451</v>
      </c>
      <c r="J361" s="1" t="s">
        <v>16</v>
      </c>
      <c r="K361" s="1">
        <f t="shared" si="15"/>
        <v>0.47839412013795596</v>
      </c>
      <c r="L361" s="1">
        <f t="shared" si="16"/>
        <v>0.95610458227648143</v>
      </c>
      <c r="M361" s="1">
        <f t="shared" si="17"/>
        <v>319.89014409690782</v>
      </c>
    </row>
    <row r="362" spans="1:19" x14ac:dyDescent="0.3">
      <c r="A362" s="1">
        <v>360</v>
      </c>
      <c r="C362" s="1" t="s">
        <v>29</v>
      </c>
      <c r="D362" s="1">
        <v>15.6</v>
      </c>
      <c r="E362" s="1">
        <v>447</v>
      </c>
      <c r="F362" s="1">
        <v>30</v>
      </c>
      <c r="G362" s="1">
        <v>0.4110641898246909</v>
      </c>
      <c r="H362" s="1">
        <v>1.8921561712846351</v>
      </c>
      <c r="I362" s="1">
        <v>845.26708233316685</v>
      </c>
      <c r="J362" s="1" t="s">
        <v>16</v>
      </c>
      <c r="K362" s="1">
        <f t="shared" si="15"/>
        <v>0.4861069502731008</v>
      </c>
      <c r="L362" s="1">
        <f t="shared" si="16"/>
        <v>0.95896416663142725</v>
      </c>
      <c r="M362" s="1">
        <f t="shared" si="17"/>
        <v>427.86824168596007</v>
      </c>
    </row>
    <row r="363" spans="1:19" x14ac:dyDescent="0.3">
      <c r="A363" s="1">
        <v>361</v>
      </c>
      <c r="C363" s="1" t="s">
        <v>29</v>
      </c>
      <c r="D363" s="1">
        <v>15.6</v>
      </c>
      <c r="E363" s="1">
        <v>448</v>
      </c>
      <c r="F363" s="1">
        <v>45</v>
      </c>
      <c r="G363" s="1">
        <v>0.42669240417873033</v>
      </c>
      <c r="H363" s="1">
        <v>1.8447607052896726</v>
      </c>
      <c r="I363" s="1">
        <v>1224.1654025356579</v>
      </c>
      <c r="J363" s="1" t="s">
        <v>16</v>
      </c>
      <c r="K363" s="1">
        <f t="shared" si="15"/>
        <v>0.50458820893271872</v>
      </c>
      <c r="L363" s="1">
        <f t="shared" si="16"/>
        <v>0.93494365804988144</v>
      </c>
      <c r="M363" s="1">
        <f t="shared" si="17"/>
        <v>619.66390181661654</v>
      </c>
    </row>
    <row r="364" spans="1:19" x14ac:dyDescent="0.3">
      <c r="A364" s="1">
        <v>362</v>
      </c>
      <c r="C364" s="1" t="s">
        <v>29</v>
      </c>
      <c r="D364" s="1">
        <v>15.6</v>
      </c>
      <c r="E364" s="1">
        <v>449</v>
      </c>
      <c r="F364" s="1">
        <v>0</v>
      </c>
      <c r="G364" s="1">
        <v>0.39590664695396305</v>
      </c>
      <c r="H364" s="1">
        <v>1.8842569269521412</v>
      </c>
      <c r="I364" s="1">
        <v>438.27798739088826</v>
      </c>
      <c r="J364" s="1" t="s">
        <v>16</v>
      </c>
      <c r="K364" s="1">
        <f t="shared" si="15"/>
        <v>0.46818228760261704</v>
      </c>
      <c r="L364" s="1">
        <f t="shared" si="16"/>
        <v>0.95496074853450286</v>
      </c>
      <c r="M364" s="1">
        <f t="shared" si="17"/>
        <v>221.85322929763234</v>
      </c>
      <c r="N364" s="1">
        <f>SLOPE(K364:K367,F364:F367)</f>
        <v>5.5576298833409339E-4</v>
      </c>
      <c r="O364" s="1">
        <f>SLOPE(L364:L367,F364:F367)</f>
        <v>-6.2910855808810207E-4</v>
      </c>
      <c r="P364" s="1">
        <f>SLOPE(M364:M367,F364:F367)</f>
        <v>9.4172559912920413</v>
      </c>
      <c r="Q364" s="1">
        <f>(N364*84.63/0.31*60)/1000</f>
        <v>9.1033977489124503E-3</v>
      </c>
      <c r="R364" s="1">
        <f>O364*84.63/0.31*60/1000</f>
        <v>-1.0304798181483112E-2</v>
      </c>
      <c r="S364" s="1">
        <f>(P364*84.63/0.31*60)/1000</f>
        <v>154.25465313736365</v>
      </c>
    </row>
    <row r="365" spans="1:19" x14ac:dyDescent="0.3">
      <c r="A365" s="1">
        <v>363</v>
      </c>
      <c r="C365" s="1" t="s">
        <v>29</v>
      </c>
      <c r="D365" s="1">
        <v>15.6</v>
      </c>
      <c r="E365" s="1">
        <v>450</v>
      </c>
      <c r="F365" s="1">
        <v>15</v>
      </c>
      <c r="G365" s="1">
        <v>0.39893239220382321</v>
      </c>
      <c r="H365" s="1">
        <v>1.8977984886649877</v>
      </c>
      <c r="I365" s="1">
        <v>670.17377264630784</v>
      </c>
      <c r="J365" s="1" t="s">
        <v>16</v>
      </c>
      <c r="K365" s="1">
        <f t="shared" si="15"/>
        <v>0.47176040467562241</v>
      </c>
      <c r="L365" s="1">
        <f t="shared" si="16"/>
        <v>0.96182375098637318</v>
      </c>
      <c r="M365" s="1">
        <f t="shared" si="17"/>
        <v>339.23724195519952</v>
      </c>
    </row>
    <row r="366" spans="1:19" x14ac:dyDescent="0.3">
      <c r="A366" s="1">
        <v>364</v>
      </c>
      <c r="C366" s="1" t="s">
        <v>29</v>
      </c>
      <c r="D366" s="1">
        <v>15.6</v>
      </c>
      <c r="E366" s="1">
        <v>451</v>
      </c>
      <c r="F366" s="1">
        <v>30</v>
      </c>
      <c r="G366" s="1">
        <v>0.40686656863678966</v>
      </c>
      <c r="H366" s="1">
        <v>1.8605591939546602</v>
      </c>
      <c r="I366" s="1">
        <v>881.07676290901907</v>
      </c>
      <c r="J366" s="1" t="s">
        <v>16</v>
      </c>
      <c r="K366" s="1">
        <f t="shared" si="15"/>
        <v>0.48114302277816956</v>
      </c>
      <c r="L366" s="1">
        <f t="shared" si="16"/>
        <v>0.94295049424373001</v>
      </c>
      <c r="M366" s="1">
        <f t="shared" si="17"/>
        <v>445.99484969373123</v>
      </c>
    </row>
    <row r="367" spans="1:19" x14ac:dyDescent="0.3">
      <c r="A367" s="1">
        <v>365</v>
      </c>
      <c r="C367" s="1" t="s">
        <v>29</v>
      </c>
      <c r="D367" s="1">
        <v>15.6</v>
      </c>
      <c r="E367" s="1">
        <v>452</v>
      </c>
      <c r="F367" s="1">
        <v>45</v>
      </c>
      <c r="G367" s="1">
        <v>0.41676027532680848</v>
      </c>
      <c r="H367" s="1">
        <v>1.8346045340050379</v>
      </c>
      <c r="I367" s="1">
        <v>1298.1811656390091</v>
      </c>
      <c r="J367" s="1" t="s">
        <v>16</v>
      </c>
      <c r="K367" s="1">
        <f t="shared" si="15"/>
        <v>0.492842897651806</v>
      </c>
      <c r="L367" s="1">
        <f t="shared" si="16"/>
        <v>0.92979640621097881</v>
      </c>
      <c r="M367" s="1">
        <f t="shared" si="17"/>
        <v>657.1301596160572</v>
      </c>
    </row>
    <row r="368" spans="1:19" x14ac:dyDescent="0.3">
      <c r="A368" s="1">
        <v>366</v>
      </c>
      <c r="C368" s="1" t="s">
        <v>29</v>
      </c>
      <c r="D368" s="1">
        <v>15.6</v>
      </c>
      <c r="E368" s="1">
        <v>453</v>
      </c>
      <c r="F368" s="1">
        <v>0</v>
      </c>
      <c r="G368" s="1">
        <v>0.39487885412305823</v>
      </c>
      <c r="H368" s="1">
        <v>1.8662015113350128</v>
      </c>
      <c r="I368" s="1">
        <v>438.8685047772538</v>
      </c>
      <c r="J368" s="1" t="s">
        <v>16</v>
      </c>
      <c r="K368" s="1">
        <f t="shared" si="15"/>
        <v>0.46696686370797713</v>
      </c>
      <c r="L368" s="1">
        <f t="shared" si="16"/>
        <v>0.94581007859867605</v>
      </c>
      <c r="M368" s="1">
        <f t="shared" si="17"/>
        <v>222.15214503807712</v>
      </c>
      <c r="N368" s="1">
        <f>SLOPE(K368:K371,F368:F371)</f>
        <v>1.0494295533906375E-3</v>
      </c>
      <c r="O368" s="1">
        <f>SLOPE(L368:L371,F368:F371)</f>
        <v>-2.5926898151509283E-4</v>
      </c>
      <c r="P368" s="1">
        <f>SLOPE(M368:M371,F368:F371)</f>
        <v>7.6736205617192965</v>
      </c>
      <c r="Q368" s="1">
        <f>(N368*84.63/0.31*60)/1000</f>
        <v>1.7189656084538645E-2</v>
      </c>
      <c r="R368" s="1">
        <f>O368*84.63/0.31*60/1000</f>
        <v>-4.2468259172172207E-3</v>
      </c>
      <c r="S368" s="1">
        <f>(P368*84.63/0.31*60)/1000</f>
        <v>125.69390480096206</v>
      </c>
    </row>
    <row r="369" spans="1:19" x14ac:dyDescent="0.3">
      <c r="A369" s="1">
        <v>367</v>
      </c>
      <c r="C369" s="1" t="s">
        <v>29</v>
      </c>
      <c r="D369" s="1">
        <v>15.6</v>
      </c>
      <c r="E369" s="1">
        <v>454</v>
      </c>
      <c r="F369" s="1">
        <v>15</v>
      </c>
      <c r="G369" s="1">
        <v>0.40697222958202289</v>
      </c>
      <c r="H369" s="1">
        <v>1.8910277078085642</v>
      </c>
      <c r="I369" s="1">
        <v>636.57607995459921</v>
      </c>
      <c r="J369" s="1" t="s">
        <v>16</v>
      </c>
      <c r="K369" s="1">
        <f t="shared" si="15"/>
        <v>0.4812679728981793</v>
      </c>
      <c r="L369" s="1">
        <f t="shared" si="16"/>
        <v>0.95839224976043791</v>
      </c>
      <c r="M369" s="1">
        <f t="shared" si="17"/>
        <v>322.23032662965932</v>
      </c>
    </row>
    <row r="370" spans="1:19" x14ac:dyDescent="0.3">
      <c r="A370" s="1">
        <v>368</v>
      </c>
      <c r="C370" s="1" t="s">
        <v>29</v>
      </c>
      <c r="D370" s="1">
        <v>15.6</v>
      </c>
      <c r="E370" s="1">
        <v>455</v>
      </c>
      <c r="F370" s="1">
        <v>30</v>
      </c>
      <c r="G370" s="1">
        <v>0.42291742677176197</v>
      </c>
      <c r="H370" s="1">
        <v>1.8346045340050379</v>
      </c>
      <c r="I370" s="1">
        <v>867.6302307955641</v>
      </c>
      <c r="J370" s="1" t="s">
        <v>16</v>
      </c>
      <c r="K370" s="1">
        <f t="shared" si="15"/>
        <v>0.50012408191782642</v>
      </c>
      <c r="L370" s="1">
        <f t="shared" si="16"/>
        <v>0.92979640621097881</v>
      </c>
      <c r="M370" s="1">
        <f t="shared" si="17"/>
        <v>439.18830987642644</v>
      </c>
    </row>
    <row r="371" spans="1:19" x14ac:dyDescent="0.3">
      <c r="A371" s="1">
        <v>369</v>
      </c>
      <c r="C371" s="1" t="s">
        <v>29</v>
      </c>
      <c r="D371" s="1">
        <v>15.6</v>
      </c>
      <c r="E371" s="1">
        <v>456</v>
      </c>
      <c r="F371" s="1">
        <v>45</v>
      </c>
      <c r="G371" s="1">
        <v>0.4339349816974431</v>
      </c>
      <c r="H371" s="1">
        <v>1.8594307304785898</v>
      </c>
      <c r="I371" s="1">
        <v>1119.8243155128835</v>
      </c>
      <c r="J371" s="1" t="s">
        <v>16</v>
      </c>
      <c r="K371" s="1">
        <f t="shared" si="15"/>
        <v>0.5131529717042933</v>
      </c>
      <c r="L371" s="1">
        <f t="shared" si="16"/>
        <v>0.94237857737274111</v>
      </c>
      <c r="M371" s="1">
        <f t="shared" si="17"/>
        <v>566.84717870845293</v>
      </c>
    </row>
    <row r="372" spans="1:19" x14ac:dyDescent="0.3">
      <c r="A372" s="1">
        <v>370</v>
      </c>
      <c r="C372" s="1" t="s">
        <v>29</v>
      </c>
      <c r="D372" s="1">
        <v>15.6</v>
      </c>
      <c r="E372" s="1">
        <v>457</v>
      </c>
      <c r="F372" s="1">
        <v>0</v>
      </c>
      <c r="G372" s="1">
        <v>0.39486924858258243</v>
      </c>
      <c r="H372" s="1">
        <v>1.8718438287153654</v>
      </c>
      <c r="I372" s="1">
        <v>403.04116753536408</v>
      </c>
      <c r="J372" s="1" t="s">
        <v>16</v>
      </c>
      <c r="K372" s="1">
        <f t="shared" si="15"/>
        <v>0.46695550460615803</v>
      </c>
      <c r="L372" s="1">
        <f t="shared" si="16"/>
        <v>0.94866966295362198</v>
      </c>
      <c r="M372" s="1">
        <f t="shared" si="17"/>
        <v>204.01659935035906</v>
      </c>
      <c r="N372" s="1">
        <f>SLOPE(K372:K375,F372:F375)</f>
        <v>1.1321995419788871E-3</v>
      </c>
      <c r="O372" s="1">
        <f>SLOPE(L372:L375,F372:F375)</f>
        <v>-1.9063895699640289E-5</v>
      </c>
      <c r="P372" s="1">
        <f>SLOPE(M372:M375,F372:F375)</f>
        <v>7.845578213644953</v>
      </c>
      <c r="Q372" s="1">
        <f>(N372*84.63/0.31*60)/1000</f>
        <v>1.8545428497614168E-2</v>
      </c>
      <c r="R372" s="1">
        <f>O372*84.63/0.31*60/1000</f>
        <v>-3.122666115601079E-4</v>
      </c>
      <c r="S372" s="1">
        <f>(P372*84.63/0.31*60)/1000</f>
        <v>128.51057113950429</v>
      </c>
    </row>
    <row r="373" spans="1:19" x14ac:dyDescent="0.3">
      <c r="A373" s="1">
        <v>371</v>
      </c>
      <c r="C373" s="1" t="s">
        <v>29</v>
      </c>
      <c r="D373" s="1">
        <v>15.6</v>
      </c>
      <c r="E373" s="1">
        <v>458</v>
      </c>
      <c r="F373" s="1">
        <v>15</v>
      </c>
      <c r="G373" s="1">
        <v>0.40937361470095951</v>
      </c>
      <c r="H373" s="1">
        <v>1.8492745591939548</v>
      </c>
      <c r="I373" s="1">
        <v>659.57977302380186</v>
      </c>
      <c r="J373" s="1" t="s">
        <v>16</v>
      </c>
      <c r="K373" s="1">
        <f t="shared" si="15"/>
        <v>0.48410774835294546</v>
      </c>
      <c r="L373" s="1">
        <f t="shared" si="16"/>
        <v>0.93723132553383826</v>
      </c>
      <c r="M373" s="1">
        <f t="shared" si="17"/>
        <v>333.87463398708667</v>
      </c>
    </row>
    <row r="374" spans="1:19" x14ac:dyDescent="0.3">
      <c r="A374" s="1">
        <v>372</v>
      </c>
      <c r="C374" s="1" t="s">
        <v>29</v>
      </c>
      <c r="D374" s="1">
        <v>15.6</v>
      </c>
      <c r="E374" s="1">
        <v>459</v>
      </c>
      <c r="F374" s="1">
        <v>30</v>
      </c>
      <c r="G374" s="1">
        <v>0.42138054029564254</v>
      </c>
      <c r="H374" s="1">
        <v>1.8605591939546602</v>
      </c>
      <c r="I374" s="1">
        <v>838.79591423041938</v>
      </c>
      <c r="J374" s="1" t="s">
        <v>16</v>
      </c>
      <c r="K374" s="1">
        <f t="shared" si="15"/>
        <v>0.49830662562677608</v>
      </c>
      <c r="L374" s="1">
        <f t="shared" si="16"/>
        <v>0.94295049424373001</v>
      </c>
      <c r="M374" s="1">
        <f t="shared" si="17"/>
        <v>424.59258198543773</v>
      </c>
    </row>
    <row r="375" spans="1:19" x14ac:dyDescent="0.3">
      <c r="A375" s="1">
        <v>373</v>
      </c>
      <c r="C375" s="1" t="s">
        <v>29</v>
      </c>
      <c r="D375" s="1">
        <v>15.6</v>
      </c>
      <c r="E375" s="1">
        <v>460</v>
      </c>
      <c r="F375" s="1">
        <v>45</v>
      </c>
      <c r="G375" s="1">
        <v>0.43873775193531628</v>
      </c>
      <c r="H375" s="1">
        <v>1.8662015113350128</v>
      </c>
      <c r="I375" s="1">
        <v>1118.2617005685638</v>
      </c>
      <c r="J375" s="1" t="s">
        <v>16</v>
      </c>
      <c r="K375" s="1">
        <f t="shared" si="15"/>
        <v>0.51883252261382551</v>
      </c>
      <c r="L375" s="1">
        <f t="shared" si="16"/>
        <v>0.94581007859867605</v>
      </c>
      <c r="M375" s="1">
        <f t="shared" si="17"/>
        <v>566.05619403315632</v>
      </c>
    </row>
    <row r="376" spans="1:19" x14ac:dyDescent="0.3">
      <c r="A376" s="1">
        <v>374</v>
      </c>
      <c r="C376" s="1" t="s">
        <v>29</v>
      </c>
      <c r="D376" s="1">
        <v>15.6</v>
      </c>
      <c r="E376" s="1">
        <v>461</v>
      </c>
      <c r="F376" s="1">
        <v>0</v>
      </c>
      <c r="G376" s="1">
        <v>0.39364934494216264</v>
      </c>
      <c r="H376" s="1">
        <v>1.8842569269521412</v>
      </c>
      <c r="I376" s="1">
        <v>405.59746040723911</v>
      </c>
      <c r="J376" s="1" t="s">
        <v>129</v>
      </c>
      <c r="K376" s="1">
        <f t="shared" si="15"/>
        <v>0.46551289867513684</v>
      </c>
      <c r="L376" s="1">
        <f t="shared" si="16"/>
        <v>0.95496074853450286</v>
      </c>
      <c r="M376" s="1">
        <f t="shared" si="17"/>
        <v>205.3105767915537</v>
      </c>
      <c r="N376" s="1">
        <f>SLOPE(K376:K379,F376:F379)</f>
        <v>2.1127929383459791E-4</v>
      </c>
      <c r="O376" s="1">
        <f>SLOPE(L376:L379,F376:F379)</f>
        <v>-4.1940570539208043E-5</v>
      </c>
      <c r="P376" s="1">
        <f>SLOPE(M376:M379,F376:F379)</f>
        <v>2.3364088456628114</v>
      </c>
      <c r="Q376" s="1">
        <f>(N376*84.63/0.31*60)/1000</f>
        <v>3.4607548330107133E-3</v>
      </c>
      <c r="R376" s="1">
        <f>O376*84.63/0.31*60/1000</f>
        <v>-6.869865454322277E-4</v>
      </c>
      <c r="S376" s="1">
        <f>(P376*84.63/0.31*60)/1000</f>
        <v>38.270376891956843</v>
      </c>
    </row>
    <row r="377" spans="1:19" x14ac:dyDescent="0.3">
      <c r="A377" s="1">
        <v>375</v>
      </c>
      <c r="C377" s="1" t="s">
        <v>29</v>
      </c>
      <c r="D377" s="1">
        <v>15.6</v>
      </c>
      <c r="E377" s="1">
        <v>462</v>
      </c>
      <c r="F377" s="1">
        <v>15</v>
      </c>
      <c r="G377" s="1">
        <v>0.39919174179666833</v>
      </c>
      <c r="H377" s="1">
        <v>1.8616876574307306</v>
      </c>
      <c r="I377" s="1">
        <v>543.26256179814084</v>
      </c>
      <c r="J377" s="1" t="s">
        <v>129</v>
      </c>
      <c r="K377" s="1">
        <f t="shared" si="15"/>
        <v>0.4720671004247371</v>
      </c>
      <c r="L377" s="1">
        <f t="shared" si="16"/>
        <v>0.94352241111471935</v>
      </c>
      <c r="M377" s="1">
        <f t="shared" si="17"/>
        <v>274.99568118608141</v>
      </c>
    </row>
    <row r="378" spans="1:19" x14ac:dyDescent="0.3">
      <c r="A378" s="1">
        <v>376</v>
      </c>
      <c r="C378" s="1" t="s">
        <v>29</v>
      </c>
      <c r="D378" s="1">
        <v>15.6</v>
      </c>
      <c r="E378" s="1">
        <v>463</v>
      </c>
      <c r="F378" s="1">
        <v>30</v>
      </c>
      <c r="G378" s="1">
        <v>0.402044587317965</v>
      </c>
      <c r="H378" s="1">
        <v>1.8831284634760708</v>
      </c>
      <c r="I378" s="1">
        <v>610.70514050608324</v>
      </c>
      <c r="J378" s="1" t="s">
        <v>129</v>
      </c>
      <c r="K378" s="1">
        <f t="shared" si="15"/>
        <v>0.47544075366499922</v>
      </c>
      <c r="L378" s="1">
        <f t="shared" si="16"/>
        <v>0.95438883166351374</v>
      </c>
      <c r="M378" s="1">
        <f t="shared" si="17"/>
        <v>309.13463935641778</v>
      </c>
    </row>
    <row r="379" spans="1:19" x14ac:dyDescent="0.3">
      <c r="A379" s="1">
        <v>377</v>
      </c>
      <c r="C379" s="1" t="s">
        <v>29</v>
      </c>
      <c r="D379" s="1">
        <v>15.6</v>
      </c>
      <c r="E379" s="1">
        <v>464</v>
      </c>
      <c r="F379" s="1">
        <v>45</v>
      </c>
      <c r="G379" s="1">
        <v>0.40163154907750787</v>
      </c>
      <c r="H379" s="1">
        <v>1.8729722921914358</v>
      </c>
      <c r="I379" s="1">
        <v>613.89903520709049</v>
      </c>
      <c r="J379" s="1" t="s">
        <v>129</v>
      </c>
      <c r="K379" s="1">
        <f t="shared" si="15"/>
        <v>0.47495231228677937</v>
      </c>
      <c r="L379" s="1">
        <f t="shared" si="16"/>
        <v>0.94924157982461099</v>
      </c>
      <c r="M379" s="1">
        <f t="shared" si="17"/>
        <v>310.75136635124881</v>
      </c>
    </row>
    <row r="380" spans="1:19" x14ac:dyDescent="0.3">
      <c r="A380" s="1">
        <v>378</v>
      </c>
      <c r="C380" s="1" t="s">
        <v>29</v>
      </c>
      <c r="D380" s="1">
        <v>15.6</v>
      </c>
      <c r="E380" s="1" t="s">
        <v>155</v>
      </c>
      <c r="G380" s="1">
        <v>0.39630047411346858</v>
      </c>
      <c r="H380" s="1">
        <v>1.8865138539042825</v>
      </c>
      <c r="I380" s="1">
        <v>403.51495474070396</v>
      </c>
      <c r="J380"/>
      <c r="K380" s="1">
        <f t="shared" si="15"/>
        <v>0.46864801077719859</v>
      </c>
      <c r="L380" s="1">
        <f t="shared" si="16"/>
        <v>0.95610458227648143</v>
      </c>
      <c r="M380" s="1">
        <f t="shared" si="17"/>
        <v>204.25642709559966</v>
      </c>
    </row>
    <row r="381" spans="1:19" x14ac:dyDescent="0.3">
      <c r="A381" s="1">
        <v>379</v>
      </c>
      <c r="C381" s="1" t="s">
        <v>29</v>
      </c>
      <c r="D381" s="1">
        <v>15.6</v>
      </c>
      <c r="E381" s="1" t="s">
        <v>156</v>
      </c>
      <c r="G381" s="1">
        <v>0.39273681859696674</v>
      </c>
      <c r="H381" s="1">
        <v>1.8910277078085642</v>
      </c>
      <c r="I381" s="1">
        <v>400.30634615133198</v>
      </c>
      <c r="J381"/>
      <c r="K381" s="1">
        <f t="shared" si="15"/>
        <v>0.46443378400232571</v>
      </c>
      <c r="L381" s="1">
        <f t="shared" si="16"/>
        <v>0.95839224976043791</v>
      </c>
      <c r="M381" s="1">
        <f t="shared" si="17"/>
        <v>202.63225203414623</v>
      </c>
    </row>
    <row r="382" spans="1:19" x14ac:dyDescent="0.3">
      <c r="A382" s="1">
        <v>380</v>
      </c>
      <c r="C382" s="1" t="s">
        <v>29</v>
      </c>
      <c r="D382" s="1">
        <v>15.6</v>
      </c>
      <c r="E382" s="1" t="s">
        <v>157</v>
      </c>
      <c r="G382" s="1">
        <v>0.39479240425877643</v>
      </c>
      <c r="H382" s="1">
        <v>1.8831284634760708</v>
      </c>
      <c r="I382" s="1">
        <v>409.77031914743731</v>
      </c>
      <c r="J382"/>
      <c r="K382" s="1">
        <f t="shared" si="15"/>
        <v>0.46686463179160548</v>
      </c>
      <c r="L382" s="1">
        <f t="shared" si="16"/>
        <v>0.95438883166351374</v>
      </c>
      <c r="M382" s="1">
        <f t="shared" si="17"/>
        <v>207.42284848566041</v>
      </c>
    </row>
  </sheetData>
  <autoFilter ref="A2:S382" xr:uid="{C52614A2-A971-4C04-A3E1-4E1A2649692E}"/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6653-81D0-445B-B304-8EA5BBFE2B5E}">
  <dimension ref="A2:S350"/>
  <sheetViews>
    <sheetView workbookViewId="0"/>
  </sheetViews>
  <sheetFormatPr defaultColWidth="11.5546875" defaultRowHeight="14.4" x14ac:dyDescent="0.3"/>
  <cols>
    <col min="1" max="1" width="11.5546875" style="1" customWidth="1"/>
    <col min="2" max="2" width="18.5546875" style="1" customWidth="1"/>
    <col min="3" max="3" width="17.88671875" style="1" customWidth="1"/>
    <col min="4" max="5" width="11.5546875" style="1" customWidth="1"/>
    <col min="6" max="6" width="21.44140625" style="1" customWidth="1"/>
    <col min="7" max="9" width="11.5546875" style="1" customWidth="1"/>
    <col min="10" max="10" width="20.109375" style="1" customWidth="1"/>
    <col min="11" max="11" width="18.88671875" style="1" customWidth="1"/>
    <col min="12" max="13" width="13.109375" style="1" customWidth="1"/>
    <col min="14" max="14" width="21.88671875" style="1" customWidth="1"/>
    <col min="15" max="16" width="18.5546875" style="1" customWidth="1"/>
    <col min="17" max="17" width="17.44140625" style="1" customWidth="1"/>
    <col min="18" max="18" width="16.109375" style="1" customWidth="1"/>
    <col min="19" max="19" width="17.88671875" style="1" customWidth="1"/>
    <col min="20" max="20" width="11.5546875" style="1" customWidth="1"/>
    <col min="21" max="16384" width="11.5546875" style="1"/>
  </cols>
  <sheetData>
    <row r="2" spans="1:19" ht="16.8" x14ac:dyDescent="0.35">
      <c r="D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</row>
    <row r="3" spans="1:19" x14ac:dyDescent="0.3">
      <c r="A3" s="1">
        <v>1</v>
      </c>
      <c r="B3" s="1" t="s">
        <v>52</v>
      </c>
      <c r="C3" s="1" t="s">
        <v>15</v>
      </c>
      <c r="D3" s="1">
        <v>25.4</v>
      </c>
      <c r="E3" s="1">
        <v>0</v>
      </c>
      <c r="F3" s="1">
        <v>165</v>
      </c>
      <c r="G3" s="1">
        <v>0.42486741006983897</v>
      </c>
      <c r="H3" s="1">
        <v>2.0024566301269671</v>
      </c>
      <c r="I3" s="1">
        <v>597.74372953864565</v>
      </c>
      <c r="J3" s="1" t="s">
        <v>129</v>
      </c>
      <c r="K3" s="1">
        <f t="shared" ref="K3:K66" si="0">(G3*28*1)/(0.082*(D3+273.15))</f>
        <v>0.48593762052993911</v>
      </c>
      <c r="L3" s="1">
        <f t="shared" ref="L3:L66" si="1">(H3*12*1)/(0.082*(D3+273.15))</f>
        <v>0.98155228161821184</v>
      </c>
      <c r="M3" s="1">
        <f t="shared" ref="M3:M66" si="2">(I3*12*1)/(0.0821*(D3+273.15))</f>
        <v>292.64158636265898</v>
      </c>
      <c r="N3" s="1">
        <f>SLOPE(K3:K6,E3:E6)</f>
        <v>4.8218629040768209E-3</v>
      </c>
      <c r="O3" s="1">
        <f>SLOPE(L3:L6,E3:E6)</f>
        <v>-8.7350662936220408E-4</v>
      </c>
      <c r="P3" s="1">
        <f>SLOPE(M3:M6,E3:E6)</f>
        <v>20.539303481902728</v>
      </c>
      <c r="Q3" s="1">
        <f>(N3*41.35/0.31*60)/1000</f>
        <v>3.8590457629079332E-2</v>
      </c>
      <c r="R3" s="1">
        <f>O3*41.35/0.31*60/1000</f>
        <v>-6.9908707982181554E-3</v>
      </c>
      <c r="S3" s="1">
        <f>(P3*41.35/0.31*60)/1000</f>
        <v>164.38068367290538</v>
      </c>
    </row>
    <row r="4" spans="1:19" x14ac:dyDescent="0.3">
      <c r="A4" s="1">
        <v>2</v>
      </c>
      <c r="B4" s="1" t="s">
        <v>164</v>
      </c>
      <c r="C4" s="1" t="s">
        <v>15</v>
      </c>
      <c r="D4" s="1">
        <v>25.4</v>
      </c>
      <c r="E4" s="1">
        <v>15</v>
      </c>
      <c r="F4" s="1">
        <v>166</v>
      </c>
      <c r="G4" s="1">
        <v>0.73248685759068977</v>
      </c>
      <c r="H4" s="1">
        <v>1.9111162146874336</v>
      </c>
      <c r="I4" s="1">
        <v>1899.8750972709729</v>
      </c>
      <c r="J4" s="1" t="s">
        <v>129</v>
      </c>
      <c r="K4" s="1">
        <f t="shared" si="0"/>
        <v>0.83777412013918151</v>
      </c>
      <c r="L4" s="1">
        <f t="shared" si="1"/>
        <v>0.936779580012712</v>
      </c>
      <c r="M4" s="1">
        <f t="shared" si="2"/>
        <v>930.13516475599067</v>
      </c>
    </row>
    <row r="5" spans="1:19" x14ac:dyDescent="0.3">
      <c r="A5" s="1">
        <v>3</v>
      </c>
      <c r="C5" s="1" t="s">
        <v>15</v>
      </c>
      <c r="D5" s="1">
        <v>25.4</v>
      </c>
      <c r="E5" s="1">
        <v>30</v>
      </c>
      <c r="F5" s="1">
        <v>167</v>
      </c>
      <c r="G5" s="1">
        <v>0.59801340796757707</v>
      </c>
      <c r="H5" s="1">
        <v>1.9420107669684521</v>
      </c>
      <c r="I5" s="1">
        <v>2008.5168347840065</v>
      </c>
      <c r="J5" s="1" t="s">
        <v>129</v>
      </c>
      <c r="K5" s="1">
        <f t="shared" si="0"/>
        <v>0.68397153000037414</v>
      </c>
      <c r="L5" s="1">
        <f t="shared" si="1"/>
        <v>0.95192328790868985</v>
      </c>
      <c r="M5" s="1">
        <f t="shared" si="2"/>
        <v>983.32366149781103</v>
      </c>
    </row>
    <row r="6" spans="1:19" x14ac:dyDescent="0.3">
      <c r="A6" s="1">
        <v>4</v>
      </c>
      <c r="C6" s="1" t="s">
        <v>15</v>
      </c>
      <c r="D6" s="1">
        <v>25.4</v>
      </c>
      <c r="E6" s="1">
        <v>45</v>
      </c>
      <c r="F6" s="1">
        <v>168</v>
      </c>
      <c r="G6" s="1">
        <v>0.68048565745789158</v>
      </c>
      <c r="H6" s="1">
        <v>1.903056766266298</v>
      </c>
      <c r="I6" s="1">
        <v>2659.1879144353888</v>
      </c>
      <c r="J6" s="1" t="s">
        <v>129</v>
      </c>
      <c r="K6" s="1">
        <f t="shared" si="0"/>
        <v>0.77829829578004928</v>
      </c>
      <c r="L6" s="1">
        <f t="shared" si="1"/>
        <v>0.93282904751810902</v>
      </c>
      <c r="M6" s="1">
        <f t="shared" si="2"/>
        <v>1301.8772615438552</v>
      </c>
    </row>
    <row r="7" spans="1:19" x14ac:dyDescent="0.3">
      <c r="A7" s="1">
        <v>5</v>
      </c>
      <c r="C7" s="1" t="s">
        <v>15</v>
      </c>
      <c r="D7" s="1">
        <v>25.4</v>
      </c>
      <c r="E7" s="1">
        <v>0</v>
      </c>
      <c r="F7" s="1">
        <v>169</v>
      </c>
      <c r="G7" s="1">
        <v>0.70177258465911929</v>
      </c>
      <c r="H7" s="1">
        <v>1.8238055234584678</v>
      </c>
      <c r="I7" s="1">
        <v>461.59485193159969</v>
      </c>
      <c r="J7" s="1" t="s">
        <v>16</v>
      </c>
      <c r="K7" s="1">
        <f t="shared" si="0"/>
        <v>0.80264499432032632</v>
      </c>
      <c r="L7" s="1">
        <f t="shared" si="1"/>
        <v>0.89398214465451376</v>
      </c>
      <c r="M7" s="1">
        <f t="shared" si="2"/>
        <v>225.98622628857979</v>
      </c>
      <c r="N7" s="1">
        <f>SLOPE(K7:K10,E7:E10)</f>
        <v>6.3469217033782374E-2</v>
      </c>
      <c r="O7" s="1">
        <f>SLOPE(L7:L10,E7:E10)</f>
        <v>2.3703194967617344E-4</v>
      </c>
      <c r="P7" s="1">
        <f>SLOPE(M7:M10,E7:E10)</f>
        <v>2.6567047986516488</v>
      </c>
      <c r="Q7" s="1">
        <f>(N7*41.35/0.31*60)/1000</f>
        <v>0.50795847568004537</v>
      </c>
      <c r="R7" s="1">
        <f>O7*41.35/0.31*60/1000</f>
        <v>1.8970202166018915E-3</v>
      </c>
      <c r="S7" s="1">
        <f>(P7*41.35/0.31*60)/1000</f>
        <v>21.262208404692711</v>
      </c>
    </row>
    <row r="8" spans="1:19" x14ac:dyDescent="0.3">
      <c r="A8" s="1">
        <v>6</v>
      </c>
      <c r="C8" s="1" t="s">
        <v>15</v>
      </c>
      <c r="D8" s="1">
        <v>25.4</v>
      </c>
      <c r="E8" s="1">
        <v>15</v>
      </c>
      <c r="F8" s="1">
        <v>170</v>
      </c>
      <c r="G8" s="1">
        <v>1.202161308032405</v>
      </c>
      <c r="H8" s="1">
        <v>1.9299215943367491</v>
      </c>
      <c r="I8" s="1">
        <v>558.11851736958124</v>
      </c>
      <c r="J8" s="1" t="s">
        <v>16</v>
      </c>
      <c r="K8" s="1">
        <f t="shared" si="0"/>
        <v>1.3749593206558259</v>
      </c>
      <c r="L8" s="1">
        <f t="shared" si="1"/>
        <v>0.9459974891667855</v>
      </c>
      <c r="M8" s="1">
        <f t="shared" si="2"/>
        <v>273.2419935671611</v>
      </c>
    </row>
    <row r="9" spans="1:19" x14ac:dyDescent="0.3">
      <c r="A9" s="1">
        <v>7</v>
      </c>
      <c r="C9" s="1" t="s">
        <v>15</v>
      </c>
      <c r="D9" s="1">
        <v>25.4</v>
      </c>
      <c r="E9" s="1">
        <v>30</v>
      </c>
      <c r="F9" s="1">
        <v>171</v>
      </c>
      <c r="G9" s="1">
        <v>1.4508914638032409</v>
      </c>
      <c r="H9" s="1">
        <v>1.8493271101253961</v>
      </c>
      <c r="I9" s="1">
        <v>555.36869680368511</v>
      </c>
      <c r="J9" s="1" t="s">
        <v>16</v>
      </c>
      <c r="K9" s="1">
        <f t="shared" si="0"/>
        <v>1.6594418137457363</v>
      </c>
      <c r="L9" s="1">
        <f t="shared" si="1"/>
        <v>0.90649216422075629</v>
      </c>
      <c r="M9" s="1">
        <f t="shared" si="2"/>
        <v>271.89574464333282</v>
      </c>
    </row>
    <row r="10" spans="1:19" x14ac:dyDescent="0.3">
      <c r="A10" s="1">
        <v>8</v>
      </c>
      <c r="C10" s="1" t="s">
        <v>15</v>
      </c>
      <c r="D10" s="1">
        <v>25.4</v>
      </c>
      <c r="E10" s="1">
        <v>45</v>
      </c>
      <c r="F10" s="1">
        <v>172</v>
      </c>
      <c r="G10" s="1">
        <v>3.3934986918885959</v>
      </c>
      <c r="H10" s="1">
        <v>1.8748486967923246</v>
      </c>
      <c r="I10" s="1">
        <v>733.83800782037588</v>
      </c>
      <c r="J10" s="1" t="s">
        <v>16</v>
      </c>
      <c r="K10" s="1">
        <f t="shared" si="0"/>
        <v>3.8812783483128084</v>
      </c>
      <c r="L10" s="1">
        <f t="shared" si="1"/>
        <v>0.91900218378699883</v>
      </c>
      <c r="M10" s="1">
        <f t="shared" si="2"/>
        <v>359.27021586243831</v>
      </c>
    </row>
    <row r="11" spans="1:19" x14ac:dyDescent="0.3">
      <c r="A11" s="1">
        <v>9</v>
      </c>
      <c r="C11" s="1" t="s">
        <v>15</v>
      </c>
      <c r="D11" s="1">
        <v>25.4</v>
      </c>
      <c r="E11" s="1">
        <v>0</v>
      </c>
      <c r="F11" s="1">
        <v>173</v>
      </c>
      <c r="G11" s="1">
        <v>0.87900473860096884</v>
      </c>
      <c r="H11" s="1">
        <v>1.8399244203007383</v>
      </c>
      <c r="I11" s="1">
        <v>473.87771469760418</v>
      </c>
      <c r="J11" s="1" t="s">
        <v>16</v>
      </c>
      <c r="K11" s="1">
        <f t="shared" si="0"/>
        <v>1.0053524016824051</v>
      </c>
      <c r="L11" s="1">
        <f t="shared" si="1"/>
        <v>0.9018832096437196</v>
      </c>
      <c r="M11" s="1">
        <f t="shared" si="2"/>
        <v>231.99963348516002</v>
      </c>
      <c r="N11" s="1">
        <f>SLOPE(K11:K14,E11:E14)</f>
        <v>5.0657601480156474E-2</v>
      </c>
      <c r="O11" s="1">
        <f>SLOPE(L11:L14,E11:E14)</f>
        <v>3.9944273000985054E-4</v>
      </c>
      <c r="P11" s="1">
        <f>SLOPE(M11:M14,E11:E14)</f>
        <v>1.9032168901485544</v>
      </c>
      <c r="Q11" s="1">
        <f>(N11*41.35/0.31*60)/1000</f>
        <v>0.4054242234589297</v>
      </c>
      <c r="R11" s="1">
        <f>O11*41.35/0.31*60/1000</f>
        <v>3.1968303650143194E-3</v>
      </c>
      <c r="S11" s="1">
        <f>(P11*41.35/0.31*60)/1000</f>
        <v>15.231874530511497</v>
      </c>
    </row>
    <row r="12" spans="1:19" x14ac:dyDescent="0.3">
      <c r="A12" s="1">
        <v>10</v>
      </c>
      <c r="C12" s="1" t="s">
        <v>15</v>
      </c>
      <c r="D12" s="1">
        <v>25.4</v>
      </c>
      <c r="E12" s="1">
        <v>15</v>
      </c>
      <c r="F12" s="1">
        <v>174</v>
      </c>
      <c r="G12" s="1">
        <v>2.3883432208090483</v>
      </c>
      <c r="H12" s="1">
        <v>1.8238055234584678</v>
      </c>
      <c r="I12" s="1">
        <v>629.60392493282211</v>
      </c>
      <c r="J12" s="1" t="s">
        <v>16</v>
      </c>
      <c r="K12" s="1">
        <f t="shared" si="0"/>
        <v>2.7316423764721911</v>
      </c>
      <c r="L12" s="1">
        <f t="shared" si="1"/>
        <v>0.89398214465451376</v>
      </c>
      <c r="M12" s="1">
        <f t="shared" si="2"/>
        <v>308.23960548227785</v>
      </c>
    </row>
    <row r="13" spans="1:19" x14ac:dyDescent="0.3">
      <c r="A13" s="1">
        <v>11</v>
      </c>
      <c r="C13" s="1" t="s">
        <v>15</v>
      </c>
      <c r="D13" s="1">
        <v>25.4</v>
      </c>
      <c r="E13" s="1">
        <v>30</v>
      </c>
      <c r="F13" s="1">
        <v>175</v>
      </c>
      <c r="G13" s="1">
        <v>2.7068007107897563</v>
      </c>
      <c r="H13" s="1">
        <v>1.8493271101253961</v>
      </c>
      <c r="I13" s="1">
        <v>589.78910419766169</v>
      </c>
      <c r="J13" s="1" t="s">
        <v>16</v>
      </c>
      <c r="K13" s="1">
        <f t="shared" si="0"/>
        <v>3.0958747728702214</v>
      </c>
      <c r="L13" s="1">
        <f t="shared" si="1"/>
        <v>0.90649216422075629</v>
      </c>
      <c r="M13" s="1">
        <f t="shared" si="2"/>
        <v>288.74718469239326</v>
      </c>
    </row>
    <row r="14" spans="1:19" x14ac:dyDescent="0.3">
      <c r="A14" s="1">
        <v>12</v>
      </c>
      <c r="C14" s="1" t="s">
        <v>15</v>
      </c>
      <c r="D14" s="1">
        <v>25.4</v>
      </c>
      <c r="E14" s="1">
        <v>45</v>
      </c>
      <c r="F14" s="1">
        <v>176</v>
      </c>
      <c r="G14" s="1">
        <v>2.9874126126476233</v>
      </c>
      <c r="H14" s="1">
        <v>1.8721622139852796</v>
      </c>
      <c r="I14" s="1">
        <v>681.52291973295416</v>
      </c>
      <c r="J14" s="1" t="s">
        <v>16</v>
      </c>
      <c r="K14" s="1">
        <f t="shared" si="0"/>
        <v>3.4168216768908852</v>
      </c>
      <c r="L14" s="1">
        <f t="shared" si="1"/>
        <v>0.91768533962213128</v>
      </c>
      <c r="M14" s="1">
        <f t="shared" si="2"/>
        <v>333.65795158921594</v>
      </c>
    </row>
    <row r="15" spans="1:19" x14ac:dyDescent="0.3">
      <c r="A15" s="1">
        <v>13</v>
      </c>
      <c r="C15" s="1" t="s">
        <v>15</v>
      </c>
      <c r="D15" s="1">
        <v>25.4</v>
      </c>
      <c r="E15" s="1">
        <v>0</v>
      </c>
      <c r="F15" s="1">
        <v>177</v>
      </c>
      <c r="G15" s="1">
        <v>0.6965286844025097</v>
      </c>
      <c r="H15" s="1">
        <v>1.8721622139852796</v>
      </c>
      <c r="I15" s="1">
        <v>454.35398867974192</v>
      </c>
      <c r="J15" s="1" t="s">
        <v>16</v>
      </c>
      <c r="K15" s="1">
        <f t="shared" si="0"/>
        <v>0.79664733869271698</v>
      </c>
      <c r="L15" s="1">
        <f t="shared" si="1"/>
        <v>0.91768533962213128</v>
      </c>
      <c r="M15" s="1">
        <f t="shared" si="2"/>
        <v>222.44126612597933</v>
      </c>
      <c r="N15" s="1">
        <f>SLOPE(K15:K18,E15:E18)</f>
        <v>3.5701443854315854E-2</v>
      </c>
      <c r="O15" s="1">
        <f>SLOPE(L15:L18,E15:E18)</f>
        <v>-7.4621169342500664E-5</v>
      </c>
      <c r="P15" s="1">
        <f>SLOPE(M15:M18,E15:E18)</f>
        <v>1.8519168679801479</v>
      </c>
      <c r="Q15" s="1">
        <f>(N15*41.35/0.31*60)/1000</f>
        <v>0.28572671678244399</v>
      </c>
      <c r="R15" s="1">
        <f>O15*41.35/0.31*60/1000</f>
        <v>-5.9721006818949716E-4</v>
      </c>
      <c r="S15" s="1">
        <f>(P15*41.35/0.31*60)/1000</f>
        <v>14.821308869221765</v>
      </c>
    </row>
    <row r="16" spans="1:19" x14ac:dyDescent="0.3">
      <c r="A16" s="1">
        <v>14</v>
      </c>
      <c r="C16" s="1" t="s">
        <v>15</v>
      </c>
      <c r="D16" s="1">
        <v>25.4</v>
      </c>
      <c r="E16" s="1">
        <v>15</v>
      </c>
      <c r="F16" s="1">
        <v>178</v>
      </c>
      <c r="G16" s="1">
        <v>0.84606253773106133</v>
      </c>
      <c r="H16" s="1">
        <v>1.9017135248627757</v>
      </c>
      <c r="I16" s="1">
        <v>480.29660992471031</v>
      </c>
      <c r="J16" s="1" t="s">
        <v>16</v>
      </c>
      <c r="K16" s="1">
        <f t="shared" si="0"/>
        <v>0.9676751067750109</v>
      </c>
      <c r="L16" s="1">
        <f t="shared" si="1"/>
        <v>0.9321706254356753</v>
      </c>
      <c r="M16" s="1">
        <f t="shared" si="2"/>
        <v>235.14217700193745</v>
      </c>
    </row>
    <row r="17" spans="1:19" x14ac:dyDescent="0.3">
      <c r="A17" s="1">
        <v>15</v>
      </c>
      <c r="C17" s="1" t="s">
        <v>15</v>
      </c>
      <c r="D17" s="1">
        <v>25.4</v>
      </c>
      <c r="E17" s="1">
        <v>30</v>
      </c>
      <c r="F17" s="1">
        <v>179</v>
      </c>
      <c r="G17" s="1">
        <v>1.8637099715740351</v>
      </c>
      <c r="H17" s="1">
        <v>1.8869378694240275</v>
      </c>
      <c r="I17" s="1">
        <v>577.94799960921102</v>
      </c>
      <c r="J17" s="1" t="s">
        <v>16</v>
      </c>
      <c r="K17" s="1">
        <f t="shared" si="0"/>
        <v>2.1315986293129385</v>
      </c>
      <c r="L17" s="1">
        <f t="shared" si="1"/>
        <v>0.92492798252890318</v>
      </c>
      <c r="M17" s="1">
        <f t="shared" si="2"/>
        <v>282.95005214242093</v>
      </c>
    </row>
    <row r="18" spans="1:19" x14ac:dyDescent="0.3">
      <c r="A18" s="1">
        <v>16</v>
      </c>
      <c r="C18" s="1" t="s">
        <v>15</v>
      </c>
      <c r="D18" s="1">
        <v>25.4</v>
      </c>
      <c r="E18" s="1">
        <v>45</v>
      </c>
      <c r="F18" s="1">
        <v>180</v>
      </c>
      <c r="G18" s="1">
        <v>1.9180461180177542</v>
      </c>
      <c r="H18" s="1">
        <v>1.8694757311782344</v>
      </c>
      <c r="I18" s="1">
        <v>610.93790467991812</v>
      </c>
      <c r="J18" s="1" t="s">
        <v>16</v>
      </c>
      <c r="K18" s="1">
        <f t="shared" si="0"/>
        <v>2.1937450238958673</v>
      </c>
      <c r="L18" s="1">
        <f t="shared" si="1"/>
        <v>0.91636849545726362</v>
      </c>
      <c r="M18" s="1">
        <f t="shared" si="2"/>
        <v>299.10115114482556</v>
      </c>
    </row>
    <row r="19" spans="1:19" x14ac:dyDescent="0.3">
      <c r="A19" s="1">
        <v>17</v>
      </c>
      <c r="C19" s="1" t="s">
        <v>15</v>
      </c>
      <c r="D19" s="1">
        <v>25.4</v>
      </c>
      <c r="E19" s="1">
        <v>0</v>
      </c>
      <c r="F19" s="1">
        <v>181</v>
      </c>
      <c r="G19" s="1">
        <v>0.39238246951915362</v>
      </c>
      <c r="H19" s="1">
        <v>2.1354375290756993</v>
      </c>
      <c r="I19" s="1">
        <v>448.31331786982219</v>
      </c>
      <c r="J19" s="1" t="s">
        <v>16</v>
      </c>
      <c r="K19" s="1">
        <f t="shared" si="0"/>
        <v>0.44878331229137181</v>
      </c>
      <c r="L19" s="1">
        <f t="shared" si="1"/>
        <v>1.04673606777916</v>
      </c>
      <c r="M19" s="1">
        <f t="shared" si="2"/>
        <v>219.48389258753346</v>
      </c>
      <c r="N19" s="1">
        <f>SLOPE(K19:K22,E19:E22)</f>
        <v>2.9144452129833551E-2</v>
      </c>
      <c r="O19" s="1">
        <f>SLOPE(L19:L22,E19:E22)</f>
        <v>-3.1121417096371911E-3</v>
      </c>
      <c r="P19" s="1">
        <f>SLOPE(M19:M22,E19:E22)</f>
        <v>1.3320250182311408</v>
      </c>
      <c r="Q19" s="1">
        <f>(N19*41.35/0.31*60)/1000</f>
        <v>0.23324963140037755</v>
      </c>
      <c r="R19" s="1">
        <f>O19*41.35/0.31*60/1000</f>
        <v>-2.4907172843902814E-2</v>
      </c>
      <c r="S19" s="1">
        <f>(P19*41.35/0.31*60)/1000</f>
        <v>10.660497000746647</v>
      </c>
    </row>
    <row r="20" spans="1:19" x14ac:dyDescent="0.3">
      <c r="A20" s="1">
        <v>18</v>
      </c>
      <c r="C20" s="1" t="s">
        <v>15</v>
      </c>
      <c r="D20" s="1">
        <v>25.4</v>
      </c>
      <c r="E20" s="1">
        <v>15</v>
      </c>
      <c r="F20" s="1">
        <v>182</v>
      </c>
      <c r="G20" s="1">
        <v>0.59030808514153843</v>
      </c>
      <c r="H20" s="1">
        <v>1.8426109031077833</v>
      </c>
      <c r="I20" s="1">
        <v>444.39110088214869</v>
      </c>
      <c r="J20" s="1" t="s">
        <v>16</v>
      </c>
      <c r="K20" s="1">
        <f t="shared" si="0"/>
        <v>0.67515864826184591</v>
      </c>
      <c r="L20" s="1">
        <f t="shared" si="1"/>
        <v>0.90320005380858714</v>
      </c>
      <c r="M20" s="1">
        <f t="shared" si="2"/>
        <v>217.56366533192136</v>
      </c>
    </row>
    <row r="21" spans="1:19" x14ac:dyDescent="0.3">
      <c r="A21" s="1">
        <v>19</v>
      </c>
      <c r="C21" s="1" t="s">
        <v>15</v>
      </c>
      <c r="D21" s="1">
        <v>25.4</v>
      </c>
      <c r="E21" s="1">
        <v>30</v>
      </c>
      <c r="F21" s="1">
        <v>183</v>
      </c>
      <c r="G21" s="1">
        <v>1.066296619565702</v>
      </c>
      <c r="H21" s="1">
        <v>1.8130595922302875</v>
      </c>
      <c r="I21" s="1">
        <v>487.41834737587948</v>
      </c>
      <c r="J21" s="1" t="s">
        <v>16</v>
      </c>
      <c r="K21" s="1">
        <f t="shared" si="0"/>
        <v>1.2195655157586733</v>
      </c>
      <c r="L21" s="1">
        <f t="shared" si="1"/>
        <v>0.88871476799504323</v>
      </c>
      <c r="M21" s="1">
        <f t="shared" si="2"/>
        <v>238.62881591152015</v>
      </c>
    </row>
    <row r="22" spans="1:19" x14ac:dyDescent="0.3">
      <c r="A22" s="1">
        <v>20</v>
      </c>
      <c r="C22" s="1" t="s">
        <v>15</v>
      </c>
      <c r="D22" s="1">
        <v>25.4</v>
      </c>
      <c r="E22" s="1">
        <v>45</v>
      </c>
      <c r="F22" s="1">
        <v>184</v>
      </c>
      <c r="G22" s="1">
        <v>1.5078057801319349</v>
      </c>
      <c r="H22" s="1">
        <v>1.8278352476690354</v>
      </c>
      <c r="I22" s="1">
        <v>570.00925770831884</v>
      </c>
      <c r="J22" s="1" t="s">
        <v>16</v>
      </c>
      <c r="K22" s="1">
        <f t="shared" si="0"/>
        <v>1.7245369629507734</v>
      </c>
      <c r="L22" s="1">
        <f t="shared" si="1"/>
        <v>0.89595741090181502</v>
      </c>
      <c r="M22" s="1">
        <f t="shared" si="2"/>
        <v>279.06342663922425</v>
      </c>
    </row>
    <row r="23" spans="1:19" x14ac:dyDescent="0.3">
      <c r="A23" s="1">
        <v>21</v>
      </c>
      <c r="C23" s="1" t="s">
        <v>15</v>
      </c>
      <c r="D23" s="1">
        <v>25.4</v>
      </c>
      <c r="E23" s="1">
        <v>0</v>
      </c>
      <c r="F23" s="1">
        <v>185</v>
      </c>
      <c r="G23" s="1">
        <v>0.68648841526555038</v>
      </c>
      <c r="H23" s="1">
        <v>1.8479838687218735</v>
      </c>
      <c r="I23" s="1">
        <v>437.62872626305693</v>
      </c>
      <c r="J23" s="1" t="s">
        <v>16</v>
      </c>
      <c r="K23" s="1">
        <f t="shared" si="0"/>
        <v>0.7851638867303925</v>
      </c>
      <c r="L23" s="1">
        <f t="shared" si="1"/>
        <v>0.90583374213832235</v>
      </c>
      <c r="M23" s="1">
        <f t="shared" si="2"/>
        <v>214.25296220227582</v>
      </c>
      <c r="N23" s="1">
        <f>SLOPE(K23:K26,E23:E26)</f>
        <v>1.6651895535445108E-2</v>
      </c>
      <c r="O23" s="1">
        <f>SLOPE(L23:L26,E23:E26)</f>
        <v>-6.1452727693821115E-5</v>
      </c>
      <c r="P23" s="1">
        <f>SLOPE(M23:M26,E23:E26)</f>
        <v>0.59566735776723012</v>
      </c>
      <c r="Q23" s="1">
        <f>(N23*41.35/0.31*60)/1000</f>
        <v>0.13326888007561072</v>
      </c>
      <c r="R23" s="1">
        <f>O23*41.35/0.31*60/1000</f>
        <v>-4.9182005615603275E-4</v>
      </c>
      <c r="S23" s="1">
        <f>(P23*41.35/0.31*60)/1000</f>
        <v>4.7672603697435418</v>
      </c>
    </row>
    <row r="24" spans="1:19" x14ac:dyDescent="0.3">
      <c r="A24" s="1">
        <v>22</v>
      </c>
      <c r="C24" s="1" t="s">
        <v>15</v>
      </c>
      <c r="D24" s="1">
        <v>25.4</v>
      </c>
      <c r="E24" s="1">
        <v>15</v>
      </c>
      <c r="F24" s="1">
        <v>186</v>
      </c>
      <c r="G24" s="1">
        <v>1.5048189946425492</v>
      </c>
      <c r="H24" s="1">
        <v>1.8466406273183511</v>
      </c>
      <c r="I24" s="1">
        <v>472.68447126070629</v>
      </c>
      <c r="J24" s="1" t="s">
        <v>16</v>
      </c>
      <c r="K24" s="1">
        <f t="shared" si="0"/>
        <v>1.721120858539501</v>
      </c>
      <c r="L24" s="1">
        <f t="shared" si="1"/>
        <v>0.90517532005588863</v>
      </c>
      <c r="M24" s="1">
        <f t="shared" si="2"/>
        <v>231.41544893409807</v>
      </c>
    </row>
    <row r="25" spans="1:19" x14ac:dyDescent="0.3">
      <c r="A25" s="1">
        <v>23</v>
      </c>
      <c r="C25" s="1" t="s">
        <v>15</v>
      </c>
      <c r="D25" s="1">
        <v>25.4</v>
      </c>
      <c r="E25" s="1">
        <v>30</v>
      </c>
      <c r="F25" s="1">
        <v>187</v>
      </c>
      <c r="G25" s="1">
        <v>1.4122091865856534</v>
      </c>
      <c r="H25" s="1">
        <v>1.8439541445113061</v>
      </c>
      <c r="I25" s="1">
        <v>489.87829516009992</v>
      </c>
      <c r="J25" s="1" t="s">
        <v>16</v>
      </c>
      <c r="K25" s="1">
        <f t="shared" si="0"/>
        <v>1.6151993670381766</v>
      </c>
      <c r="L25" s="1">
        <f t="shared" si="1"/>
        <v>0.90385847589102108</v>
      </c>
      <c r="M25" s="1">
        <f t="shared" si="2"/>
        <v>239.83314978633837</v>
      </c>
    </row>
    <row r="26" spans="1:19" x14ac:dyDescent="0.3">
      <c r="A26" s="1">
        <v>24</v>
      </c>
      <c r="C26" s="1" t="s">
        <v>15</v>
      </c>
      <c r="D26" s="1">
        <v>25.4</v>
      </c>
      <c r="E26" s="1">
        <v>45</v>
      </c>
      <c r="F26" s="1">
        <v>188</v>
      </c>
      <c r="G26" s="1">
        <v>1.4453167794859176</v>
      </c>
      <c r="H26" s="1">
        <v>1.8426109031077833</v>
      </c>
      <c r="I26" s="1">
        <v>492.73235080159856</v>
      </c>
      <c r="J26" s="1" t="s">
        <v>16</v>
      </c>
      <c r="K26" s="1">
        <f t="shared" si="0"/>
        <v>1.6530658273364227</v>
      </c>
      <c r="L26" s="1">
        <f t="shared" si="1"/>
        <v>0.90320005380858714</v>
      </c>
      <c r="M26" s="1">
        <f t="shared" si="2"/>
        <v>241.23042980655723</v>
      </c>
    </row>
    <row r="27" spans="1:19" x14ac:dyDescent="0.3">
      <c r="A27" s="1">
        <v>25</v>
      </c>
      <c r="C27" s="1" t="s">
        <v>15</v>
      </c>
      <c r="D27" s="1">
        <v>25.4</v>
      </c>
      <c r="E27" s="1">
        <v>0</v>
      </c>
      <c r="F27" s="1">
        <v>189</v>
      </c>
      <c r="G27" s="1">
        <v>1.362659680079322</v>
      </c>
      <c r="H27" s="1">
        <v>1.8426109031077833</v>
      </c>
      <c r="I27" s="1">
        <v>459.12894785734488</v>
      </c>
      <c r="J27" s="1" t="s">
        <v>16</v>
      </c>
      <c r="K27" s="1">
        <f t="shared" si="0"/>
        <v>1.5585276414140306</v>
      </c>
      <c r="L27" s="1">
        <f t="shared" si="1"/>
        <v>0.90320005380858714</v>
      </c>
      <c r="M27" s="1">
        <f t="shared" si="2"/>
        <v>224.77897635111071</v>
      </c>
      <c r="N27" s="1">
        <f>SLOPE(K27:K30,E27:E30)</f>
        <v>9.7225595575099868E-2</v>
      </c>
      <c r="O27" s="1">
        <f>SLOPE(L27:L30,E27:E30)</f>
        <v>-3.5115844396470236E-4</v>
      </c>
      <c r="P27" s="1">
        <f>SLOPE(M27:M30,E27:E30)</f>
        <v>2.1859291641524901</v>
      </c>
      <c r="Q27" s="1">
        <f>(N27*41.35/0.31*60)/1000</f>
        <v>0.77811839555426698</v>
      </c>
      <c r="R27" s="1">
        <f>O27*41.35/0.31*60/1000</f>
        <v>-2.8104003208916989E-3</v>
      </c>
      <c r="S27" s="1">
        <f>(P27*41.35/0.31*60)/1000</f>
        <v>17.494484697620415</v>
      </c>
    </row>
    <row r="28" spans="1:19" x14ac:dyDescent="0.3">
      <c r="A28" s="1">
        <v>26</v>
      </c>
      <c r="C28" s="1" t="s">
        <v>15</v>
      </c>
      <c r="D28" s="1">
        <v>25.4</v>
      </c>
      <c r="E28" s="1">
        <v>15</v>
      </c>
      <c r="F28" s="1">
        <v>190</v>
      </c>
      <c r="G28" s="1">
        <v>2.7569534117597421</v>
      </c>
      <c r="H28" s="1">
        <v>1.8587297999500541</v>
      </c>
      <c r="I28" s="1">
        <v>522.43140562828205</v>
      </c>
      <c r="J28" s="1" t="s">
        <v>16</v>
      </c>
      <c r="K28" s="1">
        <f t="shared" si="0"/>
        <v>3.1532363958021814</v>
      </c>
      <c r="L28" s="1">
        <f t="shared" si="1"/>
        <v>0.91110111879779299</v>
      </c>
      <c r="M28" s="1">
        <f t="shared" si="2"/>
        <v>255.77040419434434</v>
      </c>
    </row>
    <row r="29" spans="1:19" x14ac:dyDescent="0.3">
      <c r="A29" s="1">
        <v>27</v>
      </c>
      <c r="C29" s="1" t="s">
        <v>15</v>
      </c>
      <c r="D29" s="1">
        <v>25.4</v>
      </c>
      <c r="E29" s="1">
        <v>30</v>
      </c>
      <c r="F29" s="1">
        <v>191</v>
      </c>
      <c r="G29" s="1">
        <v>4.5025787316900425</v>
      </c>
      <c r="H29" s="1">
        <v>1.8238055234584678</v>
      </c>
      <c r="I29" s="1">
        <v>608.70528863201184</v>
      </c>
      <c r="J29" s="1" t="s">
        <v>16</v>
      </c>
      <c r="K29" s="1">
        <f t="shared" si="0"/>
        <v>5.1497769498642301</v>
      </c>
      <c r="L29" s="1">
        <f t="shared" si="1"/>
        <v>0.89398214465451376</v>
      </c>
      <c r="M29" s="1">
        <f t="shared" si="2"/>
        <v>298.00811366118302</v>
      </c>
    </row>
    <row r="30" spans="1:19" x14ac:dyDescent="0.3">
      <c r="A30" s="1">
        <v>28</v>
      </c>
      <c r="C30" s="1" t="s">
        <v>15</v>
      </c>
      <c r="D30" s="1">
        <v>25.4</v>
      </c>
      <c r="E30" s="1">
        <v>45</v>
      </c>
      <c r="F30" s="1">
        <v>192</v>
      </c>
      <c r="G30" s="1">
        <v>5.0311230159958482</v>
      </c>
      <c r="H30" s="1">
        <v>1.8184325578443776</v>
      </c>
      <c r="I30" s="1">
        <v>653.61770092164033</v>
      </c>
      <c r="J30" s="1" t="s">
        <v>16</v>
      </c>
      <c r="K30" s="1">
        <f t="shared" si="0"/>
        <v>5.7542939021483415</v>
      </c>
      <c r="L30" s="1">
        <f t="shared" si="1"/>
        <v>0.89134845632477844</v>
      </c>
      <c r="M30" s="1">
        <f t="shared" si="2"/>
        <v>319.99619806978899</v>
      </c>
    </row>
    <row r="31" spans="1:19" x14ac:dyDescent="0.3">
      <c r="A31" s="1">
        <v>29</v>
      </c>
      <c r="C31" s="1" t="s">
        <v>15</v>
      </c>
      <c r="D31" s="1">
        <v>25.4</v>
      </c>
      <c r="E31" s="1">
        <v>0</v>
      </c>
      <c r="F31" s="1">
        <v>193</v>
      </c>
      <c r="G31" s="1">
        <v>0.55230683393130275</v>
      </c>
      <c r="H31" s="1">
        <v>1.9044000076698209</v>
      </c>
      <c r="I31" s="1">
        <v>1613.142273158435</v>
      </c>
      <c r="J31" s="1" t="s">
        <v>129</v>
      </c>
      <c r="K31" s="1">
        <f t="shared" si="0"/>
        <v>0.63169511786955967</v>
      </c>
      <c r="L31" s="1">
        <f t="shared" si="1"/>
        <v>0.93348746960054296</v>
      </c>
      <c r="M31" s="1">
        <f t="shared" si="2"/>
        <v>789.7573667733966</v>
      </c>
      <c r="N31" s="1">
        <f>SLOPE(K31:K34,E31:E34)</f>
        <v>-1.8614097007379506E-2</v>
      </c>
      <c r="O31" s="1">
        <f>SLOPE(L31:L34,E31:E34)</f>
        <v>8.0327494056926069E-4</v>
      </c>
      <c r="P31" s="1">
        <f>SLOPE(M31:M34,E31:E34)</f>
        <v>-5.476057851761186</v>
      </c>
      <c r="Q31" s="1">
        <f>(N31*41.35/0.31*60)/1000</f>
        <v>-0.14897282153325342</v>
      </c>
      <c r="R31" s="1">
        <f>O31*41.35/0.31*60/1000</f>
        <v>6.4287907340397936E-3</v>
      </c>
      <c r="S31" s="1">
        <f>(P31*41.35/0.31*60)/1000</f>
        <v>-43.826127516837097</v>
      </c>
    </row>
    <row r="32" spans="1:19" x14ac:dyDescent="0.3">
      <c r="A32" s="1">
        <v>30</v>
      </c>
      <c r="C32" s="1" t="s">
        <v>15</v>
      </c>
      <c r="D32" s="1">
        <v>25.4</v>
      </c>
      <c r="E32" s="1">
        <v>15</v>
      </c>
      <c r="F32" s="1">
        <v>194</v>
      </c>
      <c r="G32" s="1">
        <v>2.7299847818686072</v>
      </c>
      <c r="H32" s="1">
        <v>1.9648458708283356</v>
      </c>
      <c r="I32" s="1">
        <v>664.02631775681027</v>
      </c>
      <c r="J32" s="1" t="s">
        <v>129</v>
      </c>
      <c r="K32" s="1">
        <f t="shared" si="0"/>
        <v>3.122391309717333</v>
      </c>
      <c r="L32" s="1">
        <f t="shared" si="1"/>
        <v>0.96311646331006484</v>
      </c>
      <c r="M32" s="1">
        <f t="shared" si="2"/>
        <v>325.09201755222199</v>
      </c>
    </row>
    <row r="33" spans="1:19" x14ac:dyDescent="0.3">
      <c r="A33" s="1">
        <v>31</v>
      </c>
      <c r="C33" s="1" t="s">
        <v>15</v>
      </c>
      <c r="D33" s="1">
        <v>25.4</v>
      </c>
      <c r="E33" s="1">
        <v>30</v>
      </c>
      <c r="F33" s="1">
        <v>195</v>
      </c>
      <c r="G33" s="1">
        <v>0.54689754164433635</v>
      </c>
      <c r="H33" s="1">
        <v>2.017232285565715</v>
      </c>
      <c r="I33" s="1">
        <v>911.03565091471557</v>
      </c>
      <c r="J33" s="1" t="s">
        <v>129</v>
      </c>
      <c r="K33" s="1">
        <f t="shared" si="0"/>
        <v>0.6255082968510981</v>
      </c>
      <c r="L33" s="1">
        <f t="shared" si="1"/>
        <v>0.98879492452498385</v>
      </c>
      <c r="M33" s="1">
        <f t="shared" si="2"/>
        <v>446.02210770557849</v>
      </c>
    </row>
    <row r="34" spans="1:19" x14ac:dyDescent="0.3">
      <c r="A34" s="1">
        <v>32</v>
      </c>
      <c r="C34" s="1" t="s">
        <v>15</v>
      </c>
      <c r="D34" s="1">
        <v>25.4</v>
      </c>
      <c r="E34" s="1">
        <v>45</v>
      </c>
      <c r="F34" s="1">
        <v>196</v>
      </c>
      <c r="G34" s="1">
        <v>0.46626406237387197</v>
      </c>
      <c r="H34" s="1">
        <v>1.9688755950389032</v>
      </c>
      <c r="I34" s="1">
        <v>971.54163051448688</v>
      </c>
      <c r="J34" s="1" t="s">
        <v>129</v>
      </c>
      <c r="K34" s="1">
        <f t="shared" si="0"/>
        <v>0.53328460512266262</v>
      </c>
      <c r="L34" s="1">
        <f t="shared" si="1"/>
        <v>0.96509172955736633</v>
      </c>
      <c r="M34" s="1">
        <f t="shared" si="2"/>
        <v>475.64444413421847</v>
      </c>
    </row>
    <row r="35" spans="1:19" x14ac:dyDescent="0.3">
      <c r="A35" s="1">
        <v>33</v>
      </c>
      <c r="C35" s="1" t="s">
        <v>15</v>
      </c>
      <c r="D35" s="1">
        <v>25.4</v>
      </c>
      <c r="F35" s="1" t="s">
        <v>165</v>
      </c>
      <c r="G35" s="1">
        <v>0.38882167639499937</v>
      </c>
      <c r="H35" s="1">
        <v>1.7875380055633587</v>
      </c>
      <c r="I35" s="1">
        <v>423.75553405785917</v>
      </c>
      <c r="K35" s="1">
        <f t="shared" si="0"/>
        <v>0.44471069270008229</v>
      </c>
      <c r="L35" s="1">
        <f t="shared" si="1"/>
        <v>0.87620474842880036</v>
      </c>
      <c r="M35" s="1">
        <f t="shared" si="2"/>
        <v>207.46096627790757</v>
      </c>
    </row>
    <row r="36" spans="1:19" x14ac:dyDescent="0.3">
      <c r="A36" s="1">
        <v>34</v>
      </c>
      <c r="C36" s="1" t="s">
        <v>15</v>
      </c>
      <c r="D36" s="1">
        <v>25.4</v>
      </c>
      <c r="F36" s="1" t="s">
        <v>166</v>
      </c>
      <c r="G36" s="1">
        <v>0.38816010827357184</v>
      </c>
      <c r="H36" s="1">
        <v>1.8238055234584678</v>
      </c>
      <c r="I36" s="1">
        <v>430.79884702357492</v>
      </c>
      <c r="K36" s="1">
        <f t="shared" si="0"/>
        <v>0.44395403113667326</v>
      </c>
      <c r="L36" s="1">
        <f t="shared" si="1"/>
        <v>0.89398214465451376</v>
      </c>
      <c r="M36" s="1">
        <f t="shared" si="2"/>
        <v>210.9092103625868</v>
      </c>
    </row>
    <row r="37" spans="1:19" x14ac:dyDescent="0.3">
      <c r="A37" s="1">
        <v>35</v>
      </c>
      <c r="B37" s="1" t="s">
        <v>24</v>
      </c>
      <c r="C37" s="1" t="s">
        <v>15</v>
      </c>
      <c r="D37" s="1">
        <v>16.399999999999999</v>
      </c>
      <c r="E37" s="1">
        <v>0</v>
      </c>
      <c r="F37" s="1">
        <v>165</v>
      </c>
      <c r="G37" s="1">
        <v>0.50646881482660189</v>
      </c>
      <c r="H37" s="1">
        <v>2.0713747581654705</v>
      </c>
      <c r="I37" s="1">
        <v>454.43171396310419</v>
      </c>
      <c r="J37" s="1" t="s">
        <v>129</v>
      </c>
      <c r="K37" s="1">
        <f t="shared" si="0"/>
        <v>0.59727360012571462</v>
      </c>
      <c r="L37" s="1">
        <f t="shared" si="1"/>
        <v>1.046893501606178</v>
      </c>
      <c r="M37" s="1">
        <f t="shared" si="2"/>
        <v>229.39457979368007</v>
      </c>
      <c r="N37" s="1">
        <f>SLOPE(K37:K40,E37:E40)</f>
        <v>4.2740347458156032E-3</v>
      </c>
      <c r="O37" s="1">
        <f>SLOPE(L37:L40,E37:E40)</f>
        <v>2.223387282910331E-4</v>
      </c>
      <c r="P37" s="1">
        <f>SLOPE(M37:M40,E37:E40)</f>
        <v>3.6107277033075169</v>
      </c>
      <c r="Q37" s="1">
        <f>(N37*41.35/0.31*60)/1000</f>
        <v>3.4206065175382293E-2</v>
      </c>
      <c r="R37" s="1">
        <f>O37*41.35/0.31*60/1000</f>
        <v>1.7794270480324293E-3</v>
      </c>
      <c r="S37" s="1">
        <f>(P37*41.35/0.31*60)/1000</f>
        <v>28.897469135180479</v>
      </c>
    </row>
    <row r="38" spans="1:19" x14ac:dyDescent="0.3">
      <c r="A38" s="1">
        <v>36</v>
      </c>
      <c r="B38" s="1" t="s">
        <v>167</v>
      </c>
      <c r="C38" s="1" t="s">
        <v>15</v>
      </c>
      <c r="D38" s="1">
        <v>16.399999999999999</v>
      </c>
      <c r="E38" s="1">
        <v>15</v>
      </c>
      <c r="F38" s="1">
        <v>166</v>
      </c>
      <c r="G38" s="1">
        <v>0.51257916853563334</v>
      </c>
      <c r="H38" s="1">
        <v>2.1077352907704556</v>
      </c>
      <c r="I38" s="1">
        <v>628.23865377093193</v>
      </c>
      <c r="J38" s="1" t="s">
        <v>129</v>
      </c>
      <c r="K38" s="1">
        <f t="shared" si="0"/>
        <v>0.60447947904855459</v>
      </c>
      <c r="L38" s="1">
        <f t="shared" si="1"/>
        <v>1.0652704781281916</v>
      </c>
      <c r="M38" s="1">
        <f t="shared" si="2"/>
        <v>317.131347931476</v>
      </c>
    </row>
    <row r="39" spans="1:19" x14ac:dyDescent="0.3">
      <c r="A39" s="1">
        <v>37</v>
      </c>
      <c r="C39" s="1" t="s">
        <v>15</v>
      </c>
      <c r="D39" s="1">
        <v>16.399999999999999</v>
      </c>
      <c r="E39" s="1">
        <v>30</v>
      </c>
      <c r="F39" s="1">
        <v>167</v>
      </c>
      <c r="G39" s="1">
        <v>0.57560921841955881</v>
      </c>
      <c r="H39" s="1">
        <v>2.1090819771632328</v>
      </c>
      <c r="I39" s="1">
        <v>681.20520639234974</v>
      </c>
      <c r="J39" s="1" t="s">
        <v>129</v>
      </c>
      <c r="K39" s="1">
        <f t="shared" si="0"/>
        <v>0.67881018551695638</v>
      </c>
      <c r="L39" s="1">
        <f t="shared" si="1"/>
        <v>1.0659511068882663</v>
      </c>
      <c r="M39" s="1">
        <f t="shared" si="2"/>
        <v>343.86856654623244</v>
      </c>
    </row>
    <row r="40" spans="1:19" x14ac:dyDescent="0.3">
      <c r="A40" s="1">
        <v>38</v>
      </c>
      <c r="C40" s="1" t="s">
        <v>15</v>
      </c>
      <c r="D40" s="1">
        <v>16.399999999999999</v>
      </c>
      <c r="E40" s="1">
        <v>45</v>
      </c>
      <c r="F40" s="1">
        <v>168</v>
      </c>
      <c r="G40" s="1">
        <v>0.66667100243679545</v>
      </c>
      <c r="H40" s="1">
        <v>2.0929217404499063</v>
      </c>
      <c r="I40" s="1">
        <v>794.41960289367307</v>
      </c>
      <c r="J40" s="1" t="s">
        <v>129</v>
      </c>
      <c r="K40" s="1">
        <f t="shared" si="0"/>
        <v>0.78619843526036082</v>
      </c>
      <c r="L40" s="1">
        <f t="shared" si="1"/>
        <v>1.0577835617673714</v>
      </c>
      <c r="M40" s="1">
        <f t="shared" si="2"/>
        <v>401.01855875413708</v>
      </c>
    </row>
    <row r="41" spans="1:19" x14ac:dyDescent="0.3">
      <c r="A41" s="1">
        <v>39</v>
      </c>
      <c r="C41" s="1" t="s">
        <v>15</v>
      </c>
      <c r="D41" s="1">
        <v>16.399999999999999</v>
      </c>
      <c r="E41" s="1">
        <v>0</v>
      </c>
      <c r="F41" s="1">
        <v>169</v>
      </c>
      <c r="G41" s="1">
        <v>6.7957741566868037</v>
      </c>
      <c r="H41" s="1">
        <v>2.0861883084860202</v>
      </c>
      <c r="I41" s="1">
        <v>524.39117371038128</v>
      </c>
      <c r="J41" s="1" t="s">
        <v>16</v>
      </c>
      <c r="K41" s="1">
        <f t="shared" si="0"/>
        <v>8.0141883910369973</v>
      </c>
      <c r="L41" s="1">
        <f t="shared" si="1"/>
        <v>1.0543804179669984</v>
      </c>
      <c r="M41" s="1">
        <f t="shared" si="2"/>
        <v>264.70972259338015</v>
      </c>
      <c r="N41" s="1">
        <f>SLOPE(K41:K44,E41:E44)</f>
        <v>-9.0410831822649567E-3</v>
      </c>
      <c r="O41" s="1">
        <f>SLOPE(L41:L44,E41:E44)</f>
        <v>-8.1675451208948447E-4</v>
      </c>
      <c r="P41" s="1">
        <f>SLOPE(M41:M44,E41:E44)</f>
        <v>-0.17814385303515828</v>
      </c>
      <c r="Q41" s="1">
        <f>(N41*41.35/0.31*60)/1000</f>
        <v>-7.2357830242578566E-2</v>
      </c>
      <c r="R41" s="1">
        <f>O41*41.35/0.31*60/1000</f>
        <v>-6.5366707886903583E-3</v>
      </c>
      <c r="S41" s="1">
        <f>(P41*41.35/0.31*60)/1000</f>
        <v>-1.4257254818717022</v>
      </c>
    </row>
    <row r="42" spans="1:19" x14ac:dyDescent="0.3">
      <c r="A42" s="1">
        <v>40</v>
      </c>
      <c r="C42" s="1" t="s">
        <v>15</v>
      </c>
      <c r="D42" s="1">
        <v>16.399999999999999</v>
      </c>
      <c r="E42" s="1">
        <v>15</v>
      </c>
      <c r="F42" s="1">
        <v>170</v>
      </c>
      <c r="G42" s="1">
        <v>8.1365686818650556</v>
      </c>
      <c r="H42" s="1">
        <v>2.0484810894882579</v>
      </c>
      <c r="I42" s="1">
        <v>541.46831917925772</v>
      </c>
      <c r="J42" s="1" t="s">
        <v>16</v>
      </c>
      <c r="K42" s="1">
        <f t="shared" si="0"/>
        <v>9.5953739441025636</v>
      </c>
      <c r="L42" s="1">
        <f t="shared" si="1"/>
        <v>1.0353228126849106</v>
      </c>
      <c r="M42" s="1">
        <f t="shared" si="2"/>
        <v>273.33016982129197</v>
      </c>
    </row>
    <row r="43" spans="1:19" x14ac:dyDescent="0.3">
      <c r="A43" s="1">
        <v>41</v>
      </c>
      <c r="C43" s="1" t="s">
        <v>15</v>
      </c>
      <c r="D43" s="1">
        <v>16.399999999999999</v>
      </c>
      <c r="E43" s="1">
        <v>30</v>
      </c>
      <c r="F43" s="1">
        <v>171</v>
      </c>
      <c r="G43" s="1">
        <v>7.4987469992406401</v>
      </c>
      <c r="H43" s="1">
        <v>2.0323208527749319</v>
      </c>
      <c r="I43" s="1">
        <v>521.17365630985535</v>
      </c>
      <c r="J43" s="1" t="s">
        <v>16</v>
      </c>
      <c r="K43" s="1">
        <f t="shared" si="0"/>
        <v>8.8431972227189348</v>
      </c>
      <c r="L43" s="1">
        <f t="shared" si="1"/>
        <v>1.0271552675640159</v>
      </c>
      <c r="M43" s="1">
        <f t="shared" si="2"/>
        <v>263.08553786024243</v>
      </c>
    </row>
    <row r="44" spans="1:19" x14ac:dyDescent="0.3">
      <c r="A44" s="1">
        <v>42</v>
      </c>
      <c r="C44" s="1" t="s">
        <v>15</v>
      </c>
      <c r="D44" s="1">
        <v>16.399999999999999</v>
      </c>
      <c r="E44" s="1">
        <v>45</v>
      </c>
      <c r="F44" s="1">
        <v>172</v>
      </c>
      <c r="G44" s="1">
        <v>6.6250539876124996</v>
      </c>
      <c r="H44" s="1">
        <v>2.0107738704904961</v>
      </c>
      <c r="I44" s="1">
        <v>513.51087186574989</v>
      </c>
      <c r="J44" s="1" t="s">
        <v>16</v>
      </c>
      <c r="K44" s="1">
        <f t="shared" si="0"/>
        <v>7.8128598057182925</v>
      </c>
      <c r="L44" s="1">
        <f t="shared" si="1"/>
        <v>1.0162652074028224</v>
      </c>
      <c r="M44" s="1">
        <f t="shared" si="2"/>
        <v>259.21740726197208</v>
      </c>
    </row>
    <row r="45" spans="1:19" x14ac:dyDescent="0.3">
      <c r="A45" s="1">
        <v>43</v>
      </c>
      <c r="C45" s="1" t="s">
        <v>15</v>
      </c>
      <c r="D45" s="1">
        <v>16.399999999999999</v>
      </c>
      <c r="E45" s="1">
        <v>0</v>
      </c>
      <c r="F45" s="1">
        <v>173</v>
      </c>
      <c r="G45" s="1">
        <v>12.414769804721228</v>
      </c>
      <c r="H45" s="1">
        <v>2.0228940480254911</v>
      </c>
      <c r="I45" s="1">
        <v>551.9603500405575</v>
      </c>
      <c r="J45" s="1" t="s">
        <v>16</v>
      </c>
      <c r="K45" s="1">
        <f t="shared" si="0"/>
        <v>14.640613674380953</v>
      </c>
      <c r="L45" s="1">
        <f t="shared" si="1"/>
        <v>1.0223908662434937</v>
      </c>
      <c r="M45" s="1">
        <f t="shared" si="2"/>
        <v>278.62648813855981</v>
      </c>
      <c r="N45" s="1">
        <f>SLOPE(K45:K48,E45:E48)</f>
        <v>-0.20607283808722596</v>
      </c>
      <c r="O45" s="1">
        <f>SLOPE(L45:L48,E45:E48)</f>
        <v>-2.8132655416415926E-4</v>
      </c>
      <c r="P45" s="1">
        <f>SLOPE(M45:M48,E45:E48)</f>
        <v>-0.65639611836186795</v>
      </c>
      <c r="Q45" s="1">
        <f>(N45*41.35/0.31*60)/1000</f>
        <v>-1.6492474557884118</v>
      </c>
      <c r="R45" s="1">
        <f>O45*41.35/0.31*60/1000</f>
        <v>-2.2515199383267071E-3</v>
      </c>
      <c r="S45" s="1">
        <f>(P45*41.35/0.31*60)/1000</f>
        <v>-5.2532863537283685</v>
      </c>
    </row>
    <row r="46" spans="1:19" x14ac:dyDescent="0.3">
      <c r="A46" s="1">
        <v>44</v>
      </c>
      <c r="C46" s="1" t="s">
        <v>15</v>
      </c>
      <c r="D46" s="1">
        <v>16.399999999999999</v>
      </c>
      <c r="E46" s="1">
        <v>15</v>
      </c>
      <c r="F46" s="1">
        <v>174</v>
      </c>
      <c r="G46" s="1">
        <v>4.5389325280087363</v>
      </c>
      <c r="H46" s="1">
        <v>2.0228940480254911</v>
      </c>
      <c r="I46" s="1">
        <v>496.60801262380534</v>
      </c>
      <c r="J46" s="1" t="s">
        <v>16</v>
      </c>
      <c r="K46" s="1">
        <f t="shared" si="0"/>
        <v>5.3527176646791963</v>
      </c>
      <c r="L46" s="1">
        <f t="shared" si="1"/>
        <v>1.0223908662434937</v>
      </c>
      <c r="M46" s="1">
        <f t="shared" si="2"/>
        <v>250.68493874364941</v>
      </c>
    </row>
    <row r="47" spans="1:19" x14ac:dyDescent="0.3">
      <c r="A47" s="1">
        <v>45</v>
      </c>
      <c r="C47" s="1" t="s">
        <v>15</v>
      </c>
      <c r="D47" s="1">
        <v>16.399999999999999</v>
      </c>
      <c r="E47" s="1">
        <v>30</v>
      </c>
      <c r="F47" s="1">
        <v>175</v>
      </c>
      <c r="G47" s="1">
        <v>3.8535804666126343</v>
      </c>
      <c r="H47" s="1">
        <v>2.016160616061605</v>
      </c>
      <c r="I47" s="1">
        <v>493.01577983537578</v>
      </c>
      <c r="J47" s="1" t="s">
        <v>16</v>
      </c>
      <c r="K47" s="1">
        <f t="shared" si="0"/>
        <v>4.5444888437126476</v>
      </c>
      <c r="L47" s="1">
        <f t="shared" si="1"/>
        <v>1.018987722443121</v>
      </c>
      <c r="M47" s="1">
        <f t="shared" si="2"/>
        <v>248.87159978489493</v>
      </c>
    </row>
    <row r="48" spans="1:19" x14ac:dyDescent="0.3">
      <c r="A48" s="1">
        <v>46</v>
      </c>
      <c r="C48" s="1" t="s">
        <v>15</v>
      </c>
      <c r="D48" s="1">
        <v>16.399999999999999</v>
      </c>
      <c r="E48" s="1">
        <v>45</v>
      </c>
      <c r="F48" s="1">
        <v>176</v>
      </c>
      <c r="G48" s="1">
        <v>3.9060633454446654</v>
      </c>
      <c r="H48" s="1">
        <v>1.9973070065627239</v>
      </c>
      <c r="I48" s="1">
        <v>488.14157502218063</v>
      </c>
      <c r="J48" s="1" t="s">
        <v>16</v>
      </c>
      <c r="K48" s="1">
        <f t="shared" si="0"/>
        <v>4.6063813770085051</v>
      </c>
      <c r="L48" s="1">
        <f t="shared" si="1"/>
        <v>1.0094589198020767</v>
      </c>
      <c r="M48" s="1">
        <f t="shared" si="2"/>
        <v>246.41112854005124</v>
      </c>
    </row>
    <row r="49" spans="1:19" x14ac:dyDescent="0.3">
      <c r="A49" s="1">
        <v>47</v>
      </c>
      <c r="C49" s="1" t="s">
        <v>15</v>
      </c>
      <c r="D49" s="1">
        <v>16.399999999999999</v>
      </c>
      <c r="E49" s="1">
        <v>0</v>
      </c>
      <c r="F49" s="1">
        <v>177</v>
      </c>
      <c r="G49" s="1">
        <v>3.929356636494699</v>
      </c>
      <c r="H49" s="1">
        <v>2.0390542847388176</v>
      </c>
      <c r="I49" s="1">
        <v>541.3540648749356</v>
      </c>
      <c r="J49" s="1" t="s">
        <v>16</v>
      </c>
      <c r="K49" s="1">
        <f t="shared" si="0"/>
        <v>4.6338509218194579</v>
      </c>
      <c r="L49" s="1">
        <f t="shared" si="1"/>
        <v>1.0305584113643884</v>
      </c>
      <c r="M49" s="1">
        <f t="shared" si="2"/>
        <v>273.27249488945012</v>
      </c>
      <c r="N49" s="1">
        <f>SLOPE(K49:K52,E49:E52)</f>
        <v>6.4424535337746378E-2</v>
      </c>
      <c r="O49" s="1">
        <f>SLOPE(L49:L52,E49:E52)</f>
        <v>-1.9511357788803678E-4</v>
      </c>
      <c r="P49" s="1">
        <f>SLOPE(M49:M52,E49:E52)</f>
        <v>0.1839146046900646</v>
      </c>
      <c r="Q49" s="1">
        <f>(N49*41.35/0.31*60)/1000</f>
        <v>0.51560410378370569</v>
      </c>
      <c r="R49" s="1">
        <f>O49*41.35/0.31*60/1000</f>
        <v>-1.561538021742643E-3</v>
      </c>
      <c r="S49" s="1">
        <f>(P49*41.35/0.31*60)/1000</f>
        <v>1.4719101104388719</v>
      </c>
    </row>
    <row r="50" spans="1:19" x14ac:dyDescent="0.3">
      <c r="A50" s="1">
        <v>48</v>
      </c>
      <c r="C50" s="1" t="s">
        <v>15</v>
      </c>
      <c r="D50" s="1">
        <v>16.399999999999999</v>
      </c>
      <c r="E50" s="1">
        <v>15</v>
      </c>
      <c r="F50" s="1">
        <v>178</v>
      </c>
      <c r="G50" s="1">
        <v>4.9383336576298014</v>
      </c>
      <c r="H50" s="1">
        <v>2.055214521452144</v>
      </c>
      <c r="I50" s="1">
        <v>534.61499743356921</v>
      </c>
      <c r="J50" s="1" t="s">
        <v>16</v>
      </c>
      <c r="K50" s="1">
        <f t="shared" si="0"/>
        <v>5.8237274161181336</v>
      </c>
      <c r="L50" s="1">
        <f t="shared" si="1"/>
        <v>1.0387259564852833</v>
      </c>
      <c r="M50" s="1">
        <f t="shared" si="2"/>
        <v>269.87065145200239</v>
      </c>
    </row>
    <row r="51" spans="1:19" x14ac:dyDescent="0.3">
      <c r="A51" s="1">
        <v>49</v>
      </c>
      <c r="C51" s="1" t="s">
        <v>15</v>
      </c>
      <c r="D51" s="1">
        <v>16.399999999999999</v>
      </c>
      <c r="E51" s="1">
        <v>30</v>
      </c>
      <c r="F51" s="1">
        <v>179</v>
      </c>
      <c r="G51" s="1">
        <v>5.614111534233408</v>
      </c>
      <c r="H51" s="1">
        <v>2.0175073024543821</v>
      </c>
      <c r="I51" s="1">
        <v>548.76994383088754</v>
      </c>
      <c r="J51" s="1" t="s">
        <v>16</v>
      </c>
      <c r="K51" s="1">
        <f t="shared" si="0"/>
        <v>6.6206654968616325</v>
      </c>
      <c r="L51" s="1">
        <f t="shared" si="1"/>
        <v>1.0196683512031954</v>
      </c>
      <c r="M51" s="1">
        <f t="shared" si="2"/>
        <v>277.01598898246914</v>
      </c>
    </row>
    <row r="52" spans="1:19" x14ac:dyDescent="0.3">
      <c r="A52" s="1">
        <v>50</v>
      </c>
      <c r="C52" s="1" t="s">
        <v>15</v>
      </c>
      <c r="D52" s="1">
        <v>16.399999999999999</v>
      </c>
      <c r="E52" s="1">
        <v>45</v>
      </c>
      <c r="F52" s="1">
        <v>180</v>
      </c>
      <c r="G52" s="1">
        <v>6.43559410318215</v>
      </c>
      <c r="H52" s="1">
        <v>2.0323208527749319</v>
      </c>
      <c r="I52" s="1">
        <v>554.85253315081059</v>
      </c>
      <c r="J52" s="1" t="s">
        <v>16</v>
      </c>
      <c r="K52" s="1">
        <f t="shared" si="0"/>
        <v>7.5894316617922772</v>
      </c>
      <c r="L52" s="1">
        <f t="shared" si="1"/>
        <v>1.0271552675640159</v>
      </c>
      <c r="M52" s="1">
        <f t="shared" si="2"/>
        <v>280.0864459471311</v>
      </c>
    </row>
    <row r="53" spans="1:19" x14ac:dyDescent="0.3">
      <c r="A53" s="1">
        <v>51</v>
      </c>
      <c r="C53" s="1" t="s">
        <v>15</v>
      </c>
      <c r="D53" s="1">
        <v>16.399999999999999</v>
      </c>
      <c r="E53" s="1">
        <v>0</v>
      </c>
      <c r="F53" s="1">
        <v>181</v>
      </c>
      <c r="G53" s="1">
        <v>1.0828464151699149</v>
      </c>
      <c r="H53" s="1">
        <v>2.0282807935966001</v>
      </c>
      <c r="I53" s="1">
        <v>472.84989512253981</v>
      </c>
      <c r="J53" s="1" t="s">
        <v>16</v>
      </c>
      <c r="K53" s="1">
        <f t="shared" si="0"/>
        <v>1.2769899307486225</v>
      </c>
      <c r="L53" s="1">
        <f t="shared" si="1"/>
        <v>1.025113381283792</v>
      </c>
      <c r="M53" s="1">
        <f t="shared" si="2"/>
        <v>238.69197431481959</v>
      </c>
      <c r="N53" s="1">
        <f>SLOPE(K53:K56,E53:E56)</f>
        <v>-8.8707276370297138E-3</v>
      </c>
      <c r="O53" s="1">
        <f>SLOPE(L53:L56,E53:E56)</f>
        <v>2.90401604298484E-4</v>
      </c>
      <c r="P53" s="1">
        <f>SLOPE(M53:M56,E53:E56)</f>
        <v>-0.30028762818145194</v>
      </c>
      <c r="Q53" s="1">
        <f>(N53*41.35/0.31*60)/1000</f>
        <v>-7.0994436346679748E-2</v>
      </c>
      <c r="R53" s="1">
        <f>O53*41.35/0.31*60/1000</f>
        <v>2.3241496137565774E-3</v>
      </c>
      <c r="S53" s="1">
        <f>(P53*41.35/0.31*60)/1000</f>
        <v>-2.4032696952199433</v>
      </c>
    </row>
    <row r="54" spans="1:19" x14ac:dyDescent="0.3">
      <c r="A54" s="1">
        <v>52</v>
      </c>
      <c r="C54" s="1" t="s">
        <v>15</v>
      </c>
      <c r="D54" s="1">
        <v>16.399999999999999</v>
      </c>
      <c r="E54" s="1">
        <v>15</v>
      </c>
      <c r="F54" s="1">
        <v>182</v>
      </c>
      <c r="G54" s="1">
        <v>0.99670794162524168</v>
      </c>
      <c r="H54" s="1">
        <v>2.0053871249193875</v>
      </c>
      <c r="I54" s="1">
        <v>468.55567614230131</v>
      </c>
      <c r="J54" s="1" t="s">
        <v>16</v>
      </c>
      <c r="K54" s="1">
        <f t="shared" si="0"/>
        <v>1.1754076917296719</v>
      </c>
      <c r="L54" s="1">
        <f t="shared" si="1"/>
        <v>1.0135426923625244</v>
      </c>
      <c r="M54" s="1">
        <f t="shared" si="2"/>
        <v>236.52427666466428</v>
      </c>
    </row>
    <row r="55" spans="1:19" x14ac:dyDescent="0.3">
      <c r="A55" s="1">
        <v>53</v>
      </c>
      <c r="C55" s="1" t="s">
        <v>15</v>
      </c>
      <c r="D55" s="1">
        <v>16.399999999999999</v>
      </c>
      <c r="E55" s="1">
        <v>30</v>
      </c>
      <c r="F55" s="1">
        <v>183</v>
      </c>
      <c r="G55" s="1">
        <v>0.73097566432053496</v>
      </c>
      <c r="H55" s="1">
        <v>2.0673346989871391</v>
      </c>
      <c r="I55" s="1">
        <v>448.89425323075147</v>
      </c>
      <c r="J55" s="1" t="s">
        <v>16</v>
      </c>
      <c r="K55" s="1">
        <f t="shared" si="0"/>
        <v>0.8620322788926037</v>
      </c>
      <c r="L55" s="1">
        <f t="shared" si="1"/>
        <v>1.0448516153259546</v>
      </c>
      <c r="M55" s="1">
        <f t="shared" si="2"/>
        <v>226.59930068178869</v>
      </c>
    </row>
    <row r="56" spans="1:19" x14ac:dyDescent="0.3">
      <c r="A56" s="1">
        <v>54</v>
      </c>
      <c r="C56" s="1" t="s">
        <v>15</v>
      </c>
      <c r="D56" s="1">
        <v>16.399999999999999</v>
      </c>
      <c r="E56" s="1">
        <v>45</v>
      </c>
      <c r="F56" s="1">
        <v>184</v>
      </c>
      <c r="G56" s="1">
        <v>0.79531924565465029</v>
      </c>
      <c r="H56" s="1">
        <v>2.0363609119532633</v>
      </c>
      <c r="I56" s="1">
        <v>449.66014437243552</v>
      </c>
      <c r="J56" s="1" t="s">
        <v>16</v>
      </c>
      <c r="K56" s="1">
        <f t="shared" si="0"/>
        <v>0.93791201984282624</v>
      </c>
      <c r="L56" s="1">
        <f t="shared" si="1"/>
        <v>1.0291971538442395</v>
      </c>
      <c r="M56" s="1">
        <f t="shared" si="2"/>
        <v>226.98591823337219</v>
      </c>
    </row>
    <row r="57" spans="1:19" x14ac:dyDescent="0.3">
      <c r="A57" s="1">
        <v>55</v>
      </c>
      <c r="C57" s="1" t="s">
        <v>15</v>
      </c>
      <c r="D57" s="1">
        <v>16.399999999999999</v>
      </c>
      <c r="E57" s="1">
        <v>0</v>
      </c>
      <c r="F57" s="1">
        <v>185</v>
      </c>
      <c r="G57" s="1">
        <v>1.8147072197653318</v>
      </c>
      <c r="H57" s="1">
        <v>2.049827775881035</v>
      </c>
      <c r="I57" s="1">
        <v>482.54408236721804</v>
      </c>
      <c r="J57" s="1" t="s">
        <v>16</v>
      </c>
      <c r="K57" s="1">
        <f t="shared" si="0"/>
        <v>2.1400660467011172</v>
      </c>
      <c r="L57" s="1">
        <f t="shared" si="1"/>
        <v>1.036003441444985</v>
      </c>
      <c r="M57" s="1">
        <f t="shared" si="2"/>
        <v>243.58554565041251</v>
      </c>
      <c r="N57" s="1">
        <f>SLOPE(K57:K60,E57:E60)</f>
        <v>-1.1206136166905512E-2</v>
      </c>
      <c r="O57" s="1">
        <f>SLOPE(L57:L60,E57:E60)</f>
        <v>-3.3123932990295331E-4</v>
      </c>
      <c r="P57" s="1">
        <f>SLOPE(M57:M60,E57:E60)</f>
        <v>-6.132441905436963E-3</v>
      </c>
      <c r="Q57" s="1">
        <f>(N57*41.35/0.31*60)/1000</f>
        <v>-8.9685238161588951E-2</v>
      </c>
      <c r="R57" s="1">
        <f>O57*41.35/0.31*60/1000</f>
        <v>-2.6509831531910553E-3</v>
      </c>
      <c r="S57" s="1">
        <f>(P57*41.35/0.31*60)/1000</f>
        <v>-4.9079317314158412E-2</v>
      </c>
    </row>
    <row r="58" spans="1:19" x14ac:dyDescent="0.3">
      <c r="A58" s="1">
        <v>56</v>
      </c>
      <c r="C58" s="1" t="s">
        <v>15</v>
      </c>
      <c r="D58" s="1">
        <v>16.399999999999999</v>
      </c>
      <c r="E58" s="1">
        <v>15</v>
      </c>
      <c r="F58" s="1">
        <v>186</v>
      </c>
      <c r="G58" s="1">
        <v>1.1045537386171267</v>
      </c>
      <c r="H58" s="1">
        <v>2.0255874208110458</v>
      </c>
      <c r="I58" s="1">
        <v>478.83372224720137</v>
      </c>
      <c r="J58" s="1" t="s">
        <v>16</v>
      </c>
      <c r="K58" s="1">
        <f t="shared" si="0"/>
        <v>1.3025891598518959</v>
      </c>
      <c r="L58" s="1">
        <f t="shared" si="1"/>
        <v>1.0237521237636429</v>
      </c>
      <c r="M58" s="1">
        <f t="shared" si="2"/>
        <v>241.71257667738092</v>
      </c>
    </row>
    <row r="59" spans="1:19" x14ac:dyDescent="0.3">
      <c r="A59" s="1">
        <v>57</v>
      </c>
      <c r="C59" s="1" t="s">
        <v>15</v>
      </c>
      <c r="D59" s="1">
        <v>16.399999999999999</v>
      </c>
      <c r="E59" s="1">
        <v>30</v>
      </c>
      <c r="F59" s="1">
        <v>187</v>
      </c>
      <c r="G59" s="1">
        <v>0.7732713770166485</v>
      </c>
      <c r="H59" s="1">
        <v>2.0282807935966001</v>
      </c>
      <c r="I59" s="1">
        <v>461.77884668509961</v>
      </c>
      <c r="J59" s="1" t="s">
        <v>16</v>
      </c>
      <c r="K59" s="1">
        <f t="shared" si="0"/>
        <v>0.91191118920722902</v>
      </c>
      <c r="L59" s="1">
        <f t="shared" si="1"/>
        <v>1.025113381283792</v>
      </c>
      <c r="M59" s="1">
        <f t="shared" si="2"/>
        <v>233.10337117347223</v>
      </c>
    </row>
    <row r="60" spans="1:19" x14ac:dyDescent="0.3">
      <c r="A60" s="1">
        <v>58</v>
      </c>
      <c r="C60" s="1" t="s">
        <v>15</v>
      </c>
      <c r="D60" s="1">
        <v>16.399999999999999</v>
      </c>
      <c r="E60" s="1">
        <v>45</v>
      </c>
      <c r="F60" s="1">
        <v>188</v>
      </c>
      <c r="G60" s="1">
        <v>1.4500125100170611</v>
      </c>
      <c r="H60" s="1">
        <v>2.016160616061605</v>
      </c>
      <c r="I60" s="1">
        <v>487.6216211118338</v>
      </c>
      <c r="J60" s="1" t="s">
        <v>16</v>
      </c>
      <c r="K60" s="1">
        <f t="shared" si="0"/>
        <v>1.7099852285707307</v>
      </c>
      <c r="L60" s="1">
        <f t="shared" si="1"/>
        <v>1.018987722443121</v>
      </c>
      <c r="M60" s="1">
        <f t="shared" si="2"/>
        <v>246.14865872311023</v>
      </c>
    </row>
    <row r="61" spans="1:19" x14ac:dyDescent="0.3">
      <c r="A61" s="1">
        <v>59</v>
      </c>
      <c r="C61" s="1" t="s">
        <v>15</v>
      </c>
      <c r="D61" s="1">
        <v>16.399999999999999</v>
      </c>
      <c r="E61" s="1">
        <v>0</v>
      </c>
      <c r="F61" s="1">
        <v>189</v>
      </c>
      <c r="G61" s="1">
        <v>1.2928363096736013</v>
      </c>
      <c r="H61" s="1">
        <v>2.0242407344182682</v>
      </c>
      <c r="I61" s="1">
        <v>515.99541885634562</v>
      </c>
      <c r="J61" s="1" t="s">
        <v>16</v>
      </c>
      <c r="K61" s="1">
        <f t="shared" si="0"/>
        <v>1.5246289099090193</v>
      </c>
      <c r="L61" s="1">
        <f t="shared" si="1"/>
        <v>1.0230714950035682</v>
      </c>
      <c r="M61" s="1">
        <f t="shared" si="2"/>
        <v>260.47159264422652</v>
      </c>
      <c r="N61" s="1">
        <f>SLOPE(K61:K64,E61:E64)</f>
        <v>8.8121320610754089E-2</v>
      </c>
      <c r="O61" s="1">
        <f>SLOPE(L61:L64,E61:E64)</f>
        <v>3.856896307089223E-4</v>
      </c>
      <c r="P61" s="1">
        <f>SLOPE(M61:M64,E61:E64)</f>
        <v>0.82548793972151691</v>
      </c>
      <c r="Q61" s="1">
        <f>(N61*41.35/0.31*60)/1000</f>
        <v>0.70525482721058363</v>
      </c>
      <c r="R61" s="1">
        <f>O61*41.35/0.31*60/1000</f>
        <v>3.0867612057704397E-3</v>
      </c>
      <c r="S61" s="1">
        <f>(P61*41.35/0.31*60)/1000</f>
        <v>6.6065663820938187</v>
      </c>
    </row>
    <row r="62" spans="1:19" x14ac:dyDescent="0.3">
      <c r="A62" s="1">
        <v>60</v>
      </c>
      <c r="C62" s="1" t="s">
        <v>15</v>
      </c>
      <c r="D62" s="1">
        <v>16.399999999999999</v>
      </c>
      <c r="E62" s="1">
        <v>15</v>
      </c>
      <c r="F62" s="1">
        <v>190</v>
      </c>
      <c r="G62" s="1">
        <v>1.9806792158937665</v>
      </c>
      <c r="H62" s="1">
        <v>2.0309741663821543</v>
      </c>
      <c r="I62" s="1">
        <v>549.67429569730086</v>
      </c>
      <c r="J62" s="1" t="s">
        <v>16</v>
      </c>
      <c r="K62" s="1">
        <f t="shared" si="0"/>
        <v>2.3357951592262789</v>
      </c>
      <c r="L62" s="1">
        <f t="shared" si="1"/>
        <v>1.026474638803941</v>
      </c>
      <c r="M62" s="1">
        <f t="shared" si="2"/>
        <v>277.47250073111525</v>
      </c>
    </row>
    <row r="63" spans="1:19" x14ac:dyDescent="0.3">
      <c r="A63" s="1">
        <v>61</v>
      </c>
      <c r="C63" s="1" t="s">
        <v>15</v>
      </c>
      <c r="D63" s="1">
        <v>16.399999999999999</v>
      </c>
      <c r="E63" s="1">
        <v>30</v>
      </c>
      <c r="F63" s="1">
        <v>191</v>
      </c>
      <c r="G63" s="1">
        <v>1.9616281449347166</v>
      </c>
      <c r="H63" s="1">
        <v>2.0242407344182682</v>
      </c>
      <c r="I63" s="1">
        <v>543.26734034392132</v>
      </c>
      <c r="J63" s="1" t="s">
        <v>16</v>
      </c>
      <c r="K63" s="1">
        <f t="shared" si="0"/>
        <v>2.313328422075132</v>
      </c>
      <c r="L63" s="1">
        <f t="shared" si="1"/>
        <v>1.0230714950035682</v>
      </c>
      <c r="M63" s="1">
        <f t="shared" si="2"/>
        <v>274.23830561249571</v>
      </c>
    </row>
    <row r="64" spans="1:19" x14ac:dyDescent="0.3">
      <c r="A64" s="1">
        <v>62</v>
      </c>
      <c r="C64" s="1" t="s">
        <v>15</v>
      </c>
      <c r="D64" s="1">
        <v>16.399999999999999</v>
      </c>
      <c r="E64" s="1">
        <v>45</v>
      </c>
      <c r="F64" s="1">
        <v>192</v>
      </c>
      <c r="G64" s="1">
        <v>5.0353890370049417</v>
      </c>
      <c r="H64" s="1">
        <v>2.0646413262015844</v>
      </c>
      <c r="I64" s="1">
        <v>599.89584024454132</v>
      </c>
      <c r="J64" s="1" t="s">
        <v>16</v>
      </c>
      <c r="K64" s="1">
        <f t="shared" si="0"/>
        <v>5.9381838528304387</v>
      </c>
      <c r="L64" s="1">
        <f t="shared" si="1"/>
        <v>1.0434903578058052</v>
      </c>
      <c r="M64" s="1">
        <f t="shared" si="2"/>
        <v>302.82405466984221</v>
      </c>
    </row>
    <row r="65" spans="1:19" x14ac:dyDescent="0.3">
      <c r="A65" s="1">
        <v>63</v>
      </c>
      <c r="C65" s="1" t="s">
        <v>15</v>
      </c>
      <c r="D65" s="1">
        <v>16.399999999999999</v>
      </c>
      <c r="E65" s="1">
        <v>0</v>
      </c>
      <c r="F65" s="1">
        <v>193</v>
      </c>
      <c r="G65" s="1">
        <v>0.54162280837872034</v>
      </c>
      <c r="H65" s="1">
        <v>2.0632946398088072</v>
      </c>
      <c r="I65" s="1">
        <v>484.23465876845745</v>
      </c>
      <c r="J65" s="1" t="s">
        <v>129</v>
      </c>
      <c r="K65" s="1">
        <f t="shared" si="0"/>
        <v>0.63873035259103361</v>
      </c>
      <c r="L65" s="1">
        <f t="shared" si="1"/>
        <v>1.0428097290457305</v>
      </c>
      <c r="M65" s="1">
        <f t="shared" si="2"/>
        <v>244.43893913342745</v>
      </c>
      <c r="N65" s="1">
        <f>SLOPE(K65:K68,E65:E68)</f>
        <v>5.1399641450358474E-3</v>
      </c>
      <c r="O65" s="1">
        <f>SLOPE(L65:L68,E65:E68)</f>
        <v>9.0750501343282627E-5</v>
      </c>
      <c r="P65" s="1">
        <f>SLOPE(M65:M68,E65:E68)</f>
        <v>3.576696235050139</v>
      </c>
      <c r="Q65" s="1">
        <f>(N65*41.35/0.31*60)/1000</f>
        <v>4.1136293689786899E-2</v>
      </c>
      <c r="R65" s="1">
        <f>O65*41.35/0.31*60/1000</f>
        <v>7.2629675429898132E-4</v>
      </c>
      <c r="S65" s="1">
        <f>(P65*41.35/0.31*60)/1000</f>
        <v>28.625107610191598</v>
      </c>
    </row>
    <row r="66" spans="1:19" x14ac:dyDescent="0.3">
      <c r="A66" s="1">
        <v>64</v>
      </c>
      <c r="C66" s="1" t="s">
        <v>15</v>
      </c>
      <c r="D66" s="1">
        <v>16.399999999999999</v>
      </c>
      <c r="E66" s="1">
        <v>15</v>
      </c>
      <c r="F66" s="1">
        <v>194</v>
      </c>
      <c r="G66" s="1">
        <v>0.61078267169686529</v>
      </c>
      <c r="H66" s="1">
        <v>2.111775349948787</v>
      </c>
      <c r="I66" s="1">
        <v>682.03887551117384</v>
      </c>
      <c r="J66" s="1" t="s">
        <v>129</v>
      </c>
      <c r="K66" s="1">
        <f t="shared" si="0"/>
        <v>0.72028988664126536</v>
      </c>
      <c r="L66" s="1">
        <f t="shared" si="1"/>
        <v>1.0673123644084153</v>
      </c>
      <c r="M66" s="1">
        <f t="shared" si="2"/>
        <v>344.28939804043387</v>
      </c>
    </row>
    <row r="67" spans="1:19" x14ac:dyDescent="0.3">
      <c r="A67" s="1">
        <v>65</v>
      </c>
      <c r="C67" s="1" t="s">
        <v>15</v>
      </c>
      <c r="D67" s="1">
        <v>16.399999999999999</v>
      </c>
      <c r="E67" s="1">
        <v>30</v>
      </c>
      <c r="F67" s="1">
        <v>195</v>
      </c>
      <c r="G67" s="1">
        <v>0.74498666645589351</v>
      </c>
      <c r="H67" s="1">
        <v>2.0821482493076884</v>
      </c>
      <c r="I67" s="1">
        <v>741.87424198734072</v>
      </c>
      <c r="J67" s="1" t="s">
        <v>129</v>
      </c>
      <c r="K67" s="1">
        <f t="shared" ref="K67:K130" si="3">(G67*28*1)/(0.082*(D67+273.15))</f>
        <v>0.87855531336535742</v>
      </c>
      <c r="L67" s="1">
        <f t="shared" ref="L67:L130" si="4">(H67*12*1)/(0.082*(D67+273.15))</f>
        <v>1.0523385316867748</v>
      </c>
      <c r="M67" s="1">
        <f t="shared" ref="M67:M130" si="5">(I67*12*1)/(0.0821*(D67+273.15))</f>
        <v>374.49395535422116</v>
      </c>
    </row>
    <row r="68" spans="1:19" x14ac:dyDescent="0.3">
      <c r="A68" s="1">
        <v>66</v>
      </c>
      <c r="C68" s="1" t="s">
        <v>15</v>
      </c>
      <c r="D68" s="1">
        <v>16.399999999999999</v>
      </c>
      <c r="E68" s="1">
        <v>45</v>
      </c>
      <c r="F68" s="1">
        <v>196</v>
      </c>
      <c r="G68" s="1">
        <v>0.71481436255190256</v>
      </c>
      <c r="H68" s="1">
        <v>2.0821482493076884</v>
      </c>
      <c r="I68" s="1">
        <v>818.56211835100521</v>
      </c>
      <c r="J68" s="1" t="s">
        <v>129</v>
      </c>
      <c r="K68" s="1">
        <f t="shared" si="3"/>
        <v>0.84297341760146194</v>
      </c>
      <c r="L68" s="1">
        <f t="shared" si="4"/>
        <v>1.0523385316867748</v>
      </c>
      <c r="M68" s="1">
        <f t="shared" si="5"/>
        <v>413.20556511467197</v>
      </c>
    </row>
    <row r="69" spans="1:19" x14ac:dyDescent="0.3">
      <c r="A69" s="1">
        <v>67</v>
      </c>
      <c r="B69" s="1" t="s">
        <v>135</v>
      </c>
      <c r="C69" s="1" t="s">
        <v>15</v>
      </c>
      <c r="D69" s="1">
        <v>22.6</v>
      </c>
      <c r="E69" s="1">
        <v>0</v>
      </c>
      <c r="F69" s="1">
        <v>165</v>
      </c>
      <c r="G69" s="1">
        <v>0.42809908086678278</v>
      </c>
      <c r="H69" s="1">
        <v>1.9668608467732411</v>
      </c>
      <c r="I69" s="1">
        <v>450.03054214279183</v>
      </c>
      <c r="J69" s="1" t="s">
        <v>129</v>
      </c>
      <c r="K69" s="1">
        <f t="shared" si="3"/>
        <v>0.49426939629589584</v>
      </c>
      <c r="L69" s="1">
        <f t="shared" si="4"/>
        <v>0.97323176551054136</v>
      </c>
      <c r="M69" s="1">
        <f t="shared" si="5"/>
        <v>222.41051953892082</v>
      </c>
      <c r="N69" s="1">
        <f>SLOPE(K69:K72,E69:E72)</f>
        <v>-3.621972389618344E-4</v>
      </c>
      <c r="O69" s="1">
        <f>SLOPE(L69:L72,E69:E72)</f>
        <v>6.4170073945983641E-3</v>
      </c>
      <c r="P69" s="1">
        <f>SLOPE(M69:M72,E69:E72)</f>
        <v>7.6172829779962434</v>
      </c>
      <c r="Q69" s="1">
        <f>(N69*41.35/0.31*60)/1000</f>
        <v>-2.8987462898848746E-3</v>
      </c>
      <c r="R69" s="1">
        <f>O69*41.35/0.31*60/1000</f>
        <v>5.1356759180640463E-2</v>
      </c>
      <c r="S69" s="1">
        <f>(P69*41.35/0.31*60)/1000</f>
        <v>60.962835704544133</v>
      </c>
    </row>
    <row r="70" spans="1:19" x14ac:dyDescent="0.3">
      <c r="A70" s="1">
        <v>68</v>
      </c>
      <c r="B70" s="1" t="s">
        <v>168</v>
      </c>
      <c r="C70" s="1" t="s">
        <v>15</v>
      </c>
      <c r="D70" s="1">
        <v>22.6</v>
      </c>
      <c r="E70" s="1">
        <v>15</v>
      </c>
      <c r="F70" s="1">
        <v>166</v>
      </c>
      <c r="G70" s="1">
        <v>0.44136569283551202</v>
      </c>
      <c r="H70" s="1">
        <v>2.1948067250702494</v>
      </c>
      <c r="I70" s="1">
        <v>933.73169249202988</v>
      </c>
      <c r="J70" s="1" t="s">
        <v>129</v>
      </c>
      <c r="K70" s="1">
        <f t="shared" si="3"/>
        <v>0.50958659874211232</v>
      </c>
      <c r="L70" s="1">
        <f t="shared" si="4"/>
        <v>1.0860227491430632</v>
      </c>
      <c r="M70" s="1">
        <f t="shared" si="5"/>
        <v>461.46145958959227</v>
      </c>
    </row>
    <row r="71" spans="1:19" x14ac:dyDescent="0.3">
      <c r="A71" s="1">
        <v>69</v>
      </c>
      <c r="C71" s="1" t="s">
        <v>15</v>
      </c>
      <c r="D71" s="1">
        <v>22.6</v>
      </c>
      <c r="E71" s="1">
        <v>30</v>
      </c>
      <c r="F71" s="1">
        <v>167</v>
      </c>
      <c r="G71" s="1">
        <v>0.41199510102034842</v>
      </c>
      <c r="H71" s="1">
        <v>2.5650898486386922</v>
      </c>
      <c r="I71" s="1">
        <v>1049.9933875398788</v>
      </c>
      <c r="J71" s="1" t="s">
        <v>129</v>
      </c>
      <c r="K71" s="1">
        <f t="shared" si="3"/>
        <v>0.47567626037852317</v>
      </c>
      <c r="L71" s="1">
        <f t="shared" si="4"/>
        <v>1.2692443017406885</v>
      </c>
      <c r="M71" s="1">
        <f t="shared" si="5"/>
        <v>518.91939094453369</v>
      </c>
    </row>
    <row r="72" spans="1:19" x14ac:dyDescent="0.3">
      <c r="A72" s="1">
        <v>70</v>
      </c>
      <c r="C72" s="1" t="s">
        <v>15</v>
      </c>
      <c r="D72" s="1">
        <v>22.6</v>
      </c>
      <c r="E72" s="1">
        <v>45</v>
      </c>
      <c r="F72" s="1">
        <v>168</v>
      </c>
      <c r="G72" s="1">
        <v>0.42220387395871306</v>
      </c>
      <c r="H72" s="1">
        <v>2.491858367375853</v>
      </c>
      <c r="I72" s="1">
        <v>1181.9258908141346</v>
      </c>
      <c r="J72" s="1" t="s">
        <v>129</v>
      </c>
      <c r="K72" s="1">
        <f t="shared" si="3"/>
        <v>0.4874629804690005</v>
      </c>
      <c r="L72" s="1">
        <f t="shared" si="4"/>
        <v>1.2330082843745844</v>
      </c>
      <c r="M72" s="1">
        <f t="shared" si="5"/>
        <v>584.12202465375253</v>
      </c>
    </row>
    <row r="73" spans="1:19" x14ac:dyDescent="0.3">
      <c r="A73" s="1">
        <v>71</v>
      </c>
      <c r="C73" s="1" t="s">
        <v>15</v>
      </c>
      <c r="D73" s="1">
        <v>22.6</v>
      </c>
      <c r="E73" s="1">
        <v>0</v>
      </c>
      <c r="F73" s="1">
        <v>169</v>
      </c>
      <c r="G73" s="1">
        <v>0.73497575396425174</v>
      </c>
      <c r="H73" s="1">
        <v>1.8544350515950787</v>
      </c>
      <c r="I73" s="1">
        <v>425.49984819315614</v>
      </c>
      <c r="J73" s="1" t="s">
        <v>16</v>
      </c>
      <c r="K73" s="1">
        <f t="shared" si="3"/>
        <v>0.84857930894992273</v>
      </c>
      <c r="L73" s="1">
        <f t="shared" si="4"/>
        <v>0.91760182335694462</v>
      </c>
      <c r="M73" s="1">
        <f t="shared" si="5"/>
        <v>210.28715484458053</v>
      </c>
      <c r="N73" s="1">
        <f>SLOPE(K73:K76,E73:E76)</f>
        <v>8.5255061852557171E-2</v>
      </c>
      <c r="O73" s="1">
        <f>SLOPE(L73:L76,E73:E76)</f>
        <v>-2.0414657671044002E-5</v>
      </c>
      <c r="P73" s="1">
        <f>SLOPE(M73:M76,E73:E76)</f>
        <v>4.4439433908100625</v>
      </c>
      <c r="Q73" s="1">
        <f>(N73*41.35/0.31*60)/1000</f>
        <v>0.68231551114901401</v>
      </c>
      <c r="R73" s="1">
        <f>O73*41.35/0.31*60/1000</f>
        <v>-1.6338311510277477E-4</v>
      </c>
      <c r="S73" s="1">
        <f>(P73*41.35/0.31*60)/1000</f>
        <v>35.565882427741187</v>
      </c>
    </row>
    <row r="74" spans="1:19" x14ac:dyDescent="0.3">
      <c r="A74" s="1">
        <v>72</v>
      </c>
      <c r="C74" s="1" t="s">
        <v>15</v>
      </c>
      <c r="D74" s="1">
        <v>22.6</v>
      </c>
      <c r="E74" s="1">
        <v>15</v>
      </c>
      <c r="F74" s="1">
        <v>170</v>
      </c>
      <c r="G74" s="1">
        <v>2.8638260326399716</v>
      </c>
      <c r="H74" s="1">
        <v>1.8585607688493231</v>
      </c>
      <c r="I74" s="1">
        <v>688.5852581718184</v>
      </c>
      <c r="J74" s="1" t="s">
        <v>16</v>
      </c>
      <c r="K74" s="1">
        <f t="shared" si="3"/>
        <v>3.3064812037984952</v>
      </c>
      <c r="L74" s="1">
        <f t="shared" si="4"/>
        <v>0.91964328912404913</v>
      </c>
      <c r="M74" s="1">
        <f t="shared" si="5"/>
        <v>340.3071362393066</v>
      </c>
    </row>
    <row r="75" spans="1:19" x14ac:dyDescent="0.3">
      <c r="A75" s="1">
        <v>73</v>
      </c>
      <c r="C75" s="1" t="s">
        <v>15</v>
      </c>
      <c r="D75" s="1">
        <v>22.6</v>
      </c>
      <c r="E75" s="1">
        <v>30</v>
      </c>
      <c r="F75" s="1">
        <v>171</v>
      </c>
      <c r="G75" s="1">
        <v>4.3248308471008556</v>
      </c>
      <c r="H75" s="1">
        <v>1.8523721929679564</v>
      </c>
      <c r="I75" s="1">
        <v>876.56892047337124</v>
      </c>
      <c r="J75" s="1" t="s">
        <v>16</v>
      </c>
      <c r="K75" s="1">
        <f t="shared" si="3"/>
        <v>4.9933102578736968</v>
      </c>
      <c r="L75" s="1">
        <f t="shared" si="4"/>
        <v>0.91658109047339253</v>
      </c>
      <c r="M75" s="1">
        <f t="shared" si="5"/>
        <v>433.2109284980362</v>
      </c>
    </row>
    <row r="76" spans="1:19" x14ac:dyDescent="0.3">
      <c r="A76" s="1">
        <v>74</v>
      </c>
      <c r="C76" s="1" t="s">
        <v>15</v>
      </c>
      <c r="D76" s="1">
        <v>22.6</v>
      </c>
      <c r="E76" s="1">
        <v>45</v>
      </c>
      <c r="F76" s="1">
        <v>172</v>
      </c>
      <c r="G76" s="1">
        <v>3.9400511714962603</v>
      </c>
      <c r="H76" s="1">
        <v>1.8544350515950787</v>
      </c>
      <c r="I76" s="1">
        <v>812.43747229269457</v>
      </c>
      <c r="J76" s="1" t="s">
        <v>16</v>
      </c>
      <c r="K76" s="1">
        <f t="shared" si="3"/>
        <v>4.54905605021938</v>
      </c>
      <c r="L76" s="1">
        <f t="shared" si="4"/>
        <v>0.91760182335694462</v>
      </c>
      <c r="M76" s="1">
        <f t="shared" si="5"/>
        <v>401.51639363217379</v>
      </c>
    </row>
    <row r="77" spans="1:19" x14ac:dyDescent="0.3">
      <c r="A77" s="1">
        <v>75</v>
      </c>
      <c r="C77" s="1" t="s">
        <v>15</v>
      </c>
      <c r="D77" s="1">
        <v>22.6</v>
      </c>
      <c r="E77" s="1">
        <v>0</v>
      </c>
      <c r="F77" s="1">
        <v>173</v>
      </c>
      <c r="G77" s="1">
        <v>0.53331174919682023</v>
      </c>
      <c r="H77" s="1">
        <v>1.8276178894424895</v>
      </c>
      <c r="I77" s="1">
        <v>413.23816990807876</v>
      </c>
      <c r="J77" s="1" t="s">
        <v>16</v>
      </c>
      <c r="K77" s="1">
        <f t="shared" si="3"/>
        <v>0.61574455095606317</v>
      </c>
      <c r="L77" s="1">
        <f t="shared" si="4"/>
        <v>0.90433229587076569</v>
      </c>
      <c r="M77" s="1">
        <f t="shared" si="5"/>
        <v>204.22728560811021</v>
      </c>
      <c r="N77" s="1">
        <f>SLOPE(K77:K80,E77:E80)</f>
        <v>1.7539820011196319E-2</v>
      </c>
      <c r="O77" s="1">
        <f>SLOPE(L77:L80,E77:E80)</f>
        <v>-3.4024429451765908E-6</v>
      </c>
      <c r="P77" s="1">
        <f>SLOPE(M77:M80,E77:E80)</f>
        <v>3.4311820598074534</v>
      </c>
      <c r="Q77" s="1">
        <f>(N77*41.35/0.31*60)/1000</f>
        <v>0.14037514015412278</v>
      </c>
      <c r="R77" s="1">
        <f>O77*41.35/0.31*60/1000</f>
        <v>-2.7230519183816519E-5</v>
      </c>
      <c r="S77" s="1">
        <f>(P77*41.35/0.31*60)/1000</f>
        <v>27.460524807684813</v>
      </c>
    </row>
    <row r="78" spans="1:19" x14ac:dyDescent="0.3">
      <c r="A78" s="1">
        <v>76</v>
      </c>
      <c r="C78" s="1" t="s">
        <v>15</v>
      </c>
      <c r="D78" s="1">
        <v>22.6</v>
      </c>
      <c r="E78" s="1">
        <v>15</v>
      </c>
      <c r="F78" s="1">
        <v>174</v>
      </c>
      <c r="G78" s="1">
        <v>0.9006166895275759</v>
      </c>
      <c r="H78" s="1">
        <v>1.8472150464001509</v>
      </c>
      <c r="I78" s="1">
        <v>640.15763642521267</v>
      </c>
      <c r="J78" s="1" t="s">
        <v>16</v>
      </c>
      <c r="K78" s="1">
        <f t="shared" si="3"/>
        <v>1.0398229926714688</v>
      </c>
      <c r="L78" s="1">
        <f t="shared" si="4"/>
        <v>0.91402925826451198</v>
      </c>
      <c r="M78" s="1">
        <f t="shared" si="5"/>
        <v>316.3736217240197</v>
      </c>
    </row>
    <row r="79" spans="1:19" x14ac:dyDescent="0.3">
      <c r="A79" s="1">
        <v>77</v>
      </c>
      <c r="C79" s="1" t="s">
        <v>15</v>
      </c>
      <c r="D79" s="1">
        <v>22.6</v>
      </c>
      <c r="E79" s="1">
        <v>30</v>
      </c>
      <c r="F79" s="1">
        <v>175</v>
      </c>
      <c r="G79" s="1">
        <v>0.99310913091938835</v>
      </c>
      <c r="H79" s="1">
        <v>1.849277905027273</v>
      </c>
      <c r="I79" s="1">
        <v>680.82964806047016</v>
      </c>
      <c r="J79" s="1" t="s">
        <v>16</v>
      </c>
      <c r="K79" s="1">
        <f t="shared" si="3"/>
        <v>1.1466117834254737</v>
      </c>
      <c r="L79" s="1">
        <f t="shared" si="4"/>
        <v>0.91504999114806396</v>
      </c>
      <c r="M79" s="1">
        <f t="shared" si="5"/>
        <v>336.47422021988899</v>
      </c>
    </row>
    <row r="80" spans="1:19" x14ac:dyDescent="0.3">
      <c r="A80" s="1">
        <v>78</v>
      </c>
      <c r="C80" s="1" t="s">
        <v>15</v>
      </c>
      <c r="D80" s="1">
        <v>22.6</v>
      </c>
      <c r="E80" s="1">
        <v>45</v>
      </c>
      <c r="F80" s="1">
        <v>176</v>
      </c>
      <c r="G80" s="1">
        <v>1.2620647657594202</v>
      </c>
      <c r="H80" s="1">
        <v>1.8265864601289283</v>
      </c>
      <c r="I80" s="1">
        <v>746.81745324982319</v>
      </c>
      <c r="J80" s="1" t="s">
        <v>16</v>
      </c>
      <c r="K80" s="1">
        <f t="shared" si="3"/>
        <v>1.4571392879312108</v>
      </c>
      <c r="L80" s="1">
        <f t="shared" si="4"/>
        <v>0.90382192942898953</v>
      </c>
      <c r="M80" s="1">
        <f t="shared" si="5"/>
        <v>369.08618909985978</v>
      </c>
    </row>
    <row r="81" spans="1:19" x14ac:dyDescent="0.3">
      <c r="A81" s="1">
        <v>79</v>
      </c>
      <c r="C81" s="1" t="s">
        <v>15</v>
      </c>
      <c r="D81" s="1">
        <v>22.6</v>
      </c>
      <c r="E81" s="1">
        <v>0</v>
      </c>
      <c r="F81" s="1">
        <v>177</v>
      </c>
      <c r="G81" s="1">
        <v>0.46566544813950661</v>
      </c>
      <c r="H81" s="1">
        <v>1.8214293135611228</v>
      </c>
      <c r="I81" s="1">
        <v>430.44157327356578</v>
      </c>
      <c r="J81" s="1" t="s">
        <v>16</v>
      </c>
      <c r="K81" s="1">
        <f t="shared" si="3"/>
        <v>0.53764231276029051</v>
      </c>
      <c r="L81" s="1">
        <f t="shared" si="4"/>
        <v>0.90127009722010898</v>
      </c>
      <c r="M81" s="1">
        <f t="shared" si="5"/>
        <v>212.72941495723683</v>
      </c>
      <c r="N81" s="1">
        <f>SLOPE(K81:K84,E81:E84)</f>
        <v>7.8997955140363615E-3</v>
      </c>
      <c r="O81" s="1">
        <f>SLOPE(L81:L84,E81:E84)</f>
        <v>1.4802973661668755E-18</v>
      </c>
      <c r="P81" s="1">
        <f>SLOPE(M81:M84,E81:E84)</f>
        <v>2.9054283064785831</v>
      </c>
      <c r="Q81" s="1">
        <f>(N81*41.35/0.31*60)/1000</f>
        <v>6.3223847323626486E-2</v>
      </c>
      <c r="R81" s="1">
        <f>O81*41.35/0.31*60/1000</f>
        <v>1.1847154082129091E-17</v>
      </c>
      <c r="S81" s="1">
        <f>(P81*41.35/0.31*60)/1000</f>
        <v>23.252798801204399</v>
      </c>
    </row>
    <row r="82" spans="1:19" x14ac:dyDescent="0.3">
      <c r="A82" s="1">
        <v>80</v>
      </c>
      <c r="C82" s="1" t="s">
        <v>15</v>
      </c>
      <c r="D82" s="1">
        <v>22.6</v>
      </c>
      <c r="E82" s="1">
        <v>15</v>
      </c>
      <c r="F82" s="1">
        <v>178</v>
      </c>
      <c r="G82" s="1">
        <v>0.59879168153669693</v>
      </c>
      <c r="H82" s="1">
        <v>1.7739835651373108</v>
      </c>
      <c r="I82" s="1">
        <v>510.43368437471838</v>
      </c>
      <c r="J82" s="1" t="s">
        <v>16</v>
      </c>
      <c r="K82" s="1">
        <f t="shared" si="3"/>
        <v>0.69134556967723704</v>
      </c>
      <c r="L82" s="1">
        <f t="shared" si="4"/>
        <v>0.8777932408984076</v>
      </c>
      <c r="M82" s="1">
        <f t="shared" si="5"/>
        <v>252.26248065609207</v>
      </c>
    </row>
    <row r="83" spans="1:19" x14ac:dyDescent="0.3">
      <c r="A83" s="1">
        <v>81</v>
      </c>
      <c r="C83" s="1" t="s">
        <v>15</v>
      </c>
      <c r="D83" s="1">
        <v>22.6</v>
      </c>
      <c r="E83" s="1">
        <v>30</v>
      </c>
      <c r="F83" s="1">
        <v>179</v>
      </c>
      <c r="G83" s="1">
        <v>0.69356552007342065</v>
      </c>
      <c r="H83" s="1">
        <v>1.8203978842475614</v>
      </c>
      <c r="I83" s="1">
        <v>570.03980376052834</v>
      </c>
      <c r="J83" s="1" t="s">
        <v>16</v>
      </c>
      <c r="K83" s="1">
        <f t="shared" si="3"/>
        <v>0.80076838801953609</v>
      </c>
      <c r="L83" s="1">
        <f t="shared" si="4"/>
        <v>0.90075973077833282</v>
      </c>
      <c r="M83" s="1">
        <f t="shared" si="5"/>
        <v>281.72054347372762</v>
      </c>
    </row>
    <row r="84" spans="1:19" x14ac:dyDescent="0.3">
      <c r="A84" s="1">
        <v>82</v>
      </c>
      <c r="C84" s="1" t="s">
        <v>15</v>
      </c>
      <c r="D84" s="1">
        <v>22.6</v>
      </c>
      <c r="E84" s="1">
        <v>45</v>
      </c>
      <c r="F84" s="1">
        <v>180</v>
      </c>
      <c r="G84" s="1">
        <v>0.77618468810700247</v>
      </c>
      <c r="H84" s="1">
        <v>1.805957873857706</v>
      </c>
      <c r="I84" s="1">
        <v>704.51837771466853</v>
      </c>
      <c r="J84" s="1" t="s">
        <v>16</v>
      </c>
      <c r="K84" s="1">
        <f t="shared" si="3"/>
        <v>0.89615781568134223</v>
      </c>
      <c r="L84" s="1">
        <f t="shared" si="4"/>
        <v>0.89361460059346731</v>
      </c>
      <c r="M84" s="1">
        <f t="shared" si="5"/>
        <v>348.18147600862079</v>
      </c>
    </row>
    <row r="85" spans="1:19" x14ac:dyDescent="0.3">
      <c r="A85" s="1">
        <v>83</v>
      </c>
      <c r="C85" s="1" t="s">
        <v>15</v>
      </c>
      <c r="D85" s="1">
        <v>22.6</v>
      </c>
      <c r="E85" s="1">
        <v>0</v>
      </c>
      <c r="F85" s="1">
        <v>181</v>
      </c>
      <c r="G85" s="1">
        <v>0.43243181830165683</v>
      </c>
      <c r="H85" s="1">
        <v>1.8121464497390727</v>
      </c>
      <c r="I85" s="1">
        <v>405.98608746360969</v>
      </c>
      <c r="J85" s="1" t="s">
        <v>16</v>
      </c>
      <c r="K85" s="1">
        <f t="shared" si="3"/>
        <v>0.49927183524509378</v>
      </c>
      <c r="L85" s="1">
        <f t="shared" si="4"/>
        <v>0.89667679924412391</v>
      </c>
      <c r="M85" s="1">
        <f t="shared" si="5"/>
        <v>200.64321903224285</v>
      </c>
      <c r="N85" s="1">
        <f>SLOPE(K85:K88,E85:E88)</f>
        <v>1.0051877214186843E-2</v>
      </c>
      <c r="O85" s="1">
        <f>SLOPE(L85:L88,E85:E88)</f>
        <v>-2.8240276444945129E-4</v>
      </c>
      <c r="P85" s="1">
        <f>SLOPE(M85:M88,E85:E88)</f>
        <v>1.3790006268125636</v>
      </c>
      <c r="Q85" s="1">
        <f>(N85*41.35/0.31*60)/1000</f>
        <v>8.0447443123863094E-2</v>
      </c>
      <c r="R85" s="1">
        <f>O85*41.35/0.31*60/1000</f>
        <v>-2.2601330922551247E-3</v>
      </c>
      <c r="S85" s="1">
        <f>(P85*41.35/0.31*60)/1000</f>
        <v>11.036453403619259</v>
      </c>
    </row>
    <row r="86" spans="1:19" x14ac:dyDescent="0.3">
      <c r="A86" s="1">
        <v>84</v>
      </c>
      <c r="C86" s="1" t="s">
        <v>15</v>
      </c>
      <c r="D86" s="1">
        <v>22.6</v>
      </c>
      <c r="E86" s="1">
        <v>15</v>
      </c>
      <c r="F86" s="1">
        <v>182</v>
      </c>
      <c r="G86" s="1">
        <v>0.73864707794114715</v>
      </c>
      <c r="H86" s="1">
        <v>1.8224607428746837</v>
      </c>
      <c r="I86" s="1">
        <v>516.58424272461207</v>
      </c>
      <c r="J86" s="1" t="s">
        <v>16</v>
      </c>
      <c r="K86" s="1">
        <f t="shared" si="3"/>
        <v>0.85281810124537116</v>
      </c>
      <c r="L86" s="1">
        <f t="shared" si="4"/>
        <v>0.90178046366188502</v>
      </c>
      <c r="M86" s="1">
        <f t="shared" si="5"/>
        <v>255.30216074433872</v>
      </c>
    </row>
    <row r="87" spans="1:19" x14ac:dyDescent="0.3">
      <c r="A87" s="1">
        <v>85</v>
      </c>
      <c r="C87" s="1" t="s">
        <v>15</v>
      </c>
      <c r="D87" s="1">
        <v>22.6</v>
      </c>
      <c r="E87" s="1">
        <v>30</v>
      </c>
      <c r="F87" s="1">
        <v>183</v>
      </c>
      <c r="G87" s="1">
        <v>0.87536794969691645</v>
      </c>
      <c r="H87" s="1">
        <v>1.8111150204255115</v>
      </c>
      <c r="I87" s="1">
        <v>546.04015265082535</v>
      </c>
      <c r="J87" s="1" t="s">
        <v>16</v>
      </c>
      <c r="K87" s="1">
        <f t="shared" si="3"/>
        <v>1.0106716117153025</v>
      </c>
      <c r="L87" s="1">
        <f t="shared" si="4"/>
        <v>0.89616643280234787</v>
      </c>
      <c r="M87" s="1">
        <f t="shared" si="5"/>
        <v>269.8596265531861</v>
      </c>
    </row>
    <row r="88" spans="1:19" x14ac:dyDescent="0.3">
      <c r="A88" s="1">
        <v>86</v>
      </c>
      <c r="C88" s="1" t="s">
        <v>15</v>
      </c>
      <c r="D88" s="1">
        <v>22.6</v>
      </c>
      <c r="E88" s="1">
        <v>45</v>
      </c>
      <c r="F88" s="1">
        <v>184</v>
      </c>
      <c r="G88" s="1">
        <v>0.82216730198994603</v>
      </c>
      <c r="H88" s="1">
        <v>1.7873921462136055</v>
      </c>
      <c r="I88" s="1">
        <v>535.68252434105057</v>
      </c>
      <c r="J88" s="1" t="s">
        <v>16</v>
      </c>
      <c r="K88" s="1">
        <f t="shared" si="3"/>
        <v>0.94924785913112542</v>
      </c>
      <c r="L88" s="1">
        <f t="shared" si="4"/>
        <v>0.88442800464149707</v>
      </c>
      <c r="M88" s="1">
        <f t="shared" si="5"/>
        <v>264.7407617699219</v>
      </c>
    </row>
    <row r="89" spans="1:19" x14ac:dyDescent="0.3">
      <c r="A89" s="1">
        <v>87</v>
      </c>
      <c r="C89" s="1" t="s">
        <v>15</v>
      </c>
      <c r="D89" s="1">
        <v>22.6</v>
      </c>
      <c r="E89" s="1">
        <v>0</v>
      </c>
      <c r="F89" s="1">
        <v>185</v>
      </c>
      <c r="G89" s="1">
        <v>0.48880533346646637</v>
      </c>
      <c r="H89" s="1">
        <v>1.8399950412052228</v>
      </c>
      <c r="I89" s="1">
        <v>413.61421060647666</v>
      </c>
      <c r="J89" s="1" t="s">
        <v>16</v>
      </c>
      <c r="K89" s="1">
        <f t="shared" si="3"/>
        <v>0.56435887829870557</v>
      </c>
      <c r="L89" s="1">
        <f t="shared" si="4"/>
        <v>0.91045669317207911</v>
      </c>
      <c r="M89" s="1">
        <f t="shared" si="5"/>
        <v>204.41312945484165</v>
      </c>
      <c r="N89" s="1">
        <f>SLOPE(K89:K92,E89:E92)</f>
        <v>9.4098975490397845E-3</v>
      </c>
      <c r="O89" s="1">
        <f>SLOPE(L89:L92,E89:E92)</f>
        <v>-1.7692703314905542E-4</v>
      </c>
      <c r="P89" s="1">
        <f>SLOPE(M89:M92,E89:E92)</f>
        <v>1.0079384565410903</v>
      </c>
      <c r="Q89" s="1">
        <f>(N89*41.35/0.31*60)/1000</f>
        <v>7.5309534900541E-2</v>
      </c>
      <c r="R89" s="1">
        <f>O89*41.35/0.31*60/1000</f>
        <v>-1.4159869975574405E-3</v>
      </c>
      <c r="S89" s="1">
        <f>(P89*41.35/0.31*60)/1000</f>
        <v>8.0667590667046607</v>
      </c>
    </row>
    <row r="90" spans="1:19" x14ac:dyDescent="0.3">
      <c r="A90" s="1">
        <v>88</v>
      </c>
      <c r="C90" s="1" t="s">
        <v>15</v>
      </c>
      <c r="D90" s="1">
        <v>22.6</v>
      </c>
      <c r="E90" s="1">
        <v>15</v>
      </c>
      <c r="F90" s="1">
        <v>186</v>
      </c>
      <c r="G90" s="1">
        <v>0.7085767298588469</v>
      </c>
      <c r="H90" s="1">
        <v>1.8864093603154735</v>
      </c>
      <c r="I90" s="1">
        <v>482.97354166731941</v>
      </c>
      <c r="J90" s="1" t="s">
        <v>16</v>
      </c>
      <c r="K90" s="1">
        <f t="shared" si="3"/>
        <v>0.81809984685680115</v>
      </c>
      <c r="L90" s="1">
        <f t="shared" si="4"/>
        <v>0.93342318305200422</v>
      </c>
      <c r="M90" s="1">
        <f t="shared" si="5"/>
        <v>238.69134706794625</v>
      </c>
    </row>
    <row r="91" spans="1:19" x14ac:dyDescent="0.3">
      <c r="A91" s="1">
        <v>89</v>
      </c>
      <c r="C91" s="1" t="s">
        <v>15</v>
      </c>
      <c r="D91" s="1">
        <v>22.6</v>
      </c>
      <c r="E91" s="1">
        <v>30</v>
      </c>
      <c r="F91" s="1">
        <v>187</v>
      </c>
      <c r="G91" s="1">
        <v>0.83827128183638033</v>
      </c>
      <c r="H91" s="1">
        <v>1.8668122033578121</v>
      </c>
      <c r="I91" s="1">
        <v>498.80944093204721</v>
      </c>
      <c r="J91" s="1" t="s">
        <v>16</v>
      </c>
      <c r="K91" s="1">
        <f t="shared" si="3"/>
        <v>0.96784099504849797</v>
      </c>
      <c r="L91" s="1">
        <f t="shared" si="4"/>
        <v>0.92372622065825805</v>
      </c>
      <c r="M91" s="1">
        <f t="shared" si="5"/>
        <v>246.51763940371529</v>
      </c>
    </row>
    <row r="92" spans="1:19" x14ac:dyDescent="0.3">
      <c r="A92" s="1">
        <v>90</v>
      </c>
      <c r="C92" s="1" t="s">
        <v>15</v>
      </c>
      <c r="D92" s="1">
        <v>22.6</v>
      </c>
      <c r="E92" s="1">
        <v>45</v>
      </c>
      <c r="F92" s="1">
        <v>188</v>
      </c>
      <c r="G92" s="1">
        <v>0.85308119187372611</v>
      </c>
      <c r="H92" s="1">
        <v>1.8286493187560504</v>
      </c>
      <c r="I92" s="1">
        <v>510.30986609597761</v>
      </c>
      <c r="J92" s="1" t="s">
        <v>16</v>
      </c>
      <c r="K92" s="1">
        <f t="shared" si="3"/>
        <v>0.98494003968679589</v>
      </c>
      <c r="L92" s="1">
        <f t="shared" si="4"/>
        <v>0.90484266231254173</v>
      </c>
      <c r="M92" s="1">
        <f t="shared" si="5"/>
        <v>252.20128816997314</v>
      </c>
    </row>
    <row r="93" spans="1:19" x14ac:dyDescent="0.3">
      <c r="A93" s="1">
        <v>91</v>
      </c>
      <c r="C93" s="1" t="s">
        <v>15</v>
      </c>
      <c r="D93" s="1">
        <v>22.6</v>
      </c>
      <c r="E93" s="1">
        <v>0</v>
      </c>
      <c r="F93" s="1">
        <v>189</v>
      </c>
      <c r="G93" s="1">
        <v>0.67366560212032678</v>
      </c>
      <c r="H93" s="1">
        <v>1.8265864601289283</v>
      </c>
      <c r="I93" s="1">
        <v>439.11435582003088</v>
      </c>
      <c r="J93" s="1" t="s">
        <v>16</v>
      </c>
      <c r="K93" s="1">
        <f t="shared" si="3"/>
        <v>0.77779258435021137</v>
      </c>
      <c r="L93" s="1">
        <f t="shared" si="4"/>
        <v>0.90382192942898953</v>
      </c>
      <c r="M93" s="1">
        <f t="shared" si="5"/>
        <v>217.01560865160914</v>
      </c>
      <c r="N93" s="1">
        <f>SLOPE(K93:K96,E93:E96)</f>
        <v>7.4672468659585919E-2</v>
      </c>
      <c r="O93" s="1">
        <f>SLOPE(L93:L96,E93:E96)</f>
        <v>9.7650112526497163E-4</v>
      </c>
      <c r="P93" s="1">
        <f>SLOPE(M93:M96,E93:E96)</f>
        <v>2.4471041400759836</v>
      </c>
      <c r="Q93" s="1">
        <f>(N93*41.35/0.31*60)/1000</f>
        <v>0.59762062820784734</v>
      </c>
      <c r="R93" s="1">
        <f>O93*41.35/0.31*60/1000</f>
        <v>7.8151590057496615E-3</v>
      </c>
      <c r="S93" s="1">
        <f>(P93*41.35/0.31*60)/1000</f>
        <v>19.584727004930699</v>
      </c>
    </row>
    <row r="94" spans="1:19" x14ac:dyDescent="0.3">
      <c r="A94" s="1">
        <v>92</v>
      </c>
      <c r="C94" s="1" t="s">
        <v>15</v>
      </c>
      <c r="D94" s="1">
        <v>22.6</v>
      </c>
      <c r="E94" s="1">
        <v>15</v>
      </c>
      <c r="F94" s="1">
        <v>190</v>
      </c>
      <c r="G94" s="1">
        <v>2.2300960828736232</v>
      </c>
      <c r="H94" s="1">
        <v>1.8688750619849344</v>
      </c>
      <c r="I94" s="1">
        <v>543.75822763225449</v>
      </c>
      <c r="J94" s="1" t="s">
        <v>16</v>
      </c>
      <c r="K94" s="1">
        <f t="shared" si="3"/>
        <v>2.5747970360786527</v>
      </c>
      <c r="L94" s="1">
        <f t="shared" si="4"/>
        <v>0.92474695354181025</v>
      </c>
      <c r="M94" s="1">
        <f t="shared" si="5"/>
        <v>268.73187169789861</v>
      </c>
    </row>
    <row r="95" spans="1:19" x14ac:dyDescent="0.3">
      <c r="A95" s="1">
        <v>93</v>
      </c>
      <c r="C95" s="1" t="s">
        <v>15</v>
      </c>
      <c r="D95" s="1">
        <v>22.6</v>
      </c>
      <c r="E95" s="1">
        <v>30</v>
      </c>
      <c r="F95" s="1">
        <v>191</v>
      </c>
      <c r="G95" s="1">
        <v>3.4495411996379923</v>
      </c>
      <c r="H95" s="1">
        <v>1.9173522397223071</v>
      </c>
      <c r="I95" s="1">
        <v>632.40477783116978</v>
      </c>
      <c r="J95" s="1" t="s">
        <v>16</v>
      </c>
      <c r="K95" s="1">
        <f t="shared" si="3"/>
        <v>3.9827290513932661</v>
      </c>
      <c r="L95" s="1">
        <f t="shared" si="4"/>
        <v>0.94873417630528767</v>
      </c>
      <c r="M95" s="1">
        <f t="shared" si="5"/>
        <v>312.54206553762702</v>
      </c>
    </row>
    <row r="96" spans="1:19" x14ac:dyDescent="0.3">
      <c r="A96" s="1">
        <v>94</v>
      </c>
      <c r="C96" s="1" t="s">
        <v>15</v>
      </c>
      <c r="D96" s="1">
        <v>22.6</v>
      </c>
      <c r="E96" s="1">
        <v>45</v>
      </c>
      <c r="F96" s="1">
        <v>192</v>
      </c>
      <c r="G96" s="1">
        <v>3.5009684924213968</v>
      </c>
      <c r="H96" s="1">
        <v>1.9091008052138183</v>
      </c>
      <c r="I96" s="1">
        <v>657.14183557870683</v>
      </c>
      <c r="J96" s="1" t="s">
        <v>16</v>
      </c>
      <c r="K96" s="1">
        <f t="shared" si="3"/>
        <v>4.0421053455579701</v>
      </c>
      <c r="L96" s="1">
        <f t="shared" si="4"/>
        <v>0.94465124477107898</v>
      </c>
      <c r="M96" s="1">
        <f t="shared" si="5"/>
        <v>324.76741770883217</v>
      </c>
    </row>
    <row r="97" spans="1:19" x14ac:dyDescent="0.3">
      <c r="A97" s="1">
        <v>95</v>
      </c>
      <c r="C97" s="1" t="s">
        <v>15</v>
      </c>
      <c r="D97" s="1">
        <v>22.6</v>
      </c>
      <c r="E97" s="1">
        <v>0</v>
      </c>
      <c r="F97" s="1">
        <v>193</v>
      </c>
      <c r="G97" s="1">
        <v>0.40406772522689538</v>
      </c>
      <c r="H97" s="1">
        <v>1.8420578998323451</v>
      </c>
      <c r="I97" s="1">
        <v>516.6484447950703</v>
      </c>
      <c r="J97" s="1" t="s">
        <v>129</v>
      </c>
      <c r="K97" s="1">
        <f t="shared" si="3"/>
        <v>0.46652356787634047</v>
      </c>
      <c r="L97" s="1">
        <f t="shared" si="4"/>
        <v>0.91147742605563131</v>
      </c>
      <c r="M97" s="1">
        <f t="shared" si="5"/>
        <v>255.33389018158562</v>
      </c>
      <c r="N97" s="1">
        <f>SLOPE(K97:K100,E97:E100)</f>
        <v>3.3275810709265949E-3</v>
      </c>
      <c r="O97" s="1">
        <f>SLOPE(L97:L100,E97:E100)</f>
        <v>1.6944165866967051E-3</v>
      </c>
      <c r="P97" s="1">
        <f>SLOPE(M97:M100,E97:E100)</f>
        <v>4.5828699763325327</v>
      </c>
      <c r="Q97" s="1">
        <f>(N97*41.35/0.31*60)/1000</f>
        <v>2.6631382699899623E-2</v>
      </c>
      <c r="R97" s="1">
        <f>O97*41.35/0.31*60/1000</f>
        <v>1.3560798553530727E-2</v>
      </c>
      <c r="S97" s="1">
        <f>(P97*41.35/0.31*60)/1000</f>
        <v>36.67774326219682</v>
      </c>
    </row>
    <row r="98" spans="1:19" x14ac:dyDescent="0.3">
      <c r="A98" s="1">
        <v>96</v>
      </c>
      <c r="C98" s="1" t="s">
        <v>15</v>
      </c>
      <c r="D98" s="1">
        <v>22.6</v>
      </c>
      <c r="E98" s="1">
        <v>15</v>
      </c>
      <c r="F98" s="1">
        <v>194</v>
      </c>
      <c r="G98" s="1">
        <v>0.41776569379865414</v>
      </c>
      <c r="H98" s="1">
        <v>1.9854265744173412</v>
      </c>
      <c r="I98" s="1">
        <v>673.97928714258228</v>
      </c>
      <c r="J98" s="1" t="s">
        <v>129</v>
      </c>
      <c r="K98" s="1">
        <f t="shared" si="3"/>
        <v>0.48233880074891511</v>
      </c>
      <c r="L98" s="1">
        <f t="shared" si="4"/>
        <v>0.98241836146251138</v>
      </c>
      <c r="M98" s="1">
        <f t="shared" si="5"/>
        <v>333.08868926565185</v>
      </c>
    </row>
    <row r="99" spans="1:19" x14ac:dyDescent="0.3">
      <c r="A99" s="1">
        <v>97</v>
      </c>
      <c r="C99" s="1" t="s">
        <v>15</v>
      </c>
      <c r="D99" s="1">
        <v>22.6</v>
      </c>
      <c r="E99" s="1">
        <v>30</v>
      </c>
      <c r="F99" s="1">
        <v>195</v>
      </c>
      <c r="G99" s="1">
        <v>0.43620858500373721</v>
      </c>
      <c r="H99" s="1">
        <v>2.0658780608751091</v>
      </c>
      <c r="I99" s="1">
        <v>753.86592341369635</v>
      </c>
      <c r="J99" s="1" t="s">
        <v>129</v>
      </c>
      <c r="K99" s="1">
        <f t="shared" si="3"/>
        <v>0.50363236831142988</v>
      </c>
      <c r="L99" s="1">
        <f t="shared" si="4"/>
        <v>1.0222269439210485</v>
      </c>
      <c r="M99" s="1">
        <f t="shared" si="5"/>
        <v>372.56962803188725</v>
      </c>
    </row>
    <row r="100" spans="1:19" x14ac:dyDescent="0.3">
      <c r="A100" s="1">
        <v>98</v>
      </c>
      <c r="C100" s="1" t="s">
        <v>15</v>
      </c>
      <c r="D100" s="1">
        <v>22.6</v>
      </c>
      <c r="E100" s="1">
        <v>45</v>
      </c>
      <c r="F100" s="1">
        <v>196</v>
      </c>
      <c r="G100" s="1">
        <v>0.54202515257801587</v>
      </c>
      <c r="H100" s="1">
        <v>1.9864580037309025</v>
      </c>
      <c r="I100" s="1">
        <v>953.67377274877595</v>
      </c>
      <c r="J100" s="1" t="s">
        <v>129</v>
      </c>
      <c r="K100" s="1">
        <f t="shared" si="3"/>
        <v>0.62580476556849862</v>
      </c>
      <c r="L100" s="1">
        <f t="shared" si="4"/>
        <v>0.98292872790428754</v>
      </c>
      <c r="M100" s="1">
        <f t="shared" si="5"/>
        <v>471.31707607613379</v>
      </c>
    </row>
    <row r="101" spans="1:19" x14ac:dyDescent="0.3">
      <c r="A101" s="1">
        <v>99</v>
      </c>
      <c r="F101" s="1" t="s">
        <v>156</v>
      </c>
      <c r="G101" s="1">
        <v>0.40018551579962997</v>
      </c>
      <c r="H101" s="1">
        <v>1.8338064653238562</v>
      </c>
      <c r="I101" s="1">
        <v>409.82628844944401</v>
      </c>
      <c r="K101" s="1">
        <f t="shared" si="3"/>
        <v>0.50026986165868115</v>
      </c>
      <c r="L101" s="1">
        <f t="shared" si="4"/>
        <v>0.98247088323159681</v>
      </c>
      <c r="M101" s="1">
        <f t="shared" si="5"/>
        <v>219.29902307666157</v>
      </c>
    </row>
    <row r="102" spans="1:19" x14ac:dyDescent="0.3">
      <c r="A102" s="1">
        <v>100</v>
      </c>
      <c r="F102" s="1" t="s">
        <v>157</v>
      </c>
      <c r="G102" s="1">
        <v>0.42792653822557103</v>
      </c>
      <c r="H102" s="1">
        <v>1.8534036222815176</v>
      </c>
      <c r="I102" s="1">
        <v>529.09814342934658</v>
      </c>
      <c r="K102" s="1">
        <f t="shared" si="3"/>
        <v>0.53494877157266352</v>
      </c>
      <c r="L102" s="1">
        <f t="shared" si="4"/>
        <v>0.99297015699308488</v>
      </c>
      <c r="M102" s="1">
        <f t="shared" si="5"/>
        <v>283.12167675901679</v>
      </c>
    </row>
    <row r="103" spans="1:19" x14ac:dyDescent="0.3">
      <c r="A103" s="1">
        <v>101</v>
      </c>
      <c r="K103" s="1">
        <f t="shared" si="3"/>
        <v>0</v>
      </c>
      <c r="L103" s="1">
        <f t="shared" si="4"/>
        <v>0</v>
      </c>
      <c r="M103" s="1">
        <f t="shared" si="5"/>
        <v>0</v>
      </c>
    </row>
    <row r="104" spans="1:19" x14ac:dyDescent="0.3">
      <c r="A104" s="1">
        <v>102</v>
      </c>
      <c r="K104" s="1">
        <f t="shared" si="3"/>
        <v>0</v>
      </c>
      <c r="L104" s="1">
        <f t="shared" si="4"/>
        <v>0</v>
      </c>
      <c r="M104" s="1">
        <f t="shared" si="5"/>
        <v>0</v>
      </c>
    </row>
    <row r="105" spans="1:19" x14ac:dyDescent="0.3">
      <c r="A105" s="1">
        <v>103</v>
      </c>
      <c r="B105" s="1" t="s">
        <v>26</v>
      </c>
      <c r="C105" s="1" t="s">
        <v>15</v>
      </c>
      <c r="D105" s="1">
        <v>19</v>
      </c>
      <c r="E105" s="1">
        <v>0</v>
      </c>
      <c r="F105" s="1">
        <v>665</v>
      </c>
      <c r="G105" s="1">
        <v>0.39860387492185517</v>
      </c>
      <c r="H105" s="1">
        <v>2.0287466055869086</v>
      </c>
      <c r="I105" s="1">
        <v>505.26450053039969</v>
      </c>
      <c r="J105" s="1" t="s">
        <v>129</v>
      </c>
      <c r="K105" s="1">
        <f t="shared" si="3"/>
        <v>0.46588615511627196</v>
      </c>
      <c r="L105" s="1">
        <f t="shared" si="4"/>
        <v>1.0162236767381818</v>
      </c>
      <c r="M105" s="1">
        <f t="shared" si="5"/>
        <v>252.78481643461882</v>
      </c>
      <c r="N105" s="1">
        <f>SLOPE(K105:K108,E105:E108)</f>
        <v>-5.2284024070234171E-5</v>
      </c>
      <c r="O105" s="1">
        <f>SLOPE(L105:L108,E105:E108)</f>
        <v>-3.9438028878499148E-3</v>
      </c>
      <c r="P105" s="1">
        <f>SLOPE(M105:M108,E105:E108)</f>
        <v>1.0054793120225178</v>
      </c>
      <c r="Q105" s="1">
        <f>(N105*41.35/0.31*60)/1000</f>
        <v>-4.1844085070403544E-4</v>
      </c>
      <c r="R105" s="1">
        <f>O105*41.35/0.31*60/1000</f>
        <v>-3.1563145047598842E-2</v>
      </c>
      <c r="S105" s="1">
        <f>(P105*41.35/0.31*60)/1000</f>
        <v>8.0470779778318278</v>
      </c>
    </row>
    <row r="106" spans="1:19" x14ac:dyDescent="0.3">
      <c r="A106" s="1">
        <v>104</v>
      </c>
      <c r="B106" s="1" t="s">
        <v>169</v>
      </c>
      <c r="C106" s="1" t="s">
        <v>15</v>
      </c>
      <c r="D106" s="1">
        <v>19</v>
      </c>
      <c r="E106" s="1">
        <v>15</v>
      </c>
      <c r="F106" s="1">
        <v>666</v>
      </c>
      <c r="G106" s="1">
        <v>0.40562060899780156</v>
      </c>
      <c r="H106" s="1">
        <v>2.8136643132069237</v>
      </c>
      <c r="I106" s="1">
        <v>593.0012156736791</v>
      </c>
      <c r="J106" s="1" t="s">
        <v>129</v>
      </c>
      <c r="K106" s="1">
        <f t="shared" si="3"/>
        <v>0.47408727774900317</v>
      </c>
      <c r="L106" s="1">
        <f t="shared" si="4"/>
        <v>1.4093984362561449</v>
      </c>
      <c r="M106" s="1">
        <f t="shared" si="5"/>
        <v>296.67966637715091</v>
      </c>
    </row>
    <row r="107" spans="1:19" x14ac:dyDescent="0.3">
      <c r="A107" s="1">
        <v>105</v>
      </c>
      <c r="C107" s="1" t="s">
        <v>15</v>
      </c>
      <c r="D107" s="1">
        <v>19</v>
      </c>
      <c r="E107" s="1">
        <v>30</v>
      </c>
      <c r="F107" s="1">
        <v>667</v>
      </c>
      <c r="G107" s="1">
        <v>0.39994587324239139</v>
      </c>
      <c r="H107" s="1">
        <v>2.0225580297055417</v>
      </c>
      <c r="I107" s="1">
        <v>631.25280925266316</v>
      </c>
      <c r="J107" s="1" t="s">
        <v>129</v>
      </c>
      <c r="K107" s="1">
        <f t="shared" si="3"/>
        <v>0.46745467583837902</v>
      </c>
      <c r="L107" s="1">
        <f t="shared" si="4"/>
        <v>1.0131237443372516</v>
      </c>
      <c r="M107" s="1">
        <f t="shared" si="5"/>
        <v>315.81701335293229</v>
      </c>
    </row>
    <row r="108" spans="1:19" x14ac:dyDescent="0.3">
      <c r="A108" s="1">
        <v>106</v>
      </c>
      <c r="C108" s="1" t="s">
        <v>15</v>
      </c>
      <c r="D108" s="1">
        <v>19</v>
      </c>
      <c r="E108" s="1">
        <v>45</v>
      </c>
      <c r="F108" s="1">
        <v>668</v>
      </c>
      <c r="G108" s="1">
        <v>0.39825878963943162</v>
      </c>
      <c r="H108" s="1">
        <v>1.898786512078207</v>
      </c>
      <c r="I108" s="1">
        <v>593.0012156736791</v>
      </c>
      <c r="J108" s="1" t="s">
        <v>129</v>
      </c>
      <c r="K108" s="1">
        <f t="shared" si="3"/>
        <v>0.46548282121630163</v>
      </c>
      <c r="L108" s="1">
        <f t="shared" si="4"/>
        <v>0.9511250963186505</v>
      </c>
      <c r="M108" s="1">
        <f t="shared" si="5"/>
        <v>296.67966637715091</v>
      </c>
    </row>
    <row r="109" spans="1:19" x14ac:dyDescent="0.3">
      <c r="A109" s="1">
        <v>107</v>
      </c>
      <c r="C109" s="1" t="s">
        <v>15</v>
      </c>
      <c r="D109" s="1">
        <v>19</v>
      </c>
      <c r="E109" s="1">
        <v>0</v>
      </c>
      <c r="F109" s="1">
        <v>669</v>
      </c>
      <c r="G109" s="1">
        <v>0.56576893714921705</v>
      </c>
      <c r="H109" s="1">
        <v>1.8544350515950787</v>
      </c>
      <c r="I109" s="1">
        <v>416.49504922517872</v>
      </c>
      <c r="J109" s="1" t="s">
        <v>16</v>
      </c>
      <c r="K109" s="1">
        <f t="shared" si="3"/>
        <v>0.66126781849359362</v>
      </c>
      <c r="L109" s="1">
        <f t="shared" si="4"/>
        <v>0.92890891411198495</v>
      </c>
      <c r="M109" s="1">
        <f t="shared" si="5"/>
        <v>208.37328657325659</v>
      </c>
      <c r="N109" s="1">
        <f>SLOPE(K109:K112,E109:E112)</f>
        <v>2.5543135885124614E-2</v>
      </c>
      <c r="O109" s="1">
        <f>SLOPE(L109:L112,E109:E112)</f>
        <v>-2.4455022274003942E-4</v>
      </c>
      <c r="P109" s="1">
        <f>SLOPE(M109:M112,E109:E112)</f>
        <v>0.77007639246173043</v>
      </c>
      <c r="Q109" s="1">
        <f>(N109*41.35/0.31*60)/1000</f>
        <v>0.20442748429352961</v>
      </c>
      <c r="R109" s="1">
        <f>O109*41.35/0.31*60/1000</f>
        <v>-1.9571906536065735E-3</v>
      </c>
      <c r="S109" s="1">
        <f>(P109*41.35/0.31*60)/1000</f>
        <v>6.1630952570888811</v>
      </c>
    </row>
    <row r="110" spans="1:19" x14ac:dyDescent="0.3">
      <c r="A110" s="1">
        <v>108</v>
      </c>
      <c r="C110" s="1" t="s">
        <v>15</v>
      </c>
      <c r="D110" s="1">
        <v>19</v>
      </c>
      <c r="E110" s="1">
        <v>15</v>
      </c>
      <c r="F110" s="1">
        <v>670</v>
      </c>
      <c r="G110" s="1">
        <v>1.3565702046320367</v>
      </c>
      <c r="H110" s="1">
        <v>1.898786512078207</v>
      </c>
      <c r="I110" s="1">
        <v>463.18646355210814</v>
      </c>
      <c r="J110" s="1" t="s">
        <v>16</v>
      </c>
      <c r="K110" s="1">
        <f t="shared" si="3"/>
        <v>1.5855522651535099</v>
      </c>
      <c r="L110" s="1">
        <f t="shared" si="4"/>
        <v>0.9511250963186505</v>
      </c>
      <c r="M110" s="1">
        <f t="shared" si="5"/>
        <v>231.73309235283455</v>
      </c>
    </row>
    <row r="111" spans="1:19" x14ac:dyDescent="0.3">
      <c r="A111" s="1">
        <v>109</v>
      </c>
      <c r="C111" s="1" t="s">
        <v>15</v>
      </c>
      <c r="D111" s="1">
        <v>19</v>
      </c>
      <c r="E111" s="1">
        <v>30</v>
      </c>
      <c r="F111" s="1">
        <v>671</v>
      </c>
      <c r="G111" s="1">
        <v>1.4931377051511734</v>
      </c>
      <c r="H111" s="1">
        <v>1.8781579258069845</v>
      </c>
      <c r="I111" s="1">
        <v>481.31987976680369</v>
      </c>
      <c r="J111" s="1" t="s">
        <v>16</v>
      </c>
      <c r="K111" s="1">
        <f t="shared" si="3"/>
        <v>1.7451716560667905</v>
      </c>
      <c r="L111" s="1">
        <f t="shared" si="4"/>
        <v>0.94079198831555011</v>
      </c>
      <c r="M111" s="1">
        <f t="shared" si="5"/>
        <v>240.80527590096125</v>
      </c>
    </row>
    <row r="112" spans="1:19" x14ac:dyDescent="0.3">
      <c r="A112" s="1">
        <v>110</v>
      </c>
      <c r="C112" s="1" t="s">
        <v>15</v>
      </c>
      <c r="D112" s="1">
        <v>19</v>
      </c>
      <c r="E112" s="1">
        <v>45</v>
      </c>
      <c r="F112" s="1">
        <v>672</v>
      </c>
      <c r="G112" s="1">
        <v>1.6129589837704763</v>
      </c>
      <c r="H112" s="1">
        <v>1.8369007532645396</v>
      </c>
      <c r="I112" s="1">
        <v>487.41173908084988</v>
      </c>
      <c r="J112" s="1" t="s">
        <v>16</v>
      </c>
      <c r="K112" s="1">
        <f t="shared" si="3"/>
        <v>1.8852181491120641</v>
      </c>
      <c r="L112" s="1">
        <f t="shared" si="4"/>
        <v>0.92012577230934978</v>
      </c>
      <c r="M112" s="1">
        <f t="shared" si="5"/>
        <v>243.85304501363422</v>
      </c>
    </row>
    <row r="113" spans="1:19" x14ac:dyDescent="0.3">
      <c r="A113" s="1">
        <v>111</v>
      </c>
      <c r="C113" s="1" t="s">
        <v>15</v>
      </c>
      <c r="D113" s="1">
        <v>19</v>
      </c>
      <c r="E113" s="1">
        <v>0</v>
      </c>
      <c r="F113" s="1">
        <v>673</v>
      </c>
      <c r="G113" s="1">
        <v>0.49207405794720099</v>
      </c>
      <c r="H113" s="1">
        <v>1.8369007532645396</v>
      </c>
      <c r="I113" s="1">
        <v>417.31133269243276</v>
      </c>
      <c r="J113" s="1" t="s">
        <v>16</v>
      </c>
      <c r="K113" s="1">
        <f t="shared" si="3"/>
        <v>0.5751336234110288</v>
      </c>
      <c r="L113" s="1">
        <f t="shared" si="4"/>
        <v>0.92012577230934978</v>
      </c>
      <c r="M113" s="1">
        <f t="shared" si="5"/>
        <v>208.7816747861863</v>
      </c>
      <c r="N113" s="1">
        <f>SLOPE(K113:K116,E113:E116)</f>
        <v>1.6841505759115343E-2</v>
      </c>
      <c r="O113" s="1">
        <f>SLOPE(L113:L116,E113:E116)</f>
        <v>3.4443693343667371E-4</v>
      </c>
      <c r="P113" s="1">
        <f>SLOPE(M113:M116,E113:E116)</f>
        <v>1.1024952205232814</v>
      </c>
      <c r="Q113" s="1">
        <f>(N113*41.35/0.31*60)/1000</f>
        <v>0.13478637351085537</v>
      </c>
      <c r="R113" s="1">
        <f>O113*41.35/0.31*60/1000</f>
        <v>2.756606554375444E-3</v>
      </c>
      <c r="S113" s="1">
        <f>(P113*41.35/0.31*60)/1000</f>
        <v>8.8235182003814874</v>
      </c>
    </row>
    <row r="114" spans="1:19" x14ac:dyDescent="0.3">
      <c r="A114" s="1">
        <v>112</v>
      </c>
      <c r="C114" s="1" t="s">
        <v>15</v>
      </c>
      <c r="D114" s="1">
        <v>19</v>
      </c>
      <c r="E114" s="1">
        <v>15</v>
      </c>
      <c r="F114" s="1">
        <v>674</v>
      </c>
      <c r="G114" s="1">
        <v>0.95663553370767251</v>
      </c>
      <c r="H114" s="1">
        <v>1.8575293395357622</v>
      </c>
      <c r="I114" s="1">
        <v>496.43212998022426</v>
      </c>
      <c r="J114" s="1" t="s">
        <v>16</v>
      </c>
      <c r="K114" s="1">
        <f t="shared" si="3"/>
        <v>1.1181106825267189</v>
      </c>
      <c r="L114" s="1">
        <f t="shared" si="4"/>
        <v>0.93045888031244994</v>
      </c>
      <c r="M114" s="1">
        <f t="shared" si="5"/>
        <v>248.36596419808751</v>
      </c>
    </row>
    <row r="115" spans="1:19" x14ac:dyDescent="0.3">
      <c r="A115" s="1">
        <v>113</v>
      </c>
      <c r="C115" s="1" t="s">
        <v>15</v>
      </c>
      <c r="D115" s="1">
        <v>19</v>
      </c>
      <c r="E115" s="1">
        <v>30</v>
      </c>
      <c r="F115" s="1">
        <v>675</v>
      </c>
      <c r="G115" s="1">
        <v>1.0912571366620316</v>
      </c>
      <c r="H115" s="1">
        <v>1.8523721929679564</v>
      </c>
      <c r="I115" s="1">
        <v>510.74368865778786</v>
      </c>
      <c r="J115" s="1" t="s">
        <v>16</v>
      </c>
      <c r="K115" s="1">
        <f t="shared" si="3"/>
        <v>1.275455718392944</v>
      </c>
      <c r="L115" s="1">
        <f t="shared" si="4"/>
        <v>0.92787560331167496</v>
      </c>
      <c r="M115" s="1">
        <f t="shared" si="5"/>
        <v>255.52606495601424</v>
      </c>
    </row>
    <row r="116" spans="1:19" x14ac:dyDescent="0.3">
      <c r="A116" s="1">
        <v>114</v>
      </c>
      <c r="C116" s="1" t="s">
        <v>15</v>
      </c>
      <c r="D116" s="1">
        <v>19</v>
      </c>
      <c r="E116" s="1">
        <v>45</v>
      </c>
      <c r="F116" s="1">
        <v>676</v>
      </c>
      <c r="G116" s="1">
        <v>1.1676647696119888</v>
      </c>
      <c r="H116" s="1">
        <v>1.873000779239179</v>
      </c>
      <c r="I116" s="1">
        <v>522.72379500528439</v>
      </c>
      <c r="J116" s="1" t="s">
        <v>16</v>
      </c>
      <c r="K116" s="1">
        <f t="shared" si="3"/>
        <v>1.3647605660780542</v>
      </c>
      <c r="L116" s="1">
        <f t="shared" si="4"/>
        <v>0.93820871131477512</v>
      </c>
      <c r="M116" s="1">
        <f t="shared" si="5"/>
        <v>261.51973555970812</v>
      </c>
    </row>
    <row r="117" spans="1:19" x14ac:dyDescent="0.3">
      <c r="A117" s="1">
        <v>115</v>
      </c>
      <c r="C117" s="1" t="s">
        <v>15</v>
      </c>
      <c r="D117" s="1">
        <v>19</v>
      </c>
      <c r="E117" s="1">
        <v>0</v>
      </c>
      <c r="F117" s="1">
        <v>677</v>
      </c>
      <c r="G117" s="1">
        <v>0.46187909573513669</v>
      </c>
      <c r="H117" s="1">
        <v>1.8616550567900063</v>
      </c>
      <c r="I117" s="1">
        <v>423.03081999782148</v>
      </c>
      <c r="J117" s="1" t="s">
        <v>16</v>
      </c>
      <c r="K117" s="1">
        <f t="shared" si="3"/>
        <v>0.53984190716361991</v>
      </c>
      <c r="L117" s="1">
        <f t="shared" si="4"/>
        <v>0.93252550191306993</v>
      </c>
      <c r="M117" s="1">
        <f t="shared" si="5"/>
        <v>211.64314545565762</v>
      </c>
      <c r="N117" s="1">
        <f>SLOPE(K117:K120,E117:E120)</f>
        <v>4.2601022812427764E-3</v>
      </c>
      <c r="O117" s="1">
        <f>SLOPE(L117:L120,E117:E120)</f>
        <v>-2.4110585340566539E-5</v>
      </c>
      <c r="P117" s="1">
        <f>SLOPE(M117:M120,E117:E120)</f>
        <v>0.47726969151049159</v>
      </c>
      <c r="Q117" s="1">
        <f>(N117*41.35/0.31*60)/1000</f>
        <v>3.409456051536558E-2</v>
      </c>
      <c r="R117" s="1">
        <f>O117*41.35/0.31*60/1000</f>
        <v>-1.9296245880627609E-4</v>
      </c>
      <c r="S117" s="1">
        <f>(P117*41.35/0.31*60)/1000</f>
        <v>3.8196971117339666</v>
      </c>
    </row>
    <row r="118" spans="1:19" x14ac:dyDescent="0.3">
      <c r="A118" s="1">
        <v>116</v>
      </c>
      <c r="C118" s="1" t="s">
        <v>15</v>
      </c>
      <c r="D118" s="1">
        <v>19</v>
      </c>
      <c r="E118" s="1">
        <v>15</v>
      </c>
      <c r="F118" s="1">
        <v>678</v>
      </c>
      <c r="G118" s="1">
        <v>0.61382206272670214</v>
      </c>
      <c r="H118" s="1">
        <v>1.8389636118916617</v>
      </c>
      <c r="I118" s="1">
        <v>461.51262385801988</v>
      </c>
      <c r="J118" s="1" t="s">
        <v>16</v>
      </c>
      <c r="K118" s="1">
        <f t="shared" si="3"/>
        <v>0.71743206406446991</v>
      </c>
      <c r="L118" s="1">
        <f t="shared" si="4"/>
        <v>0.92115908310965977</v>
      </c>
      <c r="M118" s="1">
        <f t="shared" si="5"/>
        <v>230.8956670847484</v>
      </c>
    </row>
    <row r="119" spans="1:19" x14ac:dyDescent="0.3">
      <c r="A119" s="1">
        <v>117</v>
      </c>
      <c r="C119" s="1" t="s">
        <v>15</v>
      </c>
      <c r="D119" s="1">
        <v>19</v>
      </c>
      <c r="E119" s="1">
        <v>30</v>
      </c>
      <c r="F119" s="1">
        <v>679</v>
      </c>
      <c r="G119" s="1">
        <v>0.64689273562562977</v>
      </c>
      <c r="H119" s="1">
        <v>1.8317436066967341</v>
      </c>
      <c r="I119" s="1">
        <v>477.82545278900841</v>
      </c>
      <c r="J119" s="1" t="s">
        <v>16</v>
      </c>
      <c r="K119" s="1">
        <f t="shared" si="3"/>
        <v>0.75608489614496532</v>
      </c>
      <c r="L119" s="1">
        <f t="shared" si="4"/>
        <v>0.91754249530857479</v>
      </c>
      <c r="M119" s="1">
        <f t="shared" si="5"/>
        <v>239.05700725909369</v>
      </c>
    </row>
    <row r="120" spans="1:19" x14ac:dyDescent="0.3">
      <c r="A120" s="1">
        <v>118</v>
      </c>
      <c r="C120" s="1" t="s">
        <v>15</v>
      </c>
      <c r="D120" s="1">
        <v>19</v>
      </c>
      <c r="E120" s="1">
        <v>45</v>
      </c>
      <c r="F120" s="1">
        <v>680</v>
      </c>
      <c r="G120" s="1">
        <v>0.63309891003097563</v>
      </c>
      <c r="H120" s="1">
        <v>1.8616550567900063</v>
      </c>
      <c r="I120" s="1">
        <v>465.29137429070136</v>
      </c>
      <c r="J120" s="1" t="s">
        <v>16</v>
      </c>
      <c r="K120" s="1">
        <f t="shared" si="3"/>
        <v>0.73996274386559358</v>
      </c>
      <c r="L120" s="1">
        <f t="shared" si="4"/>
        <v>0.93252550191306993</v>
      </c>
      <c r="M120" s="1">
        <f t="shared" si="5"/>
        <v>232.78618330640043</v>
      </c>
    </row>
    <row r="121" spans="1:19" x14ac:dyDescent="0.3">
      <c r="A121" s="1">
        <v>119</v>
      </c>
      <c r="C121" s="1" t="s">
        <v>15</v>
      </c>
      <c r="D121" s="1">
        <v>19</v>
      </c>
      <c r="E121" s="1">
        <v>0</v>
      </c>
      <c r="F121" s="1">
        <v>681</v>
      </c>
      <c r="G121" s="1">
        <v>0.42391012896625196</v>
      </c>
      <c r="H121" s="1">
        <v>1.8472150464001509</v>
      </c>
      <c r="I121" s="1">
        <v>470.84393621289888</v>
      </c>
      <c r="J121" s="1" t="s">
        <v>16</v>
      </c>
      <c r="K121" s="1">
        <f t="shared" si="3"/>
        <v>0.49546397444743367</v>
      </c>
      <c r="L121" s="1">
        <f t="shared" si="4"/>
        <v>0.92529232631089997</v>
      </c>
      <c r="M121" s="1">
        <f t="shared" si="5"/>
        <v>235.56414088064346</v>
      </c>
      <c r="N121" s="1">
        <f>SLOPE(K121:K124,E121:E124)</f>
        <v>3.1153809199564421E-4</v>
      </c>
      <c r="O121" s="1">
        <f>SLOPE(L121:L124,E121:E124)</f>
        <v>-1.5844098938087395E-4</v>
      </c>
      <c r="P121" s="1">
        <f>SLOPE(M121:M124,E121:E124)</f>
        <v>-0.27177241366955879</v>
      </c>
      <c r="Q121" s="1">
        <f>(N121*41.35/0.31*60)/1000</f>
        <v>2.4933096975522364E-3</v>
      </c>
      <c r="R121" s="1">
        <f>O121*41.35/0.31*60/1000</f>
        <v>-1.2680390150127364E-3</v>
      </c>
      <c r="S121" s="1">
        <f>(P121*41.35/0.31*60)/1000</f>
        <v>-2.1750559945618564</v>
      </c>
    </row>
    <row r="122" spans="1:19" x14ac:dyDescent="0.3">
      <c r="A122" s="1">
        <v>120</v>
      </c>
      <c r="C122" s="1" t="s">
        <v>15</v>
      </c>
      <c r="D122" s="1">
        <v>19</v>
      </c>
      <c r="E122" s="1">
        <v>15</v>
      </c>
      <c r="F122" s="1">
        <v>682</v>
      </c>
      <c r="G122" s="1">
        <v>0.46268429472745837</v>
      </c>
      <c r="H122" s="1">
        <v>1.824523601501806</v>
      </c>
      <c r="I122" s="1">
        <v>435.42090242381522</v>
      </c>
      <c r="J122" s="1" t="s">
        <v>16</v>
      </c>
      <c r="K122" s="1">
        <f t="shared" si="3"/>
        <v>0.54078301959688413</v>
      </c>
      <c r="L122" s="1">
        <f t="shared" si="4"/>
        <v>0.9139259075074897</v>
      </c>
      <c r="M122" s="1">
        <f t="shared" si="5"/>
        <v>217.84192789213751</v>
      </c>
    </row>
    <row r="123" spans="1:19" x14ac:dyDescent="0.3">
      <c r="A123" s="1">
        <v>121</v>
      </c>
      <c r="C123" s="1" t="s">
        <v>15</v>
      </c>
      <c r="D123" s="1">
        <v>19</v>
      </c>
      <c r="E123" s="1">
        <v>30</v>
      </c>
      <c r="F123" s="1">
        <v>683</v>
      </c>
      <c r="G123" s="1">
        <v>0.45843782861319021</v>
      </c>
      <c r="H123" s="1">
        <v>1.8668122033578121</v>
      </c>
      <c r="I123" s="1">
        <v>447.85867781643503</v>
      </c>
      <c r="J123" s="1" t="s">
        <v>16</v>
      </c>
      <c r="K123" s="1">
        <f t="shared" si="3"/>
        <v>0.53581977188335961</v>
      </c>
      <c r="L123" s="1">
        <f t="shared" si="4"/>
        <v>0.93510877891384503</v>
      </c>
      <c r="M123" s="1">
        <f t="shared" si="5"/>
        <v>224.06457121296836</v>
      </c>
    </row>
    <row r="124" spans="1:19" x14ac:dyDescent="0.3">
      <c r="A124" s="1">
        <v>122</v>
      </c>
      <c r="C124" s="1" t="s">
        <v>15</v>
      </c>
      <c r="D124" s="1">
        <v>19</v>
      </c>
      <c r="E124" s="1">
        <v>45</v>
      </c>
      <c r="F124" s="1">
        <v>684</v>
      </c>
      <c r="G124" s="1">
        <v>0.43865293908757097</v>
      </c>
      <c r="H124" s="1">
        <v>1.8173035963068782</v>
      </c>
      <c r="I124" s="1">
        <v>439.53717231261976</v>
      </c>
      <c r="J124" s="1" t="s">
        <v>16</v>
      </c>
      <c r="K124" s="1">
        <f t="shared" si="3"/>
        <v>0.51269529495172406</v>
      </c>
      <c r="L124" s="1">
        <f t="shared" si="4"/>
        <v>0.9103093197064045</v>
      </c>
      <c r="M124" s="1">
        <f t="shared" si="5"/>
        <v>219.90130575688858</v>
      </c>
    </row>
    <row r="125" spans="1:19" x14ac:dyDescent="0.3">
      <c r="A125" s="1">
        <v>123</v>
      </c>
      <c r="C125" s="1" t="s">
        <v>15</v>
      </c>
      <c r="D125" s="1">
        <v>19</v>
      </c>
      <c r="E125" s="1">
        <v>0</v>
      </c>
      <c r="F125" s="1">
        <v>685</v>
      </c>
      <c r="G125" s="1">
        <v>0.41212930085240213</v>
      </c>
      <c r="H125" s="1">
        <v>1.8286493187560504</v>
      </c>
      <c r="I125" s="1">
        <v>424.9871488019258</v>
      </c>
      <c r="J125" s="1" t="s">
        <v>16</v>
      </c>
      <c r="K125" s="1">
        <f t="shared" si="3"/>
        <v>0.48169460325122243</v>
      </c>
      <c r="L125" s="1">
        <f t="shared" si="4"/>
        <v>0.91599252910810958</v>
      </c>
      <c r="M125" s="1">
        <f t="shared" si="5"/>
        <v>212.62190057720713</v>
      </c>
      <c r="N125" s="1">
        <f>SLOPE(K125:K128,E125:E128)</f>
        <v>1.0453817155528773E-3</v>
      </c>
      <c r="O125" s="1">
        <f>SLOPE(L125:L128,E125:E128)</f>
        <v>2.8243828541807701E-4</v>
      </c>
      <c r="P125" s="1">
        <f>SLOPE(M125:M128,E125:E128)</f>
        <v>0.11299964192816106</v>
      </c>
      <c r="Q125" s="1">
        <f>(N125*41.35/0.31*60)/1000</f>
        <v>8.3664259235054477E-3</v>
      </c>
      <c r="R125" s="1">
        <f>O125*41.35/0.31*60/1000</f>
        <v>2.2604173745879004E-3</v>
      </c>
      <c r="S125" s="1">
        <f>(P125*41.35/0.31*60)/1000</f>
        <v>0.90436165039925043</v>
      </c>
    </row>
    <row r="126" spans="1:19" x14ac:dyDescent="0.3">
      <c r="A126" s="1">
        <v>124</v>
      </c>
      <c r="C126" s="1" t="s">
        <v>15</v>
      </c>
      <c r="D126" s="1">
        <v>19</v>
      </c>
      <c r="E126" s="1">
        <v>15</v>
      </c>
      <c r="F126" s="1">
        <v>686</v>
      </c>
      <c r="G126" s="1">
        <v>0.45134440891892752</v>
      </c>
      <c r="H126" s="1">
        <v>1.8131778790526336</v>
      </c>
      <c r="I126" s="1">
        <v>445.13375851170287</v>
      </c>
      <c r="J126" s="1" t="s">
        <v>16</v>
      </c>
      <c r="K126" s="1">
        <f t="shared" si="3"/>
        <v>0.52752901949507947</v>
      </c>
      <c r="L126" s="1">
        <f t="shared" si="4"/>
        <v>0.9082426981057844</v>
      </c>
      <c r="M126" s="1">
        <f t="shared" si="5"/>
        <v>222.70128876284019</v>
      </c>
    </row>
    <row r="127" spans="1:19" x14ac:dyDescent="0.3">
      <c r="A127" s="1">
        <v>125</v>
      </c>
      <c r="C127" s="1" t="s">
        <v>15</v>
      </c>
      <c r="D127" s="1">
        <v>19</v>
      </c>
      <c r="E127" s="1">
        <v>30</v>
      </c>
      <c r="F127" s="1">
        <v>687</v>
      </c>
      <c r="G127" s="1">
        <v>0.4506638240563699</v>
      </c>
      <c r="H127" s="1">
        <v>1.8389636118916617</v>
      </c>
      <c r="I127" s="1">
        <v>442.44552610437535</v>
      </c>
      <c r="J127" s="1" t="s">
        <v>16</v>
      </c>
      <c r="K127" s="1">
        <f t="shared" si="3"/>
        <v>0.52673355541458233</v>
      </c>
      <c r="L127" s="1">
        <f t="shared" si="4"/>
        <v>0.92115908310965977</v>
      </c>
      <c r="M127" s="1">
        <f t="shared" si="5"/>
        <v>221.35636083913579</v>
      </c>
    </row>
    <row r="128" spans="1:19" x14ac:dyDescent="0.3">
      <c r="A128" s="1">
        <v>126</v>
      </c>
      <c r="C128" s="1" t="s">
        <v>15</v>
      </c>
      <c r="D128" s="1">
        <v>19</v>
      </c>
      <c r="E128" s="1">
        <v>45</v>
      </c>
      <c r="F128" s="1">
        <v>688</v>
      </c>
      <c r="G128" s="1">
        <v>0.45707665888807497</v>
      </c>
      <c r="H128" s="1">
        <v>1.848246475713712</v>
      </c>
      <c r="I128" s="1">
        <v>437.17637046462892</v>
      </c>
      <c r="J128" s="1" t="s">
        <v>16</v>
      </c>
      <c r="K128" s="1">
        <f t="shared" si="3"/>
        <v>0.53422884372236534</v>
      </c>
      <c r="L128" s="1">
        <f t="shared" si="4"/>
        <v>0.92580898171105497</v>
      </c>
      <c r="M128" s="1">
        <f t="shared" si="5"/>
        <v>218.72019198151665</v>
      </c>
    </row>
    <row r="129" spans="1:19" x14ac:dyDescent="0.3">
      <c r="A129" s="1">
        <v>127</v>
      </c>
      <c r="C129" s="1" t="s">
        <v>15</v>
      </c>
      <c r="D129" s="1">
        <v>19</v>
      </c>
      <c r="E129" s="1">
        <v>0</v>
      </c>
      <c r="F129" s="1">
        <v>689</v>
      </c>
      <c r="G129" s="1">
        <v>0.476573977345008</v>
      </c>
      <c r="H129" s="1">
        <v>1.824523601501806</v>
      </c>
      <c r="I129" s="1">
        <v>418.45137802928303</v>
      </c>
      <c r="J129" s="1" t="s">
        <v>16</v>
      </c>
      <c r="K129" s="1">
        <f t="shared" si="3"/>
        <v>0.55701720907069219</v>
      </c>
      <c r="L129" s="1">
        <f t="shared" si="4"/>
        <v>0.9139259075074897</v>
      </c>
      <c r="M129" s="1">
        <f t="shared" si="5"/>
        <v>209.35204169480608</v>
      </c>
      <c r="N129" s="1">
        <f>SLOPE(K129:K132,E129:E132)</f>
        <v>7.5856649779615739E-4</v>
      </c>
      <c r="O129" s="1">
        <f>SLOPE(L129:L132,E129:E132)</f>
        <v>3.6165878010850546E-4</v>
      </c>
      <c r="P129" s="1">
        <f>SLOPE(M129:M132,E129:E132)</f>
        <v>0.13671674915545584</v>
      </c>
      <c r="Q129" s="1">
        <f>(N129*41.35/0.31*60)/1000</f>
        <v>6.0709789710718274E-3</v>
      </c>
      <c r="R129" s="1">
        <f>O129*41.35/0.31*60/1000</f>
        <v>2.8944368820942E-3</v>
      </c>
      <c r="S129" s="1">
        <f>(P129*41.35/0.31*60)/1000</f>
        <v>1.0941750150151159</v>
      </c>
    </row>
    <row r="130" spans="1:19" x14ac:dyDescent="0.3">
      <c r="A130" s="1">
        <v>128</v>
      </c>
      <c r="C130" s="1" t="s">
        <v>15</v>
      </c>
      <c r="D130" s="1">
        <v>19</v>
      </c>
      <c r="E130" s="1">
        <v>15</v>
      </c>
      <c r="F130" s="1">
        <v>690</v>
      </c>
      <c r="G130" s="1">
        <v>0.51678599844964601</v>
      </c>
      <c r="H130" s="1">
        <v>1.8575293395357622</v>
      </c>
      <c r="I130" s="1">
        <v>434.16345901527006</v>
      </c>
      <c r="J130" s="1" t="s">
        <v>16</v>
      </c>
      <c r="K130" s="1">
        <f t="shared" si="3"/>
        <v>0.6040168121366859</v>
      </c>
      <c r="L130" s="1">
        <f t="shared" si="4"/>
        <v>0.93045888031244994</v>
      </c>
      <c r="M130" s="1">
        <f t="shared" si="5"/>
        <v>217.21282649896159</v>
      </c>
    </row>
    <row r="131" spans="1:19" x14ac:dyDescent="0.3">
      <c r="A131" s="1">
        <v>129</v>
      </c>
      <c r="C131" s="1" t="s">
        <v>15</v>
      </c>
      <c r="D131" s="1">
        <v>19</v>
      </c>
      <c r="E131" s="1">
        <v>30</v>
      </c>
      <c r="F131" s="1">
        <v>691</v>
      </c>
      <c r="G131" s="1">
        <v>0.55417982308115799</v>
      </c>
      <c r="H131" s="1">
        <v>1.8420578998323451</v>
      </c>
      <c r="I131" s="1">
        <v>448.59333293696369</v>
      </c>
      <c r="J131" s="1" t="s">
        <v>16</v>
      </c>
      <c r="K131" s="1">
        <f t="shared" ref="K131:K194" si="6">(G131*28*1)/(0.082*(D131+273.15))</f>
        <v>0.64772252168625477</v>
      </c>
      <c r="L131" s="1">
        <f t="shared" ref="L131:L194" si="7">(H131*12*1)/(0.082*(D131+273.15))</f>
        <v>0.92270904931012476</v>
      </c>
      <c r="M131" s="1">
        <f t="shared" ref="M131:M194" si="8">(I131*12*1)/(0.0821*(D131+273.15))</f>
        <v>224.4321206046051</v>
      </c>
    </row>
    <row r="132" spans="1:19" x14ac:dyDescent="0.3">
      <c r="A132" s="1">
        <v>130</v>
      </c>
      <c r="C132" s="1" t="s">
        <v>15</v>
      </c>
      <c r="D132" s="1">
        <v>19</v>
      </c>
      <c r="E132" s="1">
        <v>45</v>
      </c>
      <c r="F132" s="1">
        <v>692</v>
      </c>
      <c r="G132" s="1">
        <v>0.49656016661870772</v>
      </c>
      <c r="H132" s="1">
        <v>1.8657807740442509</v>
      </c>
      <c r="I132" s="1">
        <v>427.3048435454661</v>
      </c>
      <c r="J132" s="1" t="s">
        <v>16</v>
      </c>
      <c r="K132" s="1">
        <f t="shared" si="6"/>
        <v>0.58037696411064377</v>
      </c>
      <c r="L132" s="1">
        <f t="shared" si="7"/>
        <v>0.93459212351369003</v>
      </c>
      <c r="M132" s="1">
        <f t="shared" si="8"/>
        <v>213.78144778403103</v>
      </c>
    </row>
    <row r="133" spans="1:19" x14ac:dyDescent="0.3">
      <c r="A133" s="1">
        <v>131</v>
      </c>
      <c r="C133" s="1" t="s">
        <v>15</v>
      </c>
      <c r="D133" s="1">
        <v>19</v>
      </c>
      <c r="E133" s="1">
        <v>0</v>
      </c>
      <c r="F133" s="1">
        <v>693</v>
      </c>
      <c r="G133" s="1">
        <v>0.39764530469290077</v>
      </c>
      <c r="H133" s="1">
        <v>1.8461836170865895</v>
      </c>
      <c r="I133" s="1">
        <v>428.93832765240927</v>
      </c>
      <c r="J133" s="1" t="s">
        <v>129</v>
      </c>
      <c r="K133" s="1">
        <f t="shared" si="6"/>
        <v>0.46476578317190975</v>
      </c>
      <c r="L133" s="1">
        <f t="shared" si="7"/>
        <v>0.92477567091074475</v>
      </c>
      <c r="M133" s="1">
        <f t="shared" si="8"/>
        <v>214.59868307305103</v>
      </c>
      <c r="N133" s="1">
        <f>SLOPE(K133:K136,E133:E136)</f>
        <v>4.8624142385318793E-5</v>
      </c>
      <c r="O133" s="1">
        <f>SLOPE(L133:L136,E133:E136)</f>
        <v>3.0999324009301315E-5</v>
      </c>
      <c r="P133" s="1">
        <f>SLOPE(M133:M136,E133:E136)</f>
        <v>0.26811680382348319</v>
      </c>
      <c r="Q133" s="1">
        <f>(N133*41.35/0.31*60)/1000</f>
        <v>3.8914999115476111E-4</v>
      </c>
      <c r="R133" s="1">
        <f>O133*41.35/0.31*60/1000</f>
        <v>2.4809458989379535E-4</v>
      </c>
      <c r="S133" s="1">
        <f>(P133*41.35/0.31*60)/1000</f>
        <v>2.1457993235034256</v>
      </c>
    </row>
    <row r="134" spans="1:19" x14ac:dyDescent="0.3">
      <c r="A134" s="1">
        <v>132</v>
      </c>
      <c r="C134" s="1" t="s">
        <v>15</v>
      </c>
      <c r="D134" s="1">
        <v>19</v>
      </c>
      <c r="E134" s="1">
        <v>15</v>
      </c>
      <c r="F134" s="1">
        <v>694</v>
      </c>
      <c r="G134" s="1">
        <v>0.39855594641040748</v>
      </c>
      <c r="H134" s="1">
        <v>1.8286493187560504</v>
      </c>
      <c r="I134" s="1">
        <v>434.36156826125529</v>
      </c>
      <c r="J134" s="1" t="s">
        <v>129</v>
      </c>
      <c r="K134" s="1">
        <f t="shared" si="6"/>
        <v>0.46583013651905386</v>
      </c>
      <c r="L134" s="1">
        <f t="shared" si="7"/>
        <v>0.91599252910810958</v>
      </c>
      <c r="M134" s="1">
        <f t="shared" si="8"/>
        <v>217.31194094165014</v>
      </c>
    </row>
    <row r="135" spans="1:19" x14ac:dyDescent="0.3">
      <c r="A135" s="1">
        <v>133</v>
      </c>
      <c r="C135" s="1" t="s">
        <v>15</v>
      </c>
      <c r="D135" s="1">
        <v>19</v>
      </c>
      <c r="E135" s="1">
        <v>30</v>
      </c>
      <c r="F135" s="1">
        <v>695</v>
      </c>
      <c r="G135" s="1">
        <v>0.40005131596757637</v>
      </c>
      <c r="H135" s="1">
        <v>1.8441207584594674</v>
      </c>
      <c r="I135" s="1">
        <v>453.81571278251909</v>
      </c>
      <c r="J135" s="1" t="s">
        <v>129</v>
      </c>
      <c r="K135" s="1">
        <f t="shared" si="6"/>
        <v>0.46757791675225885</v>
      </c>
      <c r="L135" s="1">
        <f t="shared" si="7"/>
        <v>0.92374236011043476</v>
      </c>
      <c r="M135" s="1">
        <f t="shared" si="8"/>
        <v>227.04488744103386</v>
      </c>
    </row>
    <row r="136" spans="1:19" x14ac:dyDescent="0.3">
      <c r="A136" s="1">
        <v>134</v>
      </c>
      <c r="C136" s="1" t="s">
        <v>15</v>
      </c>
      <c r="D136" s="1">
        <v>19</v>
      </c>
      <c r="E136" s="1">
        <v>45</v>
      </c>
      <c r="F136" s="1">
        <v>696</v>
      </c>
      <c r="G136" s="1">
        <v>0.39922694557067556</v>
      </c>
      <c r="H136" s="1">
        <v>1.8441207584594674</v>
      </c>
      <c r="I136" s="1">
        <v>449.24911122807225</v>
      </c>
      <c r="J136" s="1" t="s">
        <v>129</v>
      </c>
      <c r="K136" s="1">
        <f t="shared" si="6"/>
        <v>0.46661439688010736</v>
      </c>
      <c r="L136" s="1">
        <f t="shared" si="7"/>
        <v>0.92374236011043476</v>
      </c>
      <c r="M136" s="1">
        <f t="shared" si="8"/>
        <v>224.76020776443062</v>
      </c>
    </row>
    <row r="137" spans="1:19" x14ac:dyDescent="0.3">
      <c r="A137" s="1">
        <v>135</v>
      </c>
      <c r="C137" s="1" t="s">
        <v>15</v>
      </c>
      <c r="D137" s="1">
        <v>19</v>
      </c>
      <c r="F137" s="1" t="s">
        <v>156</v>
      </c>
      <c r="G137" s="1">
        <v>0.40018551579962997</v>
      </c>
      <c r="H137" s="1">
        <v>1.8338064653238562</v>
      </c>
      <c r="I137" s="1">
        <v>409.82628844944401</v>
      </c>
      <c r="K137" s="1">
        <f t="shared" si="6"/>
        <v>0.46773476882446952</v>
      </c>
      <c r="L137" s="1">
        <f t="shared" si="7"/>
        <v>0.91857580610888478</v>
      </c>
      <c r="M137" s="1">
        <f t="shared" si="8"/>
        <v>205.03689253256925</v>
      </c>
    </row>
    <row r="138" spans="1:19" x14ac:dyDescent="0.3">
      <c r="A138" s="1">
        <v>136</v>
      </c>
      <c r="C138" s="1" t="s">
        <v>15</v>
      </c>
      <c r="D138" s="1">
        <v>19</v>
      </c>
      <c r="F138" s="1" t="s">
        <v>157</v>
      </c>
      <c r="G138" s="1">
        <v>0.42792653822557103</v>
      </c>
      <c r="H138" s="1">
        <v>1.8534036222815176</v>
      </c>
      <c r="I138" s="1">
        <v>529.09814342934658</v>
      </c>
      <c r="K138" s="1">
        <f t="shared" si="6"/>
        <v>0.50015833289431133</v>
      </c>
      <c r="L138" s="1">
        <f t="shared" si="7"/>
        <v>0.92839225871183007</v>
      </c>
      <c r="M138" s="1">
        <f t="shared" si="8"/>
        <v>264.7088345258444</v>
      </c>
    </row>
    <row r="139" spans="1:19" x14ac:dyDescent="0.3">
      <c r="A139" s="1">
        <v>137</v>
      </c>
      <c r="B139" s="1" t="s">
        <v>94</v>
      </c>
      <c r="C139" s="1" t="s">
        <v>15</v>
      </c>
      <c r="D139" s="1">
        <v>25.4</v>
      </c>
      <c r="E139" s="1">
        <v>0</v>
      </c>
      <c r="F139" s="1">
        <v>365</v>
      </c>
      <c r="G139" s="1">
        <v>0.49891824938193552</v>
      </c>
      <c r="H139" s="1">
        <v>1.9957408675529524</v>
      </c>
      <c r="I139" s="1">
        <v>430.54429658629891</v>
      </c>
      <c r="J139" s="1" t="s">
        <v>129</v>
      </c>
      <c r="K139" s="1">
        <f t="shared" si="6"/>
        <v>0.57063248721234738</v>
      </c>
      <c r="L139" s="1">
        <f t="shared" si="7"/>
        <v>0.9782603890607624</v>
      </c>
      <c r="M139" s="1">
        <f t="shared" si="8"/>
        <v>210.78458832124602</v>
      </c>
      <c r="N139" s="1">
        <f>SLOPE(K139:K142,E139:E142)</f>
        <v>0.36477317965113576</v>
      </c>
      <c r="O139" s="1">
        <f>SLOPE(L139:L142,E139:E142)</f>
        <v>1.0090194850859668</v>
      </c>
      <c r="P139" s="1">
        <f>SLOPE(M139:M142,E139:E142)</f>
        <v>24.101074249449297</v>
      </c>
      <c r="Q139" s="1">
        <f>(N139*41.35/0.31*60)/1000</f>
        <v>2.9193621248853803</v>
      </c>
      <c r="R139" s="1">
        <f>O139*41.35/0.31*60/1000</f>
        <v>8.0754107822525292</v>
      </c>
      <c r="S139" s="1">
        <f>(P139*41.35/0.31*60)/1000</f>
        <v>192.88633939639905</v>
      </c>
    </row>
    <row r="140" spans="1:19" x14ac:dyDescent="0.3">
      <c r="A140" s="1">
        <v>138</v>
      </c>
      <c r="B140" s="1" t="s">
        <v>170</v>
      </c>
      <c r="C140" s="1" t="s">
        <v>15</v>
      </c>
      <c r="D140" s="1">
        <v>25.4</v>
      </c>
      <c r="E140" s="1">
        <v>15</v>
      </c>
      <c r="F140" s="1">
        <v>366</v>
      </c>
      <c r="G140" s="1">
        <v>9.6034182839910436</v>
      </c>
      <c r="H140" s="1">
        <v>77.785166828024288</v>
      </c>
      <c r="I140" s="1">
        <v>1541.9949484269248</v>
      </c>
      <c r="J140" s="1" t="s">
        <v>129</v>
      </c>
      <c r="K140" s="1">
        <f t="shared" si="6"/>
        <v>10.98380840533102</v>
      </c>
      <c r="L140" s="1">
        <f t="shared" si="7"/>
        <v>38.128270459100762</v>
      </c>
      <c r="M140" s="1">
        <f t="shared" si="8"/>
        <v>754.92527243932761</v>
      </c>
    </row>
    <row r="141" spans="1:19" x14ac:dyDescent="0.3">
      <c r="A141" s="1">
        <v>139</v>
      </c>
      <c r="C141" s="1" t="s">
        <v>15</v>
      </c>
      <c r="D141" s="1">
        <v>25.4</v>
      </c>
      <c r="E141" s="1">
        <v>30</v>
      </c>
      <c r="F141" s="1">
        <v>367</v>
      </c>
      <c r="G141" s="1">
        <v>15.170247788727828</v>
      </c>
      <c r="H141" s="1">
        <v>111.81717702897357</v>
      </c>
      <c r="I141" s="1">
        <v>2477.270533068127</v>
      </c>
      <c r="J141" s="1" t="s">
        <v>129</v>
      </c>
      <c r="K141" s="1">
        <f t="shared" si="6"/>
        <v>17.350810955568956</v>
      </c>
      <c r="L141" s="1">
        <f t="shared" si="7"/>
        <v>54.809878818667585</v>
      </c>
      <c r="M141" s="1">
        <f t="shared" si="8"/>
        <v>1212.814694360849</v>
      </c>
    </row>
    <row r="142" spans="1:19" x14ac:dyDescent="0.3">
      <c r="A142" s="1">
        <v>140</v>
      </c>
      <c r="C142" s="1" t="s">
        <v>15</v>
      </c>
      <c r="D142" s="1">
        <v>25.4</v>
      </c>
      <c r="E142" s="1">
        <v>45</v>
      </c>
      <c r="F142" s="1">
        <v>368</v>
      </c>
      <c r="G142" s="1">
        <v>14.589823929393635</v>
      </c>
      <c r="H142" s="1">
        <v>93.576349618645111</v>
      </c>
      <c r="I142" s="1">
        <v>2580.203878288858</v>
      </c>
      <c r="J142" s="1" t="s">
        <v>129</v>
      </c>
      <c r="K142" s="1">
        <f t="shared" si="6"/>
        <v>16.686957286356488</v>
      </c>
      <c r="L142" s="1">
        <f t="shared" si="7"/>
        <v>45.868698523503497</v>
      </c>
      <c r="M142" s="1">
        <f t="shared" si="8"/>
        <v>1263.208493486537</v>
      </c>
    </row>
    <row r="143" spans="1:19" x14ac:dyDescent="0.3">
      <c r="A143" s="1">
        <v>141</v>
      </c>
      <c r="C143" s="1" t="s">
        <v>15</v>
      </c>
      <c r="D143" s="1">
        <v>25.4</v>
      </c>
      <c r="E143" s="1">
        <v>0</v>
      </c>
      <c r="F143" s="1">
        <v>369</v>
      </c>
      <c r="G143" s="1">
        <v>0.46023035494133507</v>
      </c>
      <c r="H143" s="1">
        <v>2.0493751918581311</v>
      </c>
      <c r="I143" s="1">
        <v>393.64369800424203</v>
      </c>
      <c r="J143" s="1" t="s">
        <v>16</v>
      </c>
      <c r="K143" s="1">
        <f t="shared" si="6"/>
        <v>0.52638361586519322</v>
      </c>
      <c r="L143" s="1">
        <f t="shared" si="7"/>
        <v>1.0045505431658535</v>
      </c>
      <c r="M143" s="1">
        <f t="shared" si="8"/>
        <v>192.7189036922839</v>
      </c>
      <c r="N143" s="1">
        <f>SLOPE(K143:K146,E143:E146)</f>
        <v>0.14181317415895336</v>
      </c>
      <c r="O143" s="1">
        <f>SLOPE(L143:L146,E143:E146)</f>
        <v>6.7073598293756922E-4</v>
      </c>
      <c r="P143" s="1">
        <f>SLOPE(M143:M146,E143:E146)</f>
        <v>24.752881169326049</v>
      </c>
      <c r="Q143" s="1">
        <f>(N143*41.35/0.31*60)/1000</f>
        <v>1.1349628551237527</v>
      </c>
      <c r="R143" s="1">
        <f>O143*41.35/0.31*60/1000</f>
        <v>5.3680515279616436E-3</v>
      </c>
      <c r="S143" s="1">
        <f>(P143*41.35/0.31*60)/1000</f>
        <v>198.1028973583804</v>
      </c>
    </row>
    <row r="144" spans="1:19" x14ac:dyDescent="0.3">
      <c r="A144" s="1">
        <v>142</v>
      </c>
      <c r="C144" s="1" t="s">
        <v>15</v>
      </c>
      <c r="D144" s="1">
        <v>25.4</v>
      </c>
      <c r="E144" s="1">
        <v>15</v>
      </c>
      <c r="F144" s="1">
        <v>370</v>
      </c>
      <c r="G144" s="1">
        <v>3.6674529697862015</v>
      </c>
      <c r="H144" s="1">
        <v>2.1040409454768705</v>
      </c>
      <c r="I144" s="1">
        <v>1652.4078348560331</v>
      </c>
      <c r="J144" s="1" t="s">
        <v>16</v>
      </c>
      <c r="K144" s="1">
        <f t="shared" si="6"/>
        <v>4.1946106651258992</v>
      </c>
      <c r="L144" s="1">
        <f t="shared" si="7"/>
        <v>1.0313462771575808</v>
      </c>
      <c r="M144" s="1">
        <f t="shared" si="8"/>
        <v>808.98088296732612</v>
      </c>
    </row>
    <row r="145" spans="1:19" x14ac:dyDescent="0.3">
      <c r="A145" s="1">
        <v>143</v>
      </c>
      <c r="C145" s="1" t="s">
        <v>15</v>
      </c>
      <c r="D145" s="1">
        <v>25.4</v>
      </c>
      <c r="E145" s="1">
        <v>30</v>
      </c>
      <c r="F145" s="1">
        <v>371</v>
      </c>
      <c r="G145" s="1">
        <v>4.9896376436899059</v>
      </c>
      <c r="H145" s="1">
        <v>2.1483924059599988</v>
      </c>
      <c r="I145" s="1">
        <v>2310.8284997501642</v>
      </c>
      <c r="J145" s="1" t="s">
        <v>16</v>
      </c>
      <c r="K145" s="1">
        <f t="shared" si="6"/>
        <v>5.7068454449888852</v>
      </c>
      <c r="L145" s="1">
        <f t="shared" si="7"/>
        <v>1.0530862122829443</v>
      </c>
      <c r="M145" s="1">
        <f t="shared" si="8"/>
        <v>1131.3285017659234</v>
      </c>
    </row>
    <row r="146" spans="1:19" x14ac:dyDescent="0.3">
      <c r="A146" s="1">
        <v>144</v>
      </c>
      <c r="C146" s="1" t="s">
        <v>15</v>
      </c>
      <c r="D146" s="1">
        <v>25.4</v>
      </c>
      <c r="E146" s="1">
        <v>45</v>
      </c>
      <c r="F146" s="1">
        <v>372</v>
      </c>
      <c r="G146" s="1">
        <v>6.2190423051331107</v>
      </c>
      <c r="H146" s="1">
        <v>2.1030095161633091</v>
      </c>
      <c r="I146" s="1">
        <v>2702.1566282966069</v>
      </c>
      <c r="J146" s="1" t="s">
        <v>16</v>
      </c>
      <c r="K146" s="1">
        <f t="shared" si="6"/>
        <v>7.1129640638585325</v>
      </c>
      <c r="L146" s="1">
        <f t="shared" si="7"/>
        <v>1.0308406972709441</v>
      </c>
      <c r="M146" s="1">
        <f t="shared" si="8"/>
        <v>1322.9137558923871</v>
      </c>
    </row>
    <row r="147" spans="1:19" x14ac:dyDescent="0.3">
      <c r="A147" s="1">
        <v>145</v>
      </c>
      <c r="C147" s="1" t="s">
        <v>15</v>
      </c>
      <c r="D147" s="1">
        <v>25.4</v>
      </c>
      <c r="E147" s="1">
        <v>0</v>
      </c>
      <c r="F147" s="1">
        <v>373</v>
      </c>
      <c r="G147" s="1">
        <v>0.43708088391208577</v>
      </c>
      <c r="H147" s="1">
        <v>1.8626864861035677</v>
      </c>
      <c r="I147" s="1">
        <v>393.9151810450366</v>
      </c>
      <c r="J147" s="1" t="s">
        <v>16</v>
      </c>
      <c r="K147" s="1">
        <f t="shared" si="6"/>
        <v>0.49990665245999577</v>
      </c>
      <c r="L147" s="1">
        <f t="shared" si="7"/>
        <v>0.91304058368467156</v>
      </c>
      <c r="M147" s="1">
        <f t="shared" si="8"/>
        <v>192.85181554698457</v>
      </c>
      <c r="N147" s="1">
        <f>SLOPE(K147:K150,E147:E150)</f>
        <v>5.574539178312464E-2</v>
      </c>
      <c r="O147" s="1">
        <f>SLOPE(L147:L150,E147:E150)</f>
        <v>8.2240994892848274E-4</v>
      </c>
      <c r="P147" s="1">
        <f>SLOPE(M147:M150,E147:E150)</f>
        <v>25.225143331967708</v>
      </c>
      <c r="Q147" s="1">
        <f>(N147*41.35/0.31*60)/1000</f>
        <v>0.44614295810945886</v>
      </c>
      <c r="R147" s="1">
        <f>O147*41.35/0.31*60/1000</f>
        <v>6.5819325267469867E-3</v>
      </c>
      <c r="S147" s="1">
        <f>(P147*41.35/0.31*60)/1000</f>
        <v>201.88251808584479</v>
      </c>
    </row>
    <row r="148" spans="1:19" x14ac:dyDescent="0.3">
      <c r="A148" s="1">
        <v>146</v>
      </c>
      <c r="C148" s="1" t="s">
        <v>15</v>
      </c>
      <c r="D148" s="1">
        <v>25.4</v>
      </c>
      <c r="E148" s="1">
        <v>15</v>
      </c>
      <c r="F148" s="1">
        <v>374</v>
      </c>
      <c r="G148" s="1">
        <v>1.2050777656480798</v>
      </c>
      <c r="H148" s="1">
        <v>1.8864093603154735</v>
      </c>
      <c r="I148" s="1">
        <v>1379.174829055238</v>
      </c>
      <c r="J148" s="1" t="s">
        <v>16</v>
      </c>
      <c r="K148" s="1">
        <f t="shared" si="6"/>
        <v>1.378294988303068</v>
      </c>
      <c r="L148" s="1">
        <f t="shared" si="7"/>
        <v>0.92466892107730791</v>
      </c>
      <c r="M148" s="1">
        <f t="shared" si="8"/>
        <v>675.21228563566194</v>
      </c>
    </row>
    <row r="149" spans="1:19" x14ac:dyDescent="0.3">
      <c r="A149" s="1">
        <v>147</v>
      </c>
      <c r="C149" s="1" t="s">
        <v>15</v>
      </c>
      <c r="D149" s="1">
        <v>25.4</v>
      </c>
      <c r="E149" s="1">
        <v>30</v>
      </c>
      <c r="F149" s="1">
        <v>375</v>
      </c>
      <c r="G149" s="1">
        <v>2.0693917839894143</v>
      </c>
      <c r="H149" s="1">
        <v>1.9245722449172351</v>
      </c>
      <c r="I149" s="1">
        <v>2184.7227929562055</v>
      </c>
      <c r="J149" s="1" t="s">
        <v>16</v>
      </c>
      <c r="K149" s="1">
        <f t="shared" si="6"/>
        <v>2.3668450335852396</v>
      </c>
      <c r="L149" s="1">
        <f t="shared" si="7"/>
        <v>0.94337537688285344</v>
      </c>
      <c r="M149" s="1">
        <f t="shared" si="8"/>
        <v>1069.5900472043813</v>
      </c>
    </row>
    <row r="150" spans="1:19" x14ac:dyDescent="0.3">
      <c r="A150" s="1">
        <v>148</v>
      </c>
      <c r="C150" s="1" t="s">
        <v>15</v>
      </c>
      <c r="D150" s="1">
        <v>25.4</v>
      </c>
      <c r="E150" s="1">
        <v>45</v>
      </c>
      <c r="F150" s="1">
        <v>376</v>
      </c>
      <c r="G150" s="1">
        <v>2.5859556946706634</v>
      </c>
      <c r="H150" s="1">
        <v>1.933855108739285</v>
      </c>
      <c r="I150" s="1">
        <v>2701.6173309047585</v>
      </c>
      <c r="J150" s="1" t="s">
        <v>16</v>
      </c>
      <c r="K150" s="1">
        <f t="shared" si="6"/>
        <v>2.9576595598555042</v>
      </c>
      <c r="L150" s="1">
        <f t="shared" si="7"/>
        <v>0.94792559586258052</v>
      </c>
      <c r="M150" s="1">
        <f t="shared" si="8"/>
        <v>1322.6497282891303</v>
      </c>
    </row>
    <row r="151" spans="1:19" x14ac:dyDescent="0.3">
      <c r="A151" s="1">
        <v>149</v>
      </c>
      <c r="C151" s="1" t="s">
        <v>15</v>
      </c>
      <c r="D151" s="1">
        <v>25.4</v>
      </c>
      <c r="E151" s="1">
        <v>0</v>
      </c>
      <c r="F151" s="1">
        <v>377</v>
      </c>
      <c r="G151" s="1">
        <v>0.4239197146685415</v>
      </c>
      <c r="H151" s="1">
        <v>1.8843465016883512</v>
      </c>
      <c r="I151" s="1">
        <v>390.16761447514909</v>
      </c>
      <c r="J151" s="1" t="s">
        <v>16</v>
      </c>
      <c r="K151" s="1">
        <f t="shared" si="6"/>
        <v>0.48485370390706151</v>
      </c>
      <c r="L151" s="1">
        <f t="shared" si="7"/>
        <v>0.92365776130403521</v>
      </c>
      <c r="M151" s="1">
        <f t="shared" si="8"/>
        <v>191.01709312027171</v>
      </c>
      <c r="N151" s="1">
        <f>SLOPE(K151:K154,F151:F154)</f>
        <v>0.86902985304279201</v>
      </c>
      <c r="O151" s="1">
        <f>SLOPE(L151:L154,F151:F154)</f>
        <v>1.1729453369963661E-2</v>
      </c>
      <c r="P151" s="1">
        <f>SLOPE(M151:M154,F151:F154)</f>
        <v>351.33326956552202</v>
      </c>
      <c r="Q151" s="1">
        <f>(N151*41.35/0.31*60)/1000</f>
        <v>6.9550421464489265</v>
      </c>
      <c r="R151" s="1">
        <f>O151*41.35/0.31*60/1000</f>
        <v>9.387346390606402E-2</v>
      </c>
      <c r="S151" s="1">
        <f>(P151*41.35/0.31*60)/1000</f>
        <v>2811.7994896518071</v>
      </c>
    </row>
    <row r="152" spans="1:19" x14ac:dyDescent="0.3">
      <c r="A152" s="1">
        <v>150</v>
      </c>
      <c r="C152" s="1" t="s">
        <v>15</v>
      </c>
      <c r="D152" s="1">
        <v>25.4</v>
      </c>
      <c r="E152" s="1">
        <v>15</v>
      </c>
      <c r="F152" s="1">
        <v>378</v>
      </c>
      <c r="G152" s="1">
        <v>1.4366108187497311</v>
      </c>
      <c r="H152" s="1">
        <v>1.8977550827646457</v>
      </c>
      <c r="I152" s="1">
        <v>1228.7998224556522</v>
      </c>
      <c r="J152" s="1" t="s">
        <v>16</v>
      </c>
      <c r="K152" s="1">
        <f t="shared" si="6"/>
        <v>1.6431084765387369</v>
      </c>
      <c r="L152" s="1">
        <f t="shared" si="7"/>
        <v>0.93023029983030781</v>
      </c>
      <c r="M152" s="1">
        <f t="shared" si="8"/>
        <v>601.5921399010291</v>
      </c>
    </row>
    <row r="153" spans="1:19" x14ac:dyDescent="0.3">
      <c r="A153" s="1">
        <v>151</v>
      </c>
      <c r="C153" s="1" t="s">
        <v>15</v>
      </c>
      <c r="D153" s="1">
        <v>25.4</v>
      </c>
      <c r="E153" s="1">
        <v>30</v>
      </c>
      <c r="F153" s="1">
        <v>379</v>
      </c>
      <c r="G153" s="1">
        <v>2.2483951885443632</v>
      </c>
      <c r="H153" s="1">
        <v>1.9544836950105073</v>
      </c>
      <c r="I153" s="1">
        <v>2031.6641398114682</v>
      </c>
      <c r="J153" s="1" t="s">
        <v>16</v>
      </c>
      <c r="K153" s="1">
        <f t="shared" si="6"/>
        <v>2.5715782901602533</v>
      </c>
      <c r="L153" s="1">
        <f t="shared" si="7"/>
        <v>0.95803719359530781</v>
      </c>
      <c r="M153" s="1">
        <f t="shared" si="8"/>
        <v>994.65604982497098</v>
      </c>
    </row>
    <row r="154" spans="1:19" x14ac:dyDescent="0.3">
      <c r="A154" s="1">
        <v>152</v>
      </c>
      <c r="C154" s="1" t="s">
        <v>15</v>
      </c>
      <c r="D154" s="1">
        <v>25.4</v>
      </c>
      <c r="E154" s="1">
        <v>45</v>
      </c>
      <c r="F154" s="1">
        <v>380</v>
      </c>
      <c r="G154" s="1">
        <v>2.6860400122757944</v>
      </c>
      <c r="H154" s="1">
        <v>1.9452008311884577</v>
      </c>
      <c r="I154" s="1">
        <v>2514.6333865574829</v>
      </c>
      <c r="J154" s="1" t="s">
        <v>16</v>
      </c>
      <c r="K154" s="1">
        <f t="shared" si="6"/>
        <v>3.0721299428425297</v>
      </c>
      <c r="L154" s="1">
        <f t="shared" si="7"/>
        <v>0.95348697461558074</v>
      </c>
      <c r="M154" s="1">
        <f t="shared" si="8"/>
        <v>1231.1066883640312</v>
      </c>
    </row>
    <row r="155" spans="1:19" x14ac:dyDescent="0.3">
      <c r="A155" s="1">
        <v>153</v>
      </c>
      <c r="C155" s="1" t="s">
        <v>15</v>
      </c>
      <c r="D155" s="1">
        <v>25.4</v>
      </c>
      <c r="E155" s="1">
        <v>0</v>
      </c>
      <c r="F155" s="1">
        <v>381</v>
      </c>
      <c r="G155" s="1">
        <v>0.42021004788248795</v>
      </c>
      <c r="H155" s="1">
        <v>1.8544350515950787</v>
      </c>
      <c r="I155" s="1">
        <v>388.44975050417526</v>
      </c>
      <c r="J155" s="1" t="s">
        <v>16</v>
      </c>
      <c r="K155" s="1">
        <f t="shared" si="6"/>
        <v>0.48061081163467584</v>
      </c>
      <c r="L155" s="1">
        <f t="shared" si="7"/>
        <v>0.90899594459158062</v>
      </c>
      <c r="M155" s="1">
        <f t="shared" si="8"/>
        <v>190.17606641806097</v>
      </c>
      <c r="N155" s="1">
        <f>SLOPE(K155:K158,E155:E158)</f>
        <v>5.7330501252740987E-2</v>
      </c>
      <c r="O155" s="1">
        <f>SLOPE(L155:L158,E155:E158)</f>
        <v>2.561604758957614E-4</v>
      </c>
      <c r="P155" s="1">
        <f>SLOPE(M155:M158,E155:E158)</f>
        <v>34.631006957580595</v>
      </c>
      <c r="Q155" s="1">
        <f>(N155*41.35/0.31*60)/1000</f>
        <v>0.45882894712274319</v>
      </c>
      <c r="R155" s="1">
        <f>O155*41.35/0.31*60/1000</f>
        <v>2.0501101312818842E-3</v>
      </c>
      <c r="S155" s="1">
        <f>(P155*41.35/0.31*60)/1000</f>
        <v>277.15976858631433</v>
      </c>
    </row>
    <row r="156" spans="1:19" x14ac:dyDescent="0.3">
      <c r="A156" s="1">
        <v>154</v>
      </c>
      <c r="C156" s="1" t="s">
        <v>15</v>
      </c>
      <c r="D156" s="1">
        <v>25.4</v>
      </c>
      <c r="E156" s="1">
        <v>15</v>
      </c>
      <c r="F156" s="1">
        <v>382</v>
      </c>
      <c r="G156" s="1">
        <v>1.2428358469665945</v>
      </c>
      <c r="H156" s="1">
        <v>1.875063637866301</v>
      </c>
      <c r="I156" s="1">
        <v>1552.5983789493107</v>
      </c>
      <c r="J156" s="1" t="s">
        <v>16</v>
      </c>
      <c r="K156" s="1">
        <f t="shared" si="6"/>
        <v>1.421480395695645</v>
      </c>
      <c r="L156" s="1">
        <f t="shared" si="7"/>
        <v>0.91910754232430791</v>
      </c>
      <c r="M156" s="1">
        <f t="shared" si="8"/>
        <v>760.11646822376883</v>
      </c>
    </row>
    <row r="157" spans="1:19" x14ac:dyDescent="0.3">
      <c r="A157" s="1">
        <v>155</v>
      </c>
      <c r="C157" s="1" t="s">
        <v>15</v>
      </c>
      <c r="D157" s="1">
        <v>25.4</v>
      </c>
      <c r="E157" s="1">
        <v>30</v>
      </c>
      <c r="F157" s="1">
        <v>383</v>
      </c>
      <c r="G157" s="1">
        <v>1.7439763626639671</v>
      </c>
      <c r="H157" s="1">
        <v>1.8668122033578121</v>
      </c>
      <c r="I157" s="1">
        <v>2232.7697881422378</v>
      </c>
      <c r="J157" s="1" t="s">
        <v>16</v>
      </c>
      <c r="K157" s="1">
        <f t="shared" si="6"/>
        <v>1.9946545765750348</v>
      </c>
      <c r="L157" s="1">
        <f t="shared" si="7"/>
        <v>0.91506290323121708</v>
      </c>
      <c r="M157" s="1">
        <f t="shared" si="8"/>
        <v>1093.1127513271863</v>
      </c>
    </row>
    <row r="158" spans="1:19" x14ac:dyDescent="0.3">
      <c r="A158" s="1">
        <v>156</v>
      </c>
      <c r="C158" s="1" t="s">
        <v>15</v>
      </c>
      <c r="D158" s="1">
        <v>25.4</v>
      </c>
      <c r="E158" s="1">
        <v>45</v>
      </c>
      <c r="F158" s="1">
        <v>384</v>
      </c>
      <c r="G158" s="1">
        <v>2.7594377347068351</v>
      </c>
      <c r="H158" s="1">
        <v>1.8833150723747902</v>
      </c>
      <c r="I158" s="1">
        <v>3698.5553355313027</v>
      </c>
      <c r="J158" s="1" t="s">
        <v>16</v>
      </c>
      <c r="K158" s="1">
        <f t="shared" si="6"/>
        <v>3.156077813978595</v>
      </c>
      <c r="L158" s="1">
        <f t="shared" si="7"/>
        <v>0.92315218141739896</v>
      </c>
      <c r="M158" s="1">
        <f t="shared" si="8"/>
        <v>1810.7276532626181</v>
      </c>
    </row>
    <row r="159" spans="1:19" x14ac:dyDescent="0.3">
      <c r="A159" s="1">
        <v>157</v>
      </c>
      <c r="C159" s="1" t="s">
        <v>15</v>
      </c>
      <c r="D159" s="1">
        <v>25.4</v>
      </c>
      <c r="E159" s="1">
        <v>0</v>
      </c>
      <c r="F159" s="1">
        <v>385</v>
      </c>
      <c r="G159" s="1">
        <v>0.42249144502739938</v>
      </c>
      <c r="H159" s="1">
        <v>2.3371439703416845</v>
      </c>
      <c r="I159" s="1">
        <v>418.22025057563354</v>
      </c>
      <c r="J159" s="1" t="s">
        <v>16</v>
      </c>
      <c r="K159" s="1">
        <f t="shared" si="6"/>
        <v>0.48322013556446336</v>
      </c>
      <c r="L159" s="1">
        <f t="shared" si="7"/>
        <v>1.1456073315373989</v>
      </c>
      <c r="M159" s="1">
        <f t="shared" si="8"/>
        <v>204.75101875498538</v>
      </c>
      <c r="N159" s="1">
        <f>SLOPE(K159:K162,E159:E162)</f>
        <v>8.6426582688751044E-2</v>
      </c>
      <c r="O159" s="1">
        <f>SLOPE(L159:L162,E159:E162)</f>
        <v>-3.5795055973854568E-3</v>
      </c>
      <c r="P159" s="1">
        <f>SLOPE(M159:M162,E159:E162)</f>
        <v>27.082448799938742</v>
      </c>
      <c r="Q159" s="1">
        <f>(N159*41.35/0.31*60)/1000</f>
        <v>0.69169145693803658</v>
      </c>
      <c r="R159" s="1">
        <f>O159*41.35/0.31*60/1000</f>
        <v>-2.8647591571333286E-2</v>
      </c>
      <c r="S159" s="1">
        <f>(P159*41.35/0.31*60)/1000</f>
        <v>216.74695313757425</v>
      </c>
    </row>
    <row r="160" spans="1:19" x14ac:dyDescent="0.3">
      <c r="A160" s="1">
        <v>158</v>
      </c>
      <c r="C160" s="1" t="s">
        <v>15</v>
      </c>
      <c r="D160" s="1">
        <v>25.4</v>
      </c>
      <c r="E160" s="1">
        <v>15</v>
      </c>
      <c r="F160" s="1">
        <v>386</v>
      </c>
      <c r="G160" s="1">
        <v>1.7897385053942507</v>
      </c>
      <c r="H160" s="1">
        <v>1.8833150723747902</v>
      </c>
      <c r="I160" s="1">
        <v>1485.2403181418931</v>
      </c>
      <c r="J160" s="1" t="s">
        <v>16</v>
      </c>
      <c r="K160" s="1">
        <f t="shared" si="6"/>
        <v>2.0469945448137143</v>
      </c>
      <c r="L160" s="1">
        <f t="shared" si="7"/>
        <v>0.92315218141739896</v>
      </c>
      <c r="M160" s="1">
        <f t="shared" si="8"/>
        <v>727.13951038230528</v>
      </c>
    </row>
    <row r="161" spans="1:19" x14ac:dyDescent="0.3">
      <c r="A161" s="1">
        <v>159</v>
      </c>
      <c r="C161" s="1" t="s">
        <v>15</v>
      </c>
      <c r="D161" s="1">
        <v>25.4</v>
      </c>
      <c r="E161" s="1">
        <v>30</v>
      </c>
      <c r="F161" s="1">
        <v>387</v>
      </c>
      <c r="G161" s="1">
        <v>3.3488721541931992</v>
      </c>
      <c r="H161" s="1">
        <v>1.9018808000188903</v>
      </c>
      <c r="I161" s="1">
        <v>2610.6567546520432</v>
      </c>
      <c r="J161" s="1" t="s">
        <v>16</v>
      </c>
      <c r="K161" s="1">
        <f t="shared" si="6"/>
        <v>3.8302372163591336</v>
      </c>
      <c r="L161" s="1">
        <f t="shared" si="7"/>
        <v>0.93225261937685333</v>
      </c>
      <c r="M161" s="1">
        <f t="shared" si="8"/>
        <v>1278.1175215663575</v>
      </c>
    </row>
    <row r="162" spans="1:19" x14ac:dyDescent="0.3">
      <c r="A162" s="1">
        <v>160</v>
      </c>
      <c r="C162" s="1" t="s">
        <v>15</v>
      </c>
      <c r="D162" s="1">
        <v>25.4</v>
      </c>
      <c r="E162" s="1">
        <v>45</v>
      </c>
      <c r="F162" s="1">
        <v>388</v>
      </c>
      <c r="G162" s="1">
        <v>3.681026324228196</v>
      </c>
      <c r="H162" s="1">
        <v>1.96582941745968</v>
      </c>
      <c r="I162" s="1">
        <v>2808.9842876768439</v>
      </c>
      <c r="J162" s="1" t="s">
        <v>16</v>
      </c>
      <c r="K162" s="1">
        <f t="shared" si="6"/>
        <v>4.2101350461535425</v>
      </c>
      <c r="L162" s="1">
        <f t="shared" si="7"/>
        <v>0.96359857234830792</v>
      </c>
      <c r="M162" s="1">
        <f t="shared" si="8"/>
        <v>1375.2141216905718</v>
      </c>
    </row>
    <row r="163" spans="1:19" x14ac:dyDescent="0.3">
      <c r="A163" s="1">
        <v>161</v>
      </c>
      <c r="C163" s="1" t="s">
        <v>15</v>
      </c>
      <c r="D163" s="1">
        <v>25.4</v>
      </c>
      <c r="E163" s="1">
        <v>0</v>
      </c>
      <c r="F163" s="1">
        <v>389</v>
      </c>
      <c r="G163" s="1">
        <v>0.43349583125579616</v>
      </c>
      <c r="H163" s="1">
        <v>1.8884722189425958</v>
      </c>
      <c r="I163" s="1">
        <v>405.36332738016534</v>
      </c>
      <c r="J163" s="1" t="s">
        <v>16</v>
      </c>
      <c r="K163" s="1">
        <f t="shared" si="6"/>
        <v>0.49580628628461521</v>
      </c>
      <c r="L163" s="1">
        <f t="shared" si="7"/>
        <v>0.92568008085058073</v>
      </c>
      <c r="M163" s="1">
        <f t="shared" si="8"/>
        <v>198.45656477122103</v>
      </c>
      <c r="N163" s="1">
        <f>SLOPE(K163:K166,E163:E166)</f>
        <v>0.14418246952332295</v>
      </c>
      <c r="O163" s="1">
        <f>SLOPE(L163:L166,E163:E166)</f>
        <v>3.3705325775757432E-4</v>
      </c>
      <c r="P163" s="1">
        <f>SLOPE(M163:M166,E163:E166)</f>
        <v>31.46328938809873</v>
      </c>
      <c r="Q163" s="1">
        <f>(N163*41.35/0.31*60)/1000</f>
        <v>1.1539248609269814</v>
      </c>
      <c r="R163" s="1">
        <f>O163*41.35/0.31*60/1000</f>
        <v>2.6975133306340062E-3</v>
      </c>
      <c r="S163" s="1">
        <f>(P163*41.35/0.31*60)/1000</f>
        <v>251.80780958668689</v>
      </c>
    </row>
    <row r="164" spans="1:19" x14ac:dyDescent="0.3">
      <c r="A164" s="1">
        <v>162</v>
      </c>
      <c r="C164" s="1" t="s">
        <v>15</v>
      </c>
      <c r="D164" s="1">
        <v>25.4</v>
      </c>
      <c r="E164" s="1">
        <v>15</v>
      </c>
      <c r="F164" s="1">
        <v>390</v>
      </c>
      <c r="G164" s="1">
        <v>2.3285124882803743</v>
      </c>
      <c r="H164" s="1">
        <v>1.9317922501121629</v>
      </c>
      <c r="I164" s="1">
        <v>1563.4301854080409</v>
      </c>
      <c r="J164" s="1" t="s">
        <v>16</v>
      </c>
      <c r="K164" s="1">
        <f t="shared" si="6"/>
        <v>2.6632116069886762</v>
      </c>
      <c r="L164" s="1">
        <f t="shared" si="7"/>
        <v>0.94691443608930803</v>
      </c>
      <c r="M164" s="1">
        <f t="shared" si="8"/>
        <v>765.41947161571193</v>
      </c>
    </row>
    <row r="165" spans="1:19" x14ac:dyDescent="0.3">
      <c r="A165" s="1">
        <v>163</v>
      </c>
      <c r="C165" s="1" t="s">
        <v>15</v>
      </c>
      <c r="D165" s="1">
        <v>25.4</v>
      </c>
      <c r="E165" s="1">
        <v>30</v>
      </c>
      <c r="F165" s="1">
        <v>391</v>
      </c>
      <c r="G165" s="1">
        <v>4.8058797307993428</v>
      </c>
      <c r="H165" s="1">
        <v>1.9235408156036737</v>
      </c>
      <c r="I165" s="1">
        <v>2692.09432951094</v>
      </c>
      <c r="J165" s="1" t="s">
        <v>16</v>
      </c>
      <c r="K165" s="1">
        <f t="shared" si="6"/>
        <v>5.4966742696358262</v>
      </c>
      <c r="L165" s="1">
        <f t="shared" si="7"/>
        <v>0.94286979699621698</v>
      </c>
      <c r="M165" s="1">
        <f t="shared" si="8"/>
        <v>1317.9874857642749</v>
      </c>
    </row>
    <row r="166" spans="1:19" x14ac:dyDescent="0.3">
      <c r="A166" s="1">
        <v>164</v>
      </c>
      <c r="C166" s="1" t="s">
        <v>15</v>
      </c>
      <c r="D166" s="1">
        <v>25.4</v>
      </c>
      <c r="E166" s="1">
        <v>45</v>
      </c>
      <c r="F166" s="1">
        <v>392</v>
      </c>
      <c r="G166" s="1">
        <v>5.9108236337151059</v>
      </c>
      <c r="H166" s="1">
        <v>1.9256036742307963</v>
      </c>
      <c r="I166" s="1">
        <v>3242.4555724444717</v>
      </c>
      <c r="J166" s="1" t="s">
        <v>16</v>
      </c>
      <c r="K166" s="1">
        <f t="shared" si="6"/>
        <v>6.7604422082350464</v>
      </c>
      <c r="L166" s="1">
        <f t="shared" si="7"/>
        <v>0.9438809567694898</v>
      </c>
      <c r="M166" s="1">
        <f t="shared" si="8"/>
        <v>1587.4316961266363</v>
      </c>
    </row>
    <row r="167" spans="1:19" x14ac:dyDescent="0.3">
      <c r="A167" s="1">
        <v>165</v>
      </c>
      <c r="C167" s="1" t="s">
        <v>15</v>
      </c>
      <c r="D167" s="1">
        <v>25.4</v>
      </c>
      <c r="E167" s="1">
        <v>0</v>
      </c>
      <c r="F167" s="1">
        <v>393</v>
      </c>
      <c r="G167" s="1">
        <v>0.68681718566158145</v>
      </c>
      <c r="H167" s="1">
        <v>2.0658780608751091</v>
      </c>
      <c r="I167" s="1">
        <v>432.26949793675368</v>
      </c>
      <c r="J167" s="1" t="s">
        <v>129</v>
      </c>
      <c r="K167" s="1">
        <f t="shared" si="6"/>
        <v>0.78553991440434789</v>
      </c>
      <c r="L167" s="1">
        <f t="shared" si="7"/>
        <v>1.0126398213520353</v>
      </c>
      <c r="M167" s="1">
        <f t="shared" si="8"/>
        <v>211.62920723574601</v>
      </c>
      <c r="N167" s="1">
        <f>SLOPE(K167:K170,E167:E170)</f>
        <v>0.17345952255737651</v>
      </c>
      <c r="O167" s="1">
        <f>SLOPE(L167:L170,E167:E170)</f>
        <v>9.1031343855166036E-2</v>
      </c>
      <c r="P167" s="1">
        <f>SLOPE(M167:M170,E167:E170)</f>
        <v>26.461017028477482</v>
      </c>
      <c r="Q167" s="1">
        <f>(N167*41.35/0.31*60)/1000</f>
        <v>1.3882357273059713</v>
      </c>
      <c r="R167" s="1">
        <f>O167*41.35/0.31*60/1000</f>
        <v>0.72854440033763523</v>
      </c>
      <c r="S167" s="1">
        <f>(P167*41.35/0.31*60)/1000</f>
        <v>211.77349434726659</v>
      </c>
    </row>
    <row r="168" spans="1:19" x14ac:dyDescent="0.3">
      <c r="A168" s="1">
        <v>166</v>
      </c>
      <c r="C168" s="1" t="s">
        <v>15</v>
      </c>
      <c r="D168" s="1">
        <v>25.4</v>
      </c>
      <c r="E168" s="1">
        <v>15</v>
      </c>
      <c r="F168" s="1">
        <v>394</v>
      </c>
      <c r="G168" s="1">
        <v>3.3980468069385608</v>
      </c>
      <c r="H168" s="1">
        <v>11.726245011688588</v>
      </c>
      <c r="I168" s="1">
        <v>1424.3400684501332</v>
      </c>
      <c r="J168" s="1" t="s">
        <v>129</v>
      </c>
      <c r="K168" s="1">
        <f t="shared" si="6"/>
        <v>3.8864802069465716</v>
      </c>
      <c r="L168" s="1">
        <f t="shared" si="7"/>
        <v>5.747901039588216</v>
      </c>
      <c r="M168" s="1">
        <f t="shared" si="8"/>
        <v>697.32414838188072</v>
      </c>
    </row>
    <row r="169" spans="1:19" x14ac:dyDescent="0.3">
      <c r="A169" s="1">
        <v>167</v>
      </c>
      <c r="C169" s="1" t="s">
        <v>15</v>
      </c>
      <c r="D169" s="1">
        <v>25.4</v>
      </c>
      <c r="E169" s="1">
        <v>30</v>
      </c>
      <c r="F169" s="1">
        <v>395</v>
      </c>
      <c r="G169" s="1">
        <v>6.1012148525900329</v>
      </c>
      <c r="H169" s="1">
        <v>13.312583295945597</v>
      </c>
      <c r="I169" s="1">
        <v>2395.5431317197335</v>
      </c>
      <c r="J169" s="1" t="s">
        <v>129</v>
      </c>
      <c r="K169" s="1">
        <f t="shared" si="6"/>
        <v>6.9782001573671497</v>
      </c>
      <c r="L169" s="1">
        <f t="shared" si="7"/>
        <v>6.5254829052349432</v>
      </c>
      <c r="M169" s="1">
        <f t="shared" si="8"/>
        <v>1172.8028377775081</v>
      </c>
    </row>
    <row r="170" spans="1:19" x14ac:dyDescent="0.3">
      <c r="A170" s="1">
        <v>168</v>
      </c>
      <c r="C170" s="1" t="s">
        <v>15</v>
      </c>
      <c r="D170" s="1">
        <v>25.4</v>
      </c>
      <c r="E170" s="1">
        <v>45</v>
      </c>
      <c r="F170" s="1">
        <v>396</v>
      </c>
      <c r="G170" s="1">
        <v>7.3687610234433345</v>
      </c>
      <c r="H170" s="1">
        <v>10.822712933009045</v>
      </c>
      <c r="I170" s="1">
        <v>2810.9718003437424</v>
      </c>
      <c r="J170" s="1" t="s">
        <v>129</v>
      </c>
      <c r="K170" s="1">
        <f t="shared" si="6"/>
        <v>8.4279427254663144</v>
      </c>
      <c r="L170" s="1">
        <f t="shared" si="7"/>
        <v>5.3050130588947617</v>
      </c>
      <c r="M170" s="1">
        <f t="shared" si="8"/>
        <v>1376.187162194411</v>
      </c>
    </row>
    <row r="171" spans="1:19" x14ac:dyDescent="0.3">
      <c r="A171" s="1">
        <v>169</v>
      </c>
      <c r="C171" s="1" t="s">
        <v>15</v>
      </c>
      <c r="D171" s="1">
        <v>25.4</v>
      </c>
      <c r="F171" s="1" t="s">
        <v>58</v>
      </c>
      <c r="G171" s="1">
        <v>0.56026674403501864</v>
      </c>
      <c r="H171" s="1">
        <v>1.9689237054003632</v>
      </c>
      <c r="I171" s="1">
        <v>462.42521043096116</v>
      </c>
      <c r="K171" s="1">
        <f t="shared" si="6"/>
        <v>0.64079918112260159</v>
      </c>
      <c r="L171" s="1">
        <f t="shared" si="7"/>
        <v>0.96511531200821699</v>
      </c>
      <c r="M171" s="1">
        <f t="shared" si="8"/>
        <v>226.39275071785386</v>
      </c>
    </row>
    <row r="172" spans="1:19" x14ac:dyDescent="0.3">
      <c r="A172" s="1">
        <v>170</v>
      </c>
      <c r="C172" s="1" t="s">
        <v>15</v>
      </c>
      <c r="D172" s="1">
        <v>25.4</v>
      </c>
      <c r="F172" s="1" t="s">
        <v>59</v>
      </c>
      <c r="G172" s="1">
        <v>0.45663571658275598</v>
      </c>
      <c r="H172" s="1">
        <v>1.9266351035443572</v>
      </c>
      <c r="I172" s="1">
        <v>410.39034949704086</v>
      </c>
      <c r="K172" s="1">
        <f t="shared" si="6"/>
        <v>0.52227228614388932</v>
      </c>
      <c r="L172" s="1">
        <f t="shared" si="7"/>
        <v>0.94438653665612604</v>
      </c>
      <c r="M172" s="1">
        <f t="shared" si="8"/>
        <v>200.9176792158645</v>
      </c>
    </row>
    <row r="173" spans="1:19" x14ac:dyDescent="0.3">
      <c r="A173" s="1">
        <v>171</v>
      </c>
      <c r="F173" s="1" t="s">
        <v>92</v>
      </c>
      <c r="G173" s="1">
        <v>0.69411190510392462</v>
      </c>
      <c r="H173" s="1">
        <v>2.0565951970530589</v>
      </c>
      <c r="I173" s="1">
        <v>447.74861712422103</v>
      </c>
      <c r="K173" s="1">
        <f t="shared" si="6"/>
        <v>0.86770573404722184</v>
      </c>
      <c r="L173" s="1">
        <f t="shared" si="7"/>
        <v>1.1018310480990392</v>
      </c>
      <c r="M173" s="1">
        <f t="shared" si="8"/>
        <v>239.59135147422501</v>
      </c>
    </row>
    <row r="174" spans="1:19" x14ac:dyDescent="0.3">
      <c r="A174" s="1">
        <v>172</v>
      </c>
      <c r="B174" s="1" t="s">
        <v>171</v>
      </c>
      <c r="C174" s="1" t="s">
        <v>15</v>
      </c>
      <c r="D174" s="1">
        <v>24.7</v>
      </c>
      <c r="E174" s="1">
        <v>0</v>
      </c>
      <c r="F174" s="1">
        <v>65</v>
      </c>
      <c r="G174" s="1">
        <v>0.3946841605978712</v>
      </c>
      <c r="H174" s="1">
        <v>1.9501728727070013</v>
      </c>
      <c r="I174" s="1">
        <v>445.40938049810313</v>
      </c>
      <c r="J174" s="1" t="s">
        <v>129</v>
      </c>
      <c r="K174" s="1">
        <f t="shared" si="6"/>
        <v>0.45247675400289045</v>
      </c>
      <c r="L174" s="1">
        <f t="shared" si="7"/>
        <v>0.95817073058070723</v>
      </c>
      <c r="M174" s="1">
        <f t="shared" si="8"/>
        <v>218.57467620575301</v>
      </c>
      <c r="N174" s="1">
        <f>SLOPE(K174:K177,E174:E177)</f>
        <v>3.5582790373232969E-3</v>
      </c>
      <c r="O174" s="1">
        <f>SLOPE(L174:L177,E174:E177)</f>
        <v>8.5853451698366442E-4</v>
      </c>
      <c r="P174" s="1">
        <f>SLOPE(M174:M177,E174:E177)</f>
        <v>5.5939897777682583</v>
      </c>
      <c r="Q174" s="1">
        <f>(N174*84.63/0.31*60)/1000</f>
        <v>5.8284610631355607E-2</v>
      </c>
      <c r="R174" s="1">
        <f>O174*41.35/0.31*60/1000</f>
        <v>6.871045602053134E-3</v>
      </c>
      <c r="S174" s="1">
        <f>(P174*84.63/0.31*60)/1000</f>
        <v>91.629552559844072</v>
      </c>
    </row>
    <row r="175" spans="1:19" x14ac:dyDescent="0.3">
      <c r="A175" s="1">
        <v>173</v>
      </c>
      <c r="B175" s="1" t="s">
        <v>95</v>
      </c>
      <c r="C175" s="1" t="s">
        <v>15</v>
      </c>
      <c r="D175" s="1">
        <v>24.7</v>
      </c>
      <c r="E175" s="1">
        <v>15</v>
      </c>
      <c r="F175" s="1">
        <v>66</v>
      </c>
      <c r="G175" s="1">
        <v>0.48309177729717245</v>
      </c>
      <c r="H175" s="1">
        <v>1.9312922571772493</v>
      </c>
      <c r="I175" s="1">
        <v>634.3282992578504</v>
      </c>
      <c r="J175" s="1" t="s">
        <v>129</v>
      </c>
      <c r="K175" s="1">
        <f t="shared" si="6"/>
        <v>0.55382967217583046</v>
      </c>
      <c r="L175" s="1">
        <f t="shared" si="7"/>
        <v>0.94889419236753625</v>
      </c>
      <c r="M175" s="1">
        <f t="shared" si="8"/>
        <v>311.28240375939072</v>
      </c>
    </row>
    <row r="176" spans="1:19" x14ac:dyDescent="0.3">
      <c r="A176" s="1">
        <v>174</v>
      </c>
      <c r="C176" s="1" t="s">
        <v>15</v>
      </c>
      <c r="D176" s="1">
        <v>24.7</v>
      </c>
      <c r="E176" s="1">
        <v>30</v>
      </c>
      <c r="F176" s="1">
        <v>67</v>
      </c>
      <c r="G176" s="1">
        <v>0.54270578209979037</v>
      </c>
      <c r="H176" s="1">
        <v>1.980159732666019</v>
      </c>
      <c r="I176" s="1">
        <v>844.0445017674657</v>
      </c>
      <c r="J176" s="1" t="s">
        <v>129</v>
      </c>
      <c r="K176" s="1">
        <f t="shared" si="6"/>
        <v>0.62217280341611347</v>
      </c>
      <c r="L176" s="1">
        <f t="shared" si="7"/>
        <v>0.97290405597809626</v>
      </c>
      <c r="M176" s="1">
        <f t="shared" si="8"/>
        <v>414.19593244928438</v>
      </c>
    </row>
    <row r="177" spans="1:19" x14ac:dyDescent="0.3">
      <c r="A177" s="1">
        <v>175</v>
      </c>
      <c r="C177" s="1" t="s">
        <v>15</v>
      </c>
      <c r="D177" s="1">
        <v>24.7</v>
      </c>
      <c r="E177" s="1">
        <v>45</v>
      </c>
      <c r="F177" s="1">
        <v>68</v>
      </c>
      <c r="G177" s="1">
        <v>0.53000271802772414</v>
      </c>
      <c r="H177" s="1">
        <v>2.0212528370543028</v>
      </c>
      <c r="I177" s="1">
        <v>945.47291766493731</v>
      </c>
      <c r="J177" s="1" t="s">
        <v>129</v>
      </c>
      <c r="K177" s="1">
        <f t="shared" si="6"/>
        <v>0.60760966212229428</v>
      </c>
      <c r="L177" s="1">
        <f t="shared" si="7"/>
        <v>0.99309416855970378</v>
      </c>
      <c r="M177" s="1">
        <f t="shared" si="8"/>
        <v>463.96965553086801</v>
      </c>
    </row>
    <row r="178" spans="1:19" x14ac:dyDescent="0.3">
      <c r="A178" s="1">
        <v>176</v>
      </c>
      <c r="C178" s="1" t="s">
        <v>15</v>
      </c>
      <c r="D178" s="1">
        <v>24.7</v>
      </c>
      <c r="E178" s="1">
        <v>0</v>
      </c>
      <c r="F178" s="1">
        <v>69</v>
      </c>
      <c r="G178" s="1">
        <v>0.39431305984969844</v>
      </c>
      <c r="H178" s="1">
        <v>1.951283497149928</v>
      </c>
      <c r="I178" s="1">
        <v>415.16670124122146</v>
      </c>
      <c r="J178" s="1" t="s">
        <v>16</v>
      </c>
      <c r="K178" s="1">
        <f t="shared" si="6"/>
        <v>0.45205131392014963</v>
      </c>
      <c r="L178" s="1">
        <f t="shared" si="7"/>
        <v>0.95871640929912905</v>
      </c>
      <c r="M178" s="1">
        <f t="shared" si="8"/>
        <v>203.73375880348576</v>
      </c>
      <c r="N178" s="1">
        <f>SLOPE(K178:K181,E178:E181)</f>
        <v>4.2226928144036124E-3</v>
      </c>
      <c r="O178" s="1">
        <f>SLOPE(L178:L181,E178:E181)</f>
        <v>1.0258759906330251E-3</v>
      </c>
      <c r="P178" s="1">
        <f>SLOPE(M178:M181,E178:E181)</f>
        <v>3.0592716839122942</v>
      </c>
      <c r="Q178" s="1">
        <f>(N178*84.63/0.31*60)/1000</f>
        <v>6.9167708299931144E-2</v>
      </c>
      <c r="R178" s="1">
        <f>O178*41.35/0.31*60/1000</f>
        <v>8.2103172024533405E-3</v>
      </c>
      <c r="S178" s="1">
        <f>(P178*84.63/0.31*60)/1000</f>
        <v>50.110870182483382</v>
      </c>
    </row>
    <row r="179" spans="1:19" x14ac:dyDescent="0.3">
      <c r="A179" s="1">
        <v>177</v>
      </c>
      <c r="C179" s="1" t="s">
        <v>15</v>
      </c>
      <c r="D179" s="1">
        <v>24.7</v>
      </c>
      <c r="E179" s="1">
        <v>15</v>
      </c>
      <c r="F179" s="1">
        <v>70</v>
      </c>
      <c r="G179" s="1">
        <v>0.50596680803069105</v>
      </c>
      <c r="H179" s="1">
        <v>1.9523941215928544</v>
      </c>
      <c r="I179" s="1">
        <v>588.7786350168858</v>
      </c>
      <c r="J179" s="1" t="s">
        <v>16</v>
      </c>
      <c r="K179" s="1">
        <f t="shared" si="6"/>
        <v>0.58005423522477562</v>
      </c>
      <c r="L179" s="1">
        <f t="shared" si="7"/>
        <v>0.95926208801755075</v>
      </c>
      <c r="M179" s="1">
        <f t="shared" si="8"/>
        <v>288.92992635620772</v>
      </c>
    </row>
    <row r="180" spans="1:19" x14ac:dyDescent="0.3">
      <c r="A180" s="1">
        <v>178</v>
      </c>
      <c r="C180" s="1" t="s">
        <v>15</v>
      </c>
      <c r="D180" s="1">
        <v>24.7</v>
      </c>
      <c r="E180" s="1">
        <v>30</v>
      </c>
      <c r="F180" s="1">
        <v>71</v>
      </c>
      <c r="G180" s="1">
        <v>0.54766330747922598</v>
      </c>
      <c r="H180" s="1">
        <v>1.9890447282094319</v>
      </c>
      <c r="I180" s="1">
        <v>683.52281732765005</v>
      </c>
      <c r="J180" s="1" t="s">
        <v>16</v>
      </c>
      <c r="K180" s="1">
        <f t="shared" si="6"/>
        <v>0.62785624657272765</v>
      </c>
      <c r="L180" s="1">
        <f t="shared" si="7"/>
        <v>0.97726948572547101</v>
      </c>
      <c r="M180" s="1">
        <f t="shared" si="8"/>
        <v>335.42351153350126</v>
      </c>
    </row>
    <row r="181" spans="1:19" x14ac:dyDescent="0.3">
      <c r="A181" s="1">
        <v>179</v>
      </c>
      <c r="C181" s="1" t="s">
        <v>15</v>
      </c>
      <c r="D181" s="1">
        <v>24.7</v>
      </c>
      <c r="E181" s="1">
        <v>45</v>
      </c>
      <c r="F181" s="1">
        <v>72</v>
      </c>
      <c r="G181" s="1">
        <v>0.56458169543438241</v>
      </c>
      <c r="H181" s="1">
        <v>2.0434653259128344</v>
      </c>
      <c r="I181" s="1">
        <v>695.2930331104418</v>
      </c>
      <c r="J181" s="1" t="s">
        <v>16</v>
      </c>
      <c r="K181" s="1">
        <f t="shared" si="6"/>
        <v>0.64725195085767961</v>
      </c>
      <c r="L181" s="1">
        <f t="shared" si="7"/>
        <v>1.0040077429281402</v>
      </c>
      <c r="M181" s="1">
        <f t="shared" si="8"/>
        <v>341.19948127333595</v>
      </c>
    </row>
    <row r="182" spans="1:19" x14ac:dyDescent="0.3">
      <c r="A182" s="1">
        <v>180</v>
      </c>
      <c r="C182" s="1" t="s">
        <v>15</v>
      </c>
      <c r="D182" s="1">
        <v>24.7</v>
      </c>
      <c r="E182" s="1">
        <v>0</v>
      </c>
      <c r="F182" s="1">
        <v>73</v>
      </c>
      <c r="G182" s="1">
        <v>0.3920103321302677</v>
      </c>
      <c r="H182" s="1">
        <v>1.9568366193645608</v>
      </c>
      <c r="I182" s="1">
        <v>421.83191993974992</v>
      </c>
      <c r="J182" s="1" t="s">
        <v>16</v>
      </c>
      <c r="K182" s="1">
        <f t="shared" si="6"/>
        <v>0.44941140366314264</v>
      </c>
      <c r="L182" s="1">
        <f t="shared" si="7"/>
        <v>0.96144480289123813</v>
      </c>
      <c r="M182" s="1">
        <f t="shared" si="8"/>
        <v>207.00456557733995</v>
      </c>
      <c r="N182" s="1">
        <f>SLOPE(K182:K185,E182:E185)</f>
        <v>2.2256697935383062E-3</v>
      </c>
      <c r="O182" s="1">
        <f>SLOPE(L182:L185,E182:E185)</f>
        <v>-3.856129610180862E-4</v>
      </c>
      <c r="P182" s="1">
        <f>SLOPE(M182:M185,E182:E185)</f>
        <v>6.68318152978512</v>
      </c>
      <c r="Q182" s="1">
        <f>(N182*84.63/0.31*60)/1000</f>
        <v>3.6456471218157455E-2</v>
      </c>
      <c r="R182" s="1">
        <f>O182*41.35/0.31*60/1000</f>
        <v>-3.0861476009221675E-3</v>
      </c>
      <c r="S182" s="1">
        <f>(P182*84.63/0.31*60)/1000</f>
        <v>109.47051345788026</v>
      </c>
    </row>
    <row r="183" spans="1:19" x14ac:dyDescent="0.3">
      <c r="A183" s="1">
        <v>181</v>
      </c>
      <c r="C183" s="1" t="s">
        <v>15</v>
      </c>
      <c r="D183" s="1">
        <v>24.7</v>
      </c>
      <c r="E183" s="1">
        <v>15</v>
      </c>
      <c r="F183" s="1">
        <v>74</v>
      </c>
      <c r="G183" s="1">
        <v>0.44944530946284583</v>
      </c>
      <c r="H183" s="1">
        <v>1.9279603838484698</v>
      </c>
      <c r="I183" s="1">
        <v>675.8067758613355</v>
      </c>
      <c r="J183" s="1" t="s">
        <v>16</v>
      </c>
      <c r="K183" s="1">
        <f t="shared" si="6"/>
        <v>0.51525643800733245</v>
      </c>
      <c r="L183" s="1">
        <f t="shared" si="7"/>
        <v>0.94725715621227091</v>
      </c>
      <c r="M183" s="1">
        <f t="shared" si="8"/>
        <v>331.63703702503039</v>
      </c>
    </row>
    <row r="184" spans="1:19" x14ac:dyDescent="0.3">
      <c r="A184" s="1">
        <v>182</v>
      </c>
      <c r="C184" s="1" t="s">
        <v>15</v>
      </c>
      <c r="D184" s="1">
        <v>24.7</v>
      </c>
      <c r="E184" s="1">
        <v>30</v>
      </c>
      <c r="F184" s="1">
        <v>75</v>
      </c>
      <c r="G184" s="1">
        <v>0.48876295796155561</v>
      </c>
      <c r="H184" s="1">
        <v>1.9268497594055429</v>
      </c>
      <c r="I184" s="1">
        <v>846.57448267885889</v>
      </c>
      <c r="J184" s="1" t="s">
        <v>16</v>
      </c>
      <c r="K184" s="1">
        <f t="shared" si="6"/>
        <v>0.56033126933771538</v>
      </c>
      <c r="L184" s="1">
        <f t="shared" si="7"/>
        <v>0.94671147749384899</v>
      </c>
      <c r="M184" s="1">
        <f t="shared" si="8"/>
        <v>415.43746390938992</v>
      </c>
    </row>
    <row r="185" spans="1:19" x14ac:dyDescent="0.3">
      <c r="A185" s="1">
        <v>183</v>
      </c>
      <c r="C185" s="1" t="s">
        <v>15</v>
      </c>
      <c r="D185" s="1">
        <v>24.7</v>
      </c>
      <c r="E185" s="1">
        <v>45</v>
      </c>
      <c r="F185" s="1">
        <v>76</v>
      </c>
      <c r="G185" s="1">
        <v>0.47597425525529574</v>
      </c>
      <c r="H185" s="1">
        <v>1.9179647638621304</v>
      </c>
      <c r="I185" s="1">
        <v>1045.8555147125649</v>
      </c>
      <c r="J185" s="1" t="s">
        <v>16</v>
      </c>
      <c r="K185" s="1">
        <f t="shared" si="6"/>
        <v>0.54566994956326365</v>
      </c>
      <c r="L185" s="1">
        <f t="shared" si="7"/>
        <v>0.94234604774647446</v>
      </c>
      <c r="M185" s="1">
        <f t="shared" si="8"/>
        <v>513.23016643847609</v>
      </c>
    </row>
    <row r="186" spans="1:19" x14ac:dyDescent="0.3">
      <c r="A186" s="1">
        <v>184</v>
      </c>
      <c r="C186" s="1" t="s">
        <v>15</v>
      </c>
      <c r="D186" s="1">
        <v>24.7</v>
      </c>
      <c r="E186" s="1">
        <v>0</v>
      </c>
      <c r="F186" s="1">
        <v>77</v>
      </c>
      <c r="G186" s="1">
        <v>0.3830848833665238</v>
      </c>
      <c r="H186" s="1">
        <v>1.8546591706153148</v>
      </c>
      <c r="I186" s="1">
        <v>424.00462111009608</v>
      </c>
      <c r="J186" s="1" t="s">
        <v>16</v>
      </c>
      <c r="K186" s="1">
        <f t="shared" si="6"/>
        <v>0.43917902423722321</v>
      </c>
      <c r="L186" s="1">
        <f t="shared" si="7"/>
        <v>0.91124236079643062</v>
      </c>
      <c r="M186" s="1">
        <f t="shared" si="8"/>
        <v>208.07077000767589</v>
      </c>
      <c r="N186" s="1">
        <f>SLOPE(K186:K189,E186:E189)</f>
        <v>1.7060510941907954E-3</v>
      </c>
      <c r="O186" s="1">
        <f>SLOPE(L186:L189,E186:E189)</f>
        <v>6.6572803647462061E-4</v>
      </c>
      <c r="P186" s="1">
        <f>SLOPE(M186:M189,E186:E189)</f>
        <v>6.8469576022993648</v>
      </c>
      <c r="Q186" s="1">
        <f>(N186*84.63/0.31*60)/1000</f>
        <v>2.794511692284523E-2</v>
      </c>
      <c r="R186" s="1">
        <f>O186*41.35/0.31*60/1000</f>
        <v>5.3279718015920453E-3</v>
      </c>
      <c r="S186" s="1">
        <f>(P186*84.63/0.31*60)/1000</f>
        <v>112.15316552566358</v>
      </c>
    </row>
    <row r="187" spans="1:19" x14ac:dyDescent="0.3">
      <c r="A187" s="1">
        <v>185</v>
      </c>
      <c r="C187" s="1" t="s">
        <v>15</v>
      </c>
      <c r="D187" s="1">
        <v>24.7</v>
      </c>
      <c r="E187" s="1">
        <v>15</v>
      </c>
      <c r="F187" s="1">
        <v>78</v>
      </c>
      <c r="G187" s="1">
        <v>0.4215556609270959</v>
      </c>
      <c r="H187" s="1">
        <v>1.9212966371909099</v>
      </c>
      <c r="I187" s="1">
        <v>636.37990561400397</v>
      </c>
      <c r="J187" s="1" t="s">
        <v>16</v>
      </c>
      <c r="K187" s="1">
        <f t="shared" si="6"/>
        <v>0.48328297948135157</v>
      </c>
      <c r="L187" s="1">
        <f t="shared" si="7"/>
        <v>0.94398308390173979</v>
      </c>
      <c r="M187" s="1">
        <f t="shared" si="8"/>
        <v>312.28918362221367</v>
      </c>
    </row>
    <row r="188" spans="1:19" x14ac:dyDescent="0.3">
      <c r="A188" s="1">
        <v>186</v>
      </c>
      <c r="C188" s="1" t="s">
        <v>15</v>
      </c>
      <c r="D188" s="1">
        <v>24.7</v>
      </c>
      <c r="E188" s="1">
        <v>30</v>
      </c>
      <c r="F188" s="1">
        <v>79</v>
      </c>
      <c r="G188" s="1">
        <v>0.44001554429773893</v>
      </c>
      <c r="H188" s="1">
        <v>1.9246285105196899</v>
      </c>
      <c r="I188" s="1">
        <v>858.36771648418323</v>
      </c>
      <c r="J188" s="1" t="s">
        <v>16</v>
      </c>
      <c r="K188" s="1">
        <f t="shared" si="6"/>
        <v>0.50444589641768822</v>
      </c>
      <c r="L188" s="1">
        <f t="shared" si="7"/>
        <v>0.94562012005700535</v>
      </c>
      <c r="M188" s="1">
        <f t="shared" si="8"/>
        <v>421.22472922817332</v>
      </c>
    </row>
    <row r="189" spans="1:19" x14ac:dyDescent="0.3">
      <c r="A189" s="1">
        <v>187</v>
      </c>
      <c r="C189" s="1" t="s">
        <v>15</v>
      </c>
      <c r="D189" s="1">
        <v>24.7</v>
      </c>
      <c r="E189" s="1">
        <v>45</v>
      </c>
      <c r="F189" s="1">
        <v>80</v>
      </c>
      <c r="G189" s="1">
        <v>0.45133887481890661</v>
      </c>
      <c r="H189" s="1">
        <v>1.9212966371909099</v>
      </c>
      <c r="I189" s="1">
        <v>1047.6419134178009</v>
      </c>
      <c r="J189" s="1" t="s">
        <v>16</v>
      </c>
      <c r="K189" s="1">
        <f t="shared" si="6"/>
        <v>0.51742727330131744</v>
      </c>
      <c r="L189" s="1">
        <f t="shared" si="7"/>
        <v>0.94398308390173979</v>
      </c>
      <c r="M189" s="1">
        <f t="shared" si="8"/>
        <v>514.1068015873243</v>
      </c>
    </row>
    <row r="190" spans="1:19" x14ac:dyDescent="0.3">
      <c r="A190" s="1">
        <v>188</v>
      </c>
      <c r="C190" s="1" t="s">
        <v>15</v>
      </c>
      <c r="D190" s="1">
        <v>24.7</v>
      </c>
      <c r="E190" s="1">
        <v>0</v>
      </c>
      <c r="F190" s="1">
        <v>81</v>
      </c>
      <c r="G190" s="1">
        <v>0.39018337460080199</v>
      </c>
      <c r="H190" s="1">
        <v>1.9523941215928544</v>
      </c>
      <c r="I190" s="1">
        <v>440.71570546865888</v>
      </c>
      <c r="J190" s="1" t="s">
        <v>16</v>
      </c>
      <c r="K190" s="1">
        <f t="shared" si="6"/>
        <v>0.44731692940964957</v>
      </c>
      <c r="L190" s="1">
        <f t="shared" si="7"/>
        <v>0.95926208801755075</v>
      </c>
      <c r="M190" s="1">
        <f t="shared" si="8"/>
        <v>216.27136032446526</v>
      </c>
      <c r="N190" s="1">
        <f>SLOPE(K190:K193,E190:E193)</f>
        <v>5.4158158908899955E-4</v>
      </c>
      <c r="O190" s="1">
        <f>SLOPE(L190:L193,E190:E193)</f>
        <v>2.5101221047403978E-4</v>
      </c>
      <c r="P190" s="1">
        <f>SLOPE(M190:M193,E190:E193)</f>
        <v>5.1179122288467491</v>
      </c>
      <c r="Q190" s="1">
        <f>(N190*84.63/0.31*60)/1000</f>
        <v>8.8711064292778131E-3</v>
      </c>
      <c r="R190" s="1">
        <f>O190*41.35/0.31*60/1000</f>
        <v>2.0089074006002993E-3</v>
      </c>
      <c r="S190" s="1">
        <f>(P190*84.63/0.31*60)/1000</f>
        <v>83.831402308509738</v>
      </c>
    </row>
    <row r="191" spans="1:19" x14ac:dyDescent="0.3">
      <c r="A191" s="1">
        <v>189</v>
      </c>
      <c r="C191" s="1" t="s">
        <v>15</v>
      </c>
      <c r="D191" s="1">
        <v>24.7</v>
      </c>
      <c r="E191" s="1">
        <v>15</v>
      </c>
      <c r="F191" s="1">
        <v>82</v>
      </c>
      <c r="G191" s="1">
        <v>0.4379602170770901</v>
      </c>
      <c r="H191" s="1">
        <v>1.9657216149079733</v>
      </c>
      <c r="I191" s="1">
        <v>779.09264609881757</v>
      </c>
      <c r="J191" s="1" t="s">
        <v>16</v>
      </c>
      <c r="K191" s="1">
        <f t="shared" si="6"/>
        <v>0.50208961288250853</v>
      </c>
      <c r="L191" s="1">
        <f t="shared" si="7"/>
        <v>0.96581023263861254</v>
      </c>
      <c r="M191" s="1">
        <f t="shared" si="8"/>
        <v>382.32226421656509</v>
      </c>
    </row>
    <row r="192" spans="1:19" x14ac:dyDescent="0.3">
      <c r="A192" s="1">
        <v>190</v>
      </c>
      <c r="C192" s="1" t="s">
        <v>15</v>
      </c>
      <c r="D192" s="1">
        <v>24.7</v>
      </c>
      <c r="E192" s="1">
        <v>30</v>
      </c>
      <c r="F192" s="1">
        <v>83</v>
      </c>
      <c r="G192" s="1">
        <v>0.41587496485891345</v>
      </c>
      <c r="H192" s="1">
        <v>1.9357347549489556</v>
      </c>
      <c r="I192" s="1">
        <v>822.03927222643802</v>
      </c>
      <c r="J192" s="1" t="s">
        <v>16</v>
      </c>
      <c r="K192" s="1">
        <f t="shared" si="6"/>
        <v>0.47677047359939645</v>
      </c>
      <c r="L192" s="1">
        <f t="shared" si="7"/>
        <v>0.95107690724122351</v>
      </c>
      <c r="M192" s="1">
        <f t="shared" si="8"/>
        <v>403.39735897428352</v>
      </c>
    </row>
    <row r="193" spans="1:19" x14ac:dyDescent="0.3">
      <c r="A193" s="1">
        <v>191</v>
      </c>
      <c r="C193" s="1" t="s">
        <v>15</v>
      </c>
      <c r="D193" s="1">
        <v>24.7</v>
      </c>
      <c r="E193" s="1">
        <v>45</v>
      </c>
      <c r="F193" s="1">
        <v>84</v>
      </c>
      <c r="G193" s="1">
        <v>0.42116552937132462</v>
      </c>
      <c r="H193" s="1">
        <v>1.987934103766505</v>
      </c>
      <c r="I193" s="1">
        <v>947.86178809037085</v>
      </c>
      <c r="J193" s="1" t="s">
        <v>16</v>
      </c>
      <c r="K193" s="1">
        <f t="shared" si="6"/>
        <v>0.48283572195847024</v>
      </c>
      <c r="L193" s="1">
        <f t="shared" si="7"/>
        <v>0.97672380700704908</v>
      </c>
      <c r="M193" s="1">
        <f t="shared" si="8"/>
        <v>465.14194018089654</v>
      </c>
    </row>
    <row r="194" spans="1:19" x14ac:dyDescent="0.3">
      <c r="A194" s="1">
        <v>192</v>
      </c>
      <c r="C194" s="1" t="s">
        <v>15</v>
      </c>
      <c r="D194" s="1">
        <v>24.7</v>
      </c>
      <c r="E194" s="1">
        <v>0</v>
      </c>
      <c r="F194" s="1">
        <v>85</v>
      </c>
      <c r="G194" s="1">
        <v>0.398604506963183</v>
      </c>
      <c r="H194" s="1">
        <v>1.9212966371909099</v>
      </c>
      <c r="I194" s="1">
        <v>429.20569341884266</v>
      </c>
      <c r="J194" s="1" t="s">
        <v>16</v>
      </c>
      <c r="K194" s="1">
        <f t="shared" si="6"/>
        <v>0.45697114667184435</v>
      </c>
      <c r="L194" s="1">
        <f t="shared" si="7"/>
        <v>0.94398308390173979</v>
      </c>
      <c r="M194" s="1">
        <f t="shared" si="8"/>
        <v>210.62307973796422</v>
      </c>
      <c r="N194" s="1">
        <f>SLOPE(K194:K197,E194:E197)</f>
        <v>2.7708148978502638E-4</v>
      </c>
      <c r="O194" s="1">
        <f>SLOPE(L194:L197,E194:E197)</f>
        <v>-2.03720054877475E-4</v>
      </c>
      <c r="P194" s="1">
        <f>SLOPE(M194:M197,E194:E197)</f>
        <v>4.7309682571138323</v>
      </c>
      <c r="Q194" s="1">
        <f>(N194*84.63/0.31*60)/1000</f>
        <v>4.5385948026787325E-3</v>
      </c>
      <c r="R194" s="1">
        <f>O194*41.35/0.31*60/1000</f>
        <v>-1.6304176004871469E-3</v>
      </c>
      <c r="S194" s="1">
        <f>(P194*84.63/0.31*60)/1000</f>
        <v>77.493260051524587</v>
      </c>
    </row>
    <row r="195" spans="1:19" x14ac:dyDescent="0.3">
      <c r="A195" s="1">
        <v>195</v>
      </c>
      <c r="C195" s="1" t="s">
        <v>15</v>
      </c>
      <c r="D195" s="1">
        <v>24.7</v>
      </c>
      <c r="E195" s="1">
        <v>15</v>
      </c>
      <c r="F195" s="1">
        <v>86</v>
      </c>
      <c r="G195" s="1">
        <v>0.6213791407124073</v>
      </c>
      <c r="H195" s="1">
        <v>1.9257391349626163</v>
      </c>
      <c r="I195" s="1">
        <v>761.32873740529203</v>
      </c>
      <c r="J195" s="1" t="s">
        <v>16</v>
      </c>
      <c r="K195" s="1">
        <f t="shared" ref="K195:K258" si="9">(G195*28*1)/(0.082*(D195+273.15))</f>
        <v>0.7123661009571608</v>
      </c>
      <c r="L195" s="1">
        <f t="shared" ref="L195:L258" si="10">(H195*12*1)/(0.082*(D195+273.15))</f>
        <v>0.94616579877542706</v>
      </c>
      <c r="M195" s="1">
        <f t="shared" ref="M195:M258" si="11">(I195*12*1)/(0.0821*(D195+273.15))</f>
        <v>373.60502394090264</v>
      </c>
    </row>
    <row r="196" spans="1:19" x14ac:dyDescent="0.3">
      <c r="A196" s="1">
        <v>196</v>
      </c>
      <c r="C196" s="1" t="s">
        <v>15</v>
      </c>
      <c r="D196" s="1">
        <v>24.7</v>
      </c>
      <c r="E196" s="1">
        <v>30</v>
      </c>
      <c r="F196" s="1">
        <v>87</v>
      </c>
      <c r="G196" s="1">
        <v>0.46574519617104765</v>
      </c>
      <c r="H196" s="1">
        <v>1.9101903927616442</v>
      </c>
      <c r="I196" s="1">
        <v>802.16270937786828</v>
      </c>
      <c r="J196" s="1" t="s">
        <v>16</v>
      </c>
      <c r="K196" s="1">
        <f t="shared" si="9"/>
        <v>0.53394307548771625</v>
      </c>
      <c r="L196" s="1">
        <f t="shared" si="10"/>
        <v>0.93852629671752175</v>
      </c>
      <c r="M196" s="1">
        <f t="shared" si="11"/>
        <v>393.6433809959774</v>
      </c>
    </row>
    <row r="197" spans="1:19" x14ac:dyDescent="0.3">
      <c r="A197" s="1">
        <v>197</v>
      </c>
      <c r="C197" s="1" t="s">
        <v>15</v>
      </c>
      <c r="D197" s="1">
        <v>24.7</v>
      </c>
      <c r="E197" s="1">
        <v>45</v>
      </c>
      <c r="F197" s="1">
        <v>88</v>
      </c>
      <c r="G197" s="1">
        <v>0.4625670513020812</v>
      </c>
      <c r="H197" s="1">
        <v>1.905747894989938</v>
      </c>
      <c r="I197" s="1">
        <v>897.6304582230224</v>
      </c>
      <c r="J197" s="1" t="s">
        <v>16</v>
      </c>
      <c r="K197" s="1">
        <f t="shared" si="9"/>
        <v>0.53029956298424386</v>
      </c>
      <c r="L197" s="1">
        <f t="shared" si="10"/>
        <v>0.93634358184383448</v>
      </c>
      <c r="M197" s="1">
        <f t="shared" si="11"/>
        <v>440.49204024196422</v>
      </c>
    </row>
    <row r="198" spans="1:19" x14ac:dyDescent="0.3">
      <c r="A198" s="1">
        <v>198</v>
      </c>
      <c r="C198" s="1" t="s">
        <v>15</v>
      </c>
      <c r="D198" s="1">
        <v>24.7</v>
      </c>
      <c r="E198" s="1">
        <v>0</v>
      </c>
      <c r="F198" s="1">
        <v>89</v>
      </c>
      <c r="G198" s="1">
        <v>0.39611147116776629</v>
      </c>
      <c r="H198" s="1">
        <v>1.9712747371226063</v>
      </c>
      <c r="I198" s="1">
        <v>424.53103327757742</v>
      </c>
      <c r="J198" s="1" t="s">
        <v>16</v>
      </c>
      <c r="K198" s="1">
        <f t="shared" si="9"/>
        <v>0.45411306201343193</v>
      </c>
      <c r="L198" s="1">
        <f t="shared" si="10"/>
        <v>0.96853862623072184</v>
      </c>
      <c r="M198" s="1">
        <f t="shared" si="11"/>
        <v>208.3290949871124</v>
      </c>
      <c r="N198" s="1">
        <f>SLOPE(K198:K201,E198:E201)</f>
        <v>6.1525908444364837E-3</v>
      </c>
      <c r="O198" s="1">
        <f>SLOPE(L198:L201,E198:E201)</f>
        <v>1.3096289242123582E-4</v>
      </c>
      <c r="P198" s="1">
        <f>SLOPE(M198:M201,E198:E201)</f>
        <v>8.1861385238966715</v>
      </c>
      <c r="Q198" s="1">
        <f>(N198*84.63/0.31*60)/1000</f>
        <v>0.10077943803186959</v>
      </c>
      <c r="R198" s="1">
        <f>O198*41.35/0.31*60/1000</f>
        <v>1.0481256003131809E-3</v>
      </c>
      <c r="S198" s="1">
        <f>(P198*84.63/0.31*60)/1000</f>
        <v>134.08894902142748</v>
      </c>
    </row>
    <row r="199" spans="1:19" x14ac:dyDescent="0.3">
      <c r="A199" s="1">
        <v>199</v>
      </c>
      <c r="C199" s="1" t="s">
        <v>15</v>
      </c>
      <c r="D199" s="1">
        <v>24.7</v>
      </c>
      <c r="E199" s="1">
        <v>15</v>
      </c>
      <c r="F199" s="1">
        <v>90</v>
      </c>
      <c r="G199" s="1">
        <v>0.48731661658406195</v>
      </c>
      <c r="H199" s="1">
        <v>1.9268497594055429</v>
      </c>
      <c r="I199" s="1">
        <v>817.8529944762962</v>
      </c>
      <c r="J199" s="1" t="s">
        <v>16</v>
      </c>
      <c r="K199" s="1">
        <f t="shared" si="9"/>
        <v>0.55867314388703337</v>
      </c>
      <c r="L199" s="1">
        <f t="shared" si="10"/>
        <v>0.94671147749384899</v>
      </c>
      <c r="M199" s="1">
        <f t="shared" si="11"/>
        <v>401.34303694199633</v>
      </c>
    </row>
    <row r="200" spans="1:19" x14ac:dyDescent="0.3">
      <c r="A200" s="1">
        <v>200</v>
      </c>
      <c r="C200" s="1" t="s">
        <v>15</v>
      </c>
      <c r="D200" s="1">
        <v>24.7</v>
      </c>
      <c r="E200" s="1">
        <v>30</v>
      </c>
      <c r="F200" s="1">
        <v>91</v>
      </c>
      <c r="G200" s="1">
        <v>0.50022901953971277</v>
      </c>
      <c r="H200" s="1">
        <v>1.9435091260494417</v>
      </c>
      <c r="I200" s="1">
        <v>985.17300183189309</v>
      </c>
      <c r="J200" s="1" t="s">
        <v>16</v>
      </c>
      <c r="K200" s="1">
        <f t="shared" si="9"/>
        <v>0.57347627702239867</v>
      </c>
      <c r="L200" s="1">
        <f t="shared" si="10"/>
        <v>0.95489665827017622</v>
      </c>
      <c r="M200" s="1">
        <f t="shared" si="11"/>
        <v>483.45158254468504</v>
      </c>
    </row>
    <row r="201" spans="1:19" x14ac:dyDescent="0.3">
      <c r="A201" s="1">
        <v>201</v>
      </c>
      <c r="C201" s="1" t="s">
        <v>15</v>
      </c>
      <c r="D201" s="1">
        <v>24.7</v>
      </c>
      <c r="E201" s="1">
        <v>45</v>
      </c>
      <c r="F201" s="1">
        <v>92</v>
      </c>
      <c r="G201" s="1">
        <v>0.66014489579075775</v>
      </c>
      <c r="H201" s="1">
        <v>1.9790491082230925</v>
      </c>
      <c r="I201" s="1">
        <v>1202.8394291675008</v>
      </c>
      <c r="J201" s="1" t="s">
        <v>16</v>
      </c>
      <c r="K201" s="1">
        <f t="shared" si="9"/>
        <v>0.75680822652346769</v>
      </c>
      <c r="L201" s="1">
        <f t="shared" si="10"/>
        <v>0.97235837725967456</v>
      </c>
      <c r="M201" s="1">
        <f t="shared" si="11"/>
        <v>590.2665059810497</v>
      </c>
    </row>
    <row r="202" spans="1:19" x14ac:dyDescent="0.3">
      <c r="A202" s="1">
        <v>202</v>
      </c>
      <c r="C202" s="1" t="s">
        <v>15</v>
      </c>
      <c r="D202" s="1">
        <v>24.7</v>
      </c>
      <c r="E202" s="1">
        <v>0</v>
      </c>
      <c r="F202" s="1">
        <v>93</v>
      </c>
      <c r="G202" s="1">
        <v>0.40159234375616332</v>
      </c>
      <c r="H202" s="1">
        <v>1.9357347549489556</v>
      </c>
      <c r="I202" s="1">
        <v>433.07272120429519</v>
      </c>
      <c r="J202" s="1" t="s">
        <v>129</v>
      </c>
      <c r="K202" s="1">
        <f t="shared" si="9"/>
        <v>0.46039648477391115</v>
      </c>
      <c r="L202" s="1">
        <f t="shared" si="10"/>
        <v>0.95107690724122351</v>
      </c>
      <c r="M202" s="1">
        <f t="shared" si="11"/>
        <v>212.52073700135347</v>
      </c>
      <c r="N202" s="1">
        <f>SLOPE(K202:K205,E202:E205)</f>
        <v>1.3922653976093121E-2</v>
      </c>
      <c r="O202" s="1">
        <f>SLOPE(L202:L205,E202:E205)</f>
        <v>-4.5473226535151844E-4</v>
      </c>
      <c r="P202" s="1">
        <f>SLOPE(M202:M205,E202:E205)</f>
        <v>6.9369096997016406</v>
      </c>
      <c r="Q202" s="1">
        <f>(N202*84.63/0.31*60)/1000</f>
        <v>0.22805307212840531</v>
      </c>
      <c r="R202" s="1">
        <f>O202*41.35/0.31*60/1000</f>
        <v>-3.6393250010874748E-3</v>
      </c>
      <c r="S202" s="1">
        <f>(P202*84.63/0.31*60)/1000</f>
        <v>113.62658088111287</v>
      </c>
    </row>
    <row r="203" spans="1:19" x14ac:dyDescent="0.3">
      <c r="A203" s="1">
        <v>203</v>
      </c>
      <c r="C203" s="1" t="s">
        <v>15</v>
      </c>
      <c r="D203" s="1">
        <v>24.7</v>
      </c>
      <c r="E203" s="1">
        <v>15</v>
      </c>
      <c r="F203" s="1">
        <v>94</v>
      </c>
      <c r="G203" s="1">
        <v>0.57381163711970384</v>
      </c>
      <c r="H203" s="1">
        <v>1.9090797683187175</v>
      </c>
      <c r="I203" s="1">
        <v>757.92006850331177</v>
      </c>
      <c r="J203" s="1" t="s">
        <v>129</v>
      </c>
      <c r="K203" s="1">
        <f t="shared" si="9"/>
        <v>0.65783340932584788</v>
      </c>
      <c r="L203" s="1">
        <f t="shared" si="10"/>
        <v>0.93798061799909982</v>
      </c>
      <c r="M203" s="1">
        <f t="shared" si="11"/>
        <v>371.93229603223182</v>
      </c>
    </row>
    <row r="204" spans="1:19" x14ac:dyDescent="0.3">
      <c r="A204" s="1">
        <v>204</v>
      </c>
      <c r="C204" s="1" t="s">
        <v>15</v>
      </c>
      <c r="D204" s="1">
        <v>24.7</v>
      </c>
      <c r="E204" s="1">
        <v>30</v>
      </c>
      <c r="F204" s="1">
        <v>95</v>
      </c>
      <c r="G204" s="1">
        <v>0.77041891042085164</v>
      </c>
      <c r="H204" s="1">
        <v>1.9035266461040847</v>
      </c>
      <c r="I204" s="1">
        <v>910.42447561671418</v>
      </c>
      <c r="J204" s="1" t="s">
        <v>129</v>
      </c>
      <c r="K204" s="1">
        <f t="shared" si="9"/>
        <v>0.88322938341790347</v>
      </c>
      <c r="L204" s="1">
        <f t="shared" si="10"/>
        <v>0.93525222440699063</v>
      </c>
      <c r="M204" s="1">
        <f t="shared" si="11"/>
        <v>446.77041768895396</v>
      </c>
    </row>
    <row r="205" spans="1:19" x14ac:dyDescent="0.3">
      <c r="A205" s="1">
        <v>205</v>
      </c>
      <c r="C205" s="1" t="s">
        <v>15</v>
      </c>
      <c r="D205" s="1">
        <v>24.7</v>
      </c>
      <c r="E205" s="1">
        <v>45</v>
      </c>
      <c r="F205" s="1">
        <v>96</v>
      </c>
      <c r="G205" s="1">
        <v>0.94327573583894531</v>
      </c>
      <c r="H205" s="1">
        <v>1.8913097772318923</v>
      </c>
      <c r="I205" s="1">
        <v>1089.0363241998634</v>
      </c>
      <c r="J205" s="1" t="s">
        <v>129</v>
      </c>
      <c r="K205" s="1">
        <f t="shared" si="9"/>
        <v>1.0813971922145487</v>
      </c>
      <c r="L205" s="1">
        <f t="shared" si="10"/>
        <v>0.92924975850435065</v>
      </c>
      <c r="M205" s="1">
        <f t="shared" si="11"/>
        <v>534.42018143419477</v>
      </c>
    </row>
    <row r="206" spans="1:19" x14ac:dyDescent="0.3">
      <c r="A206" s="1">
        <v>206</v>
      </c>
      <c r="C206" s="1" t="s">
        <v>15</v>
      </c>
      <c r="D206" s="1">
        <v>24.7</v>
      </c>
      <c r="F206" s="1" t="s">
        <v>58</v>
      </c>
      <c r="G206" s="1">
        <v>0.39135376926811599</v>
      </c>
      <c r="H206" s="1">
        <v>1.9490622482640745</v>
      </c>
      <c r="I206" s="1">
        <v>434.73502274457383</v>
      </c>
      <c r="K206" s="1">
        <f t="shared" si="9"/>
        <v>0.44865870197829361</v>
      </c>
      <c r="L206" s="1">
        <f t="shared" si="10"/>
        <v>0.95762505186228519</v>
      </c>
      <c r="M206" s="1">
        <f t="shared" si="11"/>
        <v>213.33647424630419</v>
      </c>
    </row>
    <row r="207" spans="1:19" x14ac:dyDescent="0.3">
      <c r="A207" s="1">
        <v>207</v>
      </c>
      <c r="F207" s="1" t="s">
        <v>59</v>
      </c>
      <c r="G207" s="1">
        <v>0.38828980924474127</v>
      </c>
      <c r="H207" s="1">
        <v>1.9068585194328644</v>
      </c>
      <c r="I207" s="1">
        <v>418.39622988088382</v>
      </c>
      <c r="K207" s="1">
        <f t="shared" si="9"/>
        <v>0.48539909988047109</v>
      </c>
      <c r="L207" s="1">
        <f t="shared" si="10"/>
        <v>1.021608882513154</v>
      </c>
      <c r="M207" s="1">
        <f t="shared" si="11"/>
        <v>223.88481914857658</v>
      </c>
    </row>
    <row r="208" spans="1:19" x14ac:dyDescent="0.3">
      <c r="A208" s="1">
        <v>208</v>
      </c>
      <c r="F208" s="1" t="s">
        <v>92</v>
      </c>
      <c r="G208" s="1">
        <v>0.37176155284535611</v>
      </c>
      <c r="H208" s="1">
        <v>1.837999803971416</v>
      </c>
      <c r="I208" s="1">
        <v>417.3083781203282</v>
      </c>
      <c r="K208" s="1">
        <f t="shared" si="9"/>
        <v>0.46473721129148071</v>
      </c>
      <c r="L208" s="1">
        <f t="shared" si="10"/>
        <v>0.98471748515097102</v>
      </c>
      <c r="M208" s="1">
        <f t="shared" si="11"/>
        <v>223.30270708044966</v>
      </c>
    </row>
    <row r="209" spans="1:19" x14ac:dyDescent="0.3">
      <c r="A209" s="1">
        <v>209</v>
      </c>
      <c r="B209" s="1" t="s">
        <v>68</v>
      </c>
      <c r="C209" s="1" t="s">
        <v>29</v>
      </c>
      <c r="D209" s="1">
        <v>22.5</v>
      </c>
      <c r="E209" s="1">
        <v>0</v>
      </c>
      <c r="F209" s="1">
        <v>465</v>
      </c>
      <c r="G209" s="1">
        <v>0.41650298150966736</v>
      </c>
      <c r="H209" s="1">
        <v>1.9312922571772493</v>
      </c>
      <c r="I209" s="1">
        <v>407.62079298492949</v>
      </c>
      <c r="J209" s="1" t="s">
        <v>129</v>
      </c>
      <c r="K209" s="1">
        <f t="shared" si="9"/>
        <v>0.4810435659448461</v>
      </c>
      <c r="L209" s="1">
        <f t="shared" si="10"/>
        <v>0.95595513342354355</v>
      </c>
      <c r="M209" s="1">
        <f t="shared" si="11"/>
        <v>201.51924858557712</v>
      </c>
      <c r="N209" s="1">
        <f>SLOPE(K209:K212,E209:E212)</f>
        <v>2.5831087342432054E-2</v>
      </c>
      <c r="O209" s="1">
        <f>SLOPE(L209:L212,E209:E212)</f>
        <v>4.1589605963976463E-2</v>
      </c>
      <c r="P209" s="1">
        <f>SLOPE(M209:M212,E209:E212)</f>
        <v>18.602452590689389</v>
      </c>
      <c r="Q209" s="1">
        <f>(N209*84.63/0.31*60)/1000</f>
        <v>0.42311321066903701</v>
      </c>
      <c r="R209" s="1">
        <f>O209*84.63/0.31*60/1000</f>
        <v>0.68123774568993445</v>
      </c>
      <c r="S209" s="1">
        <f>(P209*84.63/0.31*60)/1000</f>
        <v>304.70817343549214</v>
      </c>
    </row>
    <row r="210" spans="1:19" x14ac:dyDescent="0.3">
      <c r="A210" s="1">
        <v>210</v>
      </c>
      <c r="B210" s="1" t="s">
        <v>69</v>
      </c>
      <c r="C210" s="1" t="s">
        <v>29</v>
      </c>
      <c r="D210" s="1">
        <v>22.5</v>
      </c>
      <c r="E210" s="1">
        <v>15</v>
      </c>
      <c r="F210" s="1">
        <v>466</v>
      </c>
      <c r="G210" s="1">
        <v>0.71843625946527279</v>
      </c>
      <c r="H210" s="1">
        <v>2.9219692602677636</v>
      </c>
      <c r="I210" s="1">
        <v>964.21859505865154</v>
      </c>
      <c r="J210" s="1" t="s">
        <v>129</v>
      </c>
      <c r="K210" s="1">
        <f t="shared" si="9"/>
        <v>0.82976390446134141</v>
      </c>
      <c r="L210" s="1">
        <f t="shared" si="10"/>
        <v>1.4463225354309506</v>
      </c>
      <c r="M210" s="1">
        <f t="shared" si="11"/>
        <v>476.68963431814984</v>
      </c>
    </row>
    <row r="211" spans="1:19" x14ac:dyDescent="0.3">
      <c r="A211" s="1">
        <v>211</v>
      </c>
      <c r="C211" s="1" t="s">
        <v>29</v>
      </c>
      <c r="D211" s="1">
        <v>22.5</v>
      </c>
      <c r="E211" s="1">
        <v>30</v>
      </c>
      <c r="F211" s="1">
        <v>467</v>
      </c>
      <c r="G211" s="1">
        <v>1.2676082743381043</v>
      </c>
      <c r="H211" s="1">
        <v>5.0965719195180155</v>
      </c>
      <c r="I211" s="1">
        <v>1862.5099345743824</v>
      </c>
      <c r="J211" s="1" t="s">
        <v>129</v>
      </c>
      <c r="K211" s="1">
        <f t="shared" si="9"/>
        <v>1.4640346686081069</v>
      </c>
      <c r="L211" s="1">
        <f t="shared" si="10"/>
        <v>2.522711967191603</v>
      </c>
      <c r="M211" s="1">
        <f t="shared" si="11"/>
        <v>920.786203643146</v>
      </c>
    </row>
    <row r="212" spans="1:19" x14ac:dyDescent="0.3">
      <c r="A212" s="1">
        <v>212</v>
      </c>
      <c r="C212" s="1" t="s">
        <v>29</v>
      </c>
      <c r="D212" s="1">
        <v>22.5</v>
      </c>
      <c r="E212" s="1">
        <v>45</v>
      </c>
      <c r="F212" s="1">
        <v>468</v>
      </c>
      <c r="G212" s="1">
        <v>1.3517149285201218</v>
      </c>
      <c r="H212" s="1">
        <v>5.4075467635374599</v>
      </c>
      <c r="I212" s="1">
        <v>1989.5854314909518</v>
      </c>
      <c r="J212" s="1" t="s">
        <v>129</v>
      </c>
      <c r="K212" s="1">
        <f t="shared" si="9"/>
        <v>1.5611743450175268</v>
      </c>
      <c r="L212" s="1">
        <f t="shared" si="10"/>
        <v>2.676638954368816</v>
      </c>
      <c r="M212" s="1">
        <f t="shared" si="11"/>
        <v>983.60968834504786</v>
      </c>
    </row>
    <row r="213" spans="1:19" x14ac:dyDescent="0.3">
      <c r="A213" s="1">
        <v>213</v>
      </c>
      <c r="C213" s="1" t="s">
        <v>29</v>
      </c>
      <c r="D213" s="1">
        <v>22.5</v>
      </c>
      <c r="E213" s="1">
        <v>0</v>
      </c>
      <c r="F213" s="1">
        <v>469</v>
      </c>
      <c r="G213" s="1">
        <v>0.39911833876834518</v>
      </c>
      <c r="H213" s="1">
        <v>1.9757172348943126</v>
      </c>
      <c r="I213" s="1">
        <v>402.64189463280047</v>
      </c>
      <c r="J213" s="1" t="s">
        <v>16</v>
      </c>
      <c r="K213" s="1">
        <f t="shared" si="9"/>
        <v>0.46096502891576918</v>
      </c>
      <c r="L213" s="1">
        <f t="shared" si="10"/>
        <v>0.97794470302028824</v>
      </c>
      <c r="M213" s="1">
        <f t="shared" si="11"/>
        <v>199.05778471530272</v>
      </c>
      <c r="N213" s="1">
        <f>SLOPE(K213:K216,E213:E216)</f>
        <v>1.2789086619903543E-2</v>
      </c>
      <c r="O213" s="1">
        <f>SLOPE(L213:L216,E213:E216)</f>
        <v>-1.1178031211678545E-3</v>
      </c>
      <c r="P213" s="1">
        <f>SLOPE(M213:M216,E213:E216)</f>
        <v>19.261580664655128</v>
      </c>
      <c r="Q213" s="1">
        <f>(N213*84.63/0.31*60)/1000</f>
        <v>0.20948523883402004</v>
      </c>
      <c r="R213" s="1">
        <f>O213*84.63/0.31*60/1000</f>
        <v>-1.8309615124729457E-2</v>
      </c>
      <c r="S213" s="1">
        <f>(P213*84.63/0.31*60)/1000</f>
        <v>315.504691287051</v>
      </c>
    </row>
    <row r="214" spans="1:19" x14ac:dyDescent="0.3">
      <c r="A214" s="1">
        <v>214</v>
      </c>
      <c r="C214" s="1" t="s">
        <v>29</v>
      </c>
      <c r="D214" s="1">
        <v>22.5</v>
      </c>
      <c r="E214" s="1">
        <v>15</v>
      </c>
      <c r="F214" s="1">
        <v>470</v>
      </c>
      <c r="G214" s="1">
        <v>0.51033437837456996</v>
      </c>
      <c r="H214" s="1">
        <v>1.8968628994465253</v>
      </c>
      <c r="I214" s="1">
        <v>1031.270094695695</v>
      </c>
      <c r="J214" s="1" t="s">
        <v>16</v>
      </c>
      <c r="K214" s="1">
        <f t="shared" si="9"/>
        <v>0.5894149144088453</v>
      </c>
      <c r="L214" s="1">
        <f t="shared" si="10"/>
        <v>0.93891321698606656</v>
      </c>
      <c r="M214" s="1">
        <f t="shared" si="11"/>
        <v>509.83850222659504</v>
      </c>
    </row>
    <row r="215" spans="1:19" x14ac:dyDescent="0.3">
      <c r="A215" s="1">
        <v>215</v>
      </c>
      <c r="C215" s="1" t="s">
        <v>29</v>
      </c>
      <c r="D215" s="1">
        <v>22.5</v>
      </c>
      <c r="E215" s="1">
        <v>30</v>
      </c>
      <c r="F215" s="1">
        <v>471</v>
      </c>
      <c r="G215" s="1">
        <v>0.80754801604572246</v>
      </c>
      <c r="H215" s="1">
        <v>1.8746504105879935</v>
      </c>
      <c r="I215" s="1">
        <v>1929.5224036514794</v>
      </c>
      <c r="J215" s="1" t="s">
        <v>16</v>
      </c>
      <c r="K215" s="1">
        <f t="shared" si="9"/>
        <v>0.93268426531372506</v>
      </c>
      <c r="L215" s="1">
        <f t="shared" si="10"/>
        <v>0.9279184321876941</v>
      </c>
      <c r="M215" s="1">
        <f t="shared" si="11"/>
        <v>953.91577565391458</v>
      </c>
    </row>
    <row r="216" spans="1:19" x14ac:dyDescent="0.3">
      <c r="A216" s="1">
        <v>216</v>
      </c>
      <c r="C216" s="1" t="s">
        <v>29</v>
      </c>
      <c r="D216" s="1">
        <v>22.5</v>
      </c>
      <c r="E216" s="1">
        <v>45</v>
      </c>
      <c r="F216" s="1">
        <v>472</v>
      </c>
      <c r="G216" s="1">
        <v>0.85370723987612929</v>
      </c>
      <c r="H216" s="1">
        <v>1.8702079128162872</v>
      </c>
      <c r="I216" s="1">
        <v>2051.2817381466398</v>
      </c>
      <c r="J216" s="1" t="s">
        <v>16</v>
      </c>
      <c r="K216" s="1">
        <f t="shared" si="9"/>
        <v>0.98599624294265309</v>
      </c>
      <c r="L216" s="1">
        <f t="shared" si="10"/>
        <v>0.92571947522801967</v>
      </c>
      <c r="M216" s="1">
        <f t="shared" si="11"/>
        <v>1014.1110601389527</v>
      </c>
    </row>
    <row r="217" spans="1:19" x14ac:dyDescent="0.3">
      <c r="A217" s="1">
        <v>217</v>
      </c>
      <c r="C217" s="1" t="s">
        <v>29</v>
      </c>
      <c r="D217" s="1">
        <v>22.5</v>
      </c>
      <c r="E217" s="1">
        <v>0</v>
      </c>
      <c r="F217" s="1">
        <v>473</v>
      </c>
      <c r="G217" s="1">
        <v>0.3945223987332831</v>
      </c>
      <c r="H217" s="1">
        <v>1.9290710082913962</v>
      </c>
      <c r="I217" s="1">
        <v>396.97145482110949</v>
      </c>
      <c r="J217" s="1" t="s">
        <v>16</v>
      </c>
      <c r="K217" s="1">
        <f t="shared" si="9"/>
        <v>0.45565690993107077</v>
      </c>
      <c r="L217" s="1">
        <f t="shared" si="10"/>
        <v>0.95485565494370639</v>
      </c>
      <c r="M217" s="1">
        <f t="shared" si="11"/>
        <v>196.25443711952889</v>
      </c>
      <c r="N217" s="1">
        <f>SLOPE(K217:K220,E217:E220)</f>
        <v>3.1775447945669136E-3</v>
      </c>
      <c r="O217" s="1">
        <f>SLOPE(L217:L220,E217:E220)</f>
        <v>-6.3769751830559777E-4</v>
      </c>
      <c r="P217" s="1">
        <f>SLOPE(M217:M220,E217:E220)</f>
        <v>16.990489791012902</v>
      </c>
      <c r="Q217" s="1">
        <f>(N217*84.63/0.31*60)/1000</f>
        <v>5.204818373500604E-2</v>
      </c>
      <c r="R217" s="1">
        <f>O217*84.63/0.31*60/1000</f>
        <v>-1.044548534984569E-2</v>
      </c>
      <c r="S217" s="1">
        <f>(P217*84.63/0.31*60)/1000</f>
        <v>278.30422277679133</v>
      </c>
    </row>
    <row r="218" spans="1:19" x14ac:dyDescent="0.3">
      <c r="A218" s="1">
        <v>218</v>
      </c>
      <c r="C218" s="1" t="s">
        <v>29</v>
      </c>
      <c r="D218" s="1">
        <v>22.5</v>
      </c>
      <c r="E218" s="1">
        <v>15</v>
      </c>
      <c r="F218" s="1">
        <v>474</v>
      </c>
      <c r="G218" s="1">
        <v>0.4477991446055668</v>
      </c>
      <c r="H218" s="1">
        <v>1.881314157245553</v>
      </c>
      <c r="I218" s="1">
        <v>1034.4135559467577</v>
      </c>
      <c r="J218" s="1" t="s">
        <v>16</v>
      </c>
      <c r="K218" s="1">
        <f t="shared" si="9"/>
        <v>0.5171893285549356</v>
      </c>
      <c r="L218" s="1">
        <f t="shared" si="10"/>
        <v>0.93121686762720568</v>
      </c>
      <c r="M218" s="1">
        <f t="shared" si="11"/>
        <v>511.39256413946572</v>
      </c>
    </row>
    <row r="219" spans="1:19" x14ac:dyDescent="0.3">
      <c r="A219" s="1">
        <v>219</v>
      </c>
      <c r="C219" s="1" t="s">
        <v>29</v>
      </c>
      <c r="D219" s="1">
        <v>22.5</v>
      </c>
      <c r="E219" s="1">
        <v>30</v>
      </c>
      <c r="F219" s="1">
        <v>475</v>
      </c>
      <c r="G219" s="1">
        <v>0.50862160569069581</v>
      </c>
      <c r="H219" s="1">
        <v>1.881314157245553</v>
      </c>
      <c r="I219" s="1">
        <v>1807.9201921796932</v>
      </c>
      <c r="J219" s="1" t="s">
        <v>16</v>
      </c>
      <c r="K219" s="1">
        <f t="shared" si="9"/>
        <v>0.58743673342075897</v>
      </c>
      <c r="L219" s="1">
        <f t="shared" si="10"/>
        <v>0.93121686762720568</v>
      </c>
      <c r="M219" s="1">
        <f t="shared" si="11"/>
        <v>893.79816952618989</v>
      </c>
    </row>
    <row r="220" spans="1:19" x14ac:dyDescent="0.3">
      <c r="A220" s="1">
        <v>220</v>
      </c>
      <c r="C220" s="1" t="s">
        <v>29</v>
      </c>
      <c r="D220" s="1">
        <v>22.5</v>
      </c>
      <c r="E220" s="1">
        <v>45</v>
      </c>
      <c r="F220" s="1">
        <v>476</v>
      </c>
      <c r="G220" s="1">
        <v>0.51180926596346155</v>
      </c>
      <c r="H220" s="1">
        <v>1.8646547906016542</v>
      </c>
      <c r="I220" s="1">
        <v>1857.502013498191</v>
      </c>
      <c r="J220" s="1" t="s">
        <v>16</v>
      </c>
      <c r="K220" s="1">
        <f t="shared" si="9"/>
        <v>0.59111834803747532</v>
      </c>
      <c r="L220" s="1">
        <f t="shared" si="10"/>
        <v>0.9229707790284265</v>
      </c>
      <c r="M220" s="1">
        <f t="shared" si="11"/>
        <v>918.31039154126597</v>
      </c>
    </row>
    <row r="221" spans="1:19" x14ac:dyDescent="0.3">
      <c r="A221" s="1">
        <v>221</v>
      </c>
      <c r="C221" s="1" t="s">
        <v>29</v>
      </c>
      <c r="D221" s="1">
        <v>22.5</v>
      </c>
      <c r="E221" s="1">
        <v>0</v>
      </c>
      <c r="F221" s="1">
        <v>477</v>
      </c>
      <c r="G221" s="1">
        <v>0.39336151946976838</v>
      </c>
      <c r="H221" s="1">
        <v>2.0090359681821104</v>
      </c>
      <c r="I221" s="1">
        <v>384.55573362382052</v>
      </c>
      <c r="J221" s="1" t="s">
        <v>16</v>
      </c>
      <c r="K221" s="1">
        <f t="shared" si="9"/>
        <v>0.45431614281692329</v>
      </c>
      <c r="L221" s="1">
        <f t="shared" si="10"/>
        <v>0.99443688021784682</v>
      </c>
      <c r="M221" s="1">
        <f t="shared" si="11"/>
        <v>190.11636259196624</v>
      </c>
      <c r="N221" s="1">
        <f>SLOPE(K221:K224,E221:E224)</f>
        <v>3.1863367100695185E-3</v>
      </c>
      <c r="O221" s="1">
        <f>SLOPE(L221:L224,E221:E224)</f>
        <v>-1.6162333653607381E-3</v>
      </c>
      <c r="P221" s="1">
        <f>SLOPE(M221:M224,E221:E224)</f>
        <v>13.011253489275827</v>
      </c>
      <c r="Q221" s="1">
        <f>(N221*84.63/0.31*60)/1000</f>
        <v>5.2192195310938709E-2</v>
      </c>
      <c r="R221" s="1">
        <f>O221*84.63/0.31*60/1000</f>
        <v>-2.6473902524608885E-2</v>
      </c>
      <c r="S221" s="1">
        <f>(P221*84.63/0.31*60)/1000</f>
        <v>213.12433215433802</v>
      </c>
    </row>
    <row r="222" spans="1:19" x14ac:dyDescent="0.3">
      <c r="A222" s="1">
        <v>222</v>
      </c>
      <c r="C222" s="1" t="s">
        <v>29</v>
      </c>
      <c r="D222" s="1">
        <v>22.5</v>
      </c>
      <c r="E222" s="1">
        <v>15</v>
      </c>
      <c r="F222" s="1">
        <v>478</v>
      </c>
      <c r="G222" s="1">
        <v>0.42779776581943707</v>
      </c>
      <c r="H222" s="1">
        <v>1.8846460305743329</v>
      </c>
      <c r="I222" s="1">
        <v>754.19715355458413</v>
      </c>
      <c r="J222" s="1" t="s">
        <v>16</v>
      </c>
      <c r="K222" s="1">
        <f t="shared" si="9"/>
        <v>0.49408857057183792</v>
      </c>
      <c r="L222" s="1">
        <f t="shared" si="10"/>
        <v>0.9328660853469618</v>
      </c>
      <c r="M222" s="1">
        <f t="shared" si="11"/>
        <v>372.85939845399423</v>
      </c>
    </row>
    <row r="223" spans="1:19" x14ac:dyDescent="0.3">
      <c r="A223" s="1">
        <v>223</v>
      </c>
      <c r="C223" s="1" t="s">
        <v>29</v>
      </c>
      <c r="D223" s="1">
        <v>22.5</v>
      </c>
      <c r="E223" s="1">
        <v>30</v>
      </c>
      <c r="F223" s="1">
        <v>479</v>
      </c>
      <c r="G223" s="1">
        <v>0.49701281305554917</v>
      </c>
      <c r="H223" s="1">
        <v>1.8446635506289759</v>
      </c>
      <c r="I223" s="1">
        <v>1398.0692892354948</v>
      </c>
      <c r="J223" s="1" t="s">
        <v>16</v>
      </c>
      <c r="K223" s="1">
        <f t="shared" si="9"/>
        <v>0.57402906227928452</v>
      </c>
      <c r="L223" s="1">
        <f t="shared" si="10"/>
        <v>0.91307547270989153</v>
      </c>
      <c r="M223" s="1">
        <f t="shared" si="11"/>
        <v>691.17640092448664</v>
      </c>
    </row>
    <row r="224" spans="1:19" x14ac:dyDescent="0.3">
      <c r="A224" s="1">
        <v>224</v>
      </c>
      <c r="C224" s="1" t="s">
        <v>29</v>
      </c>
      <c r="D224" s="1">
        <v>22.5</v>
      </c>
      <c r="E224" s="1">
        <v>45</v>
      </c>
      <c r="F224" s="1">
        <v>480</v>
      </c>
      <c r="G224" s="1">
        <v>0.50823147413492453</v>
      </c>
      <c r="H224" s="1">
        <v>1.8591016683870212</v>
      </c>
      <c r="I224" s="1">
        <v>1485.8500193383966</v>
      </c>
      <c r="J224" s="1" t="s">
        <v>16</v>
      </c>
      <c r="K224" s="1">
        <f t="shared" si="9"/>
        <v>0.58698614775125035</v>
      </c>
      <c r="L224" s="1">
        <f t="shared" si="10"/>
        <v>0.92022208282883333</v>
      </c>
      <c r="M224" s="1">
        <f t="shared" si="11"/>
        <v>734.57336956559345</v>
      </c>
    </row>
    <row r="225" spans="1:19" x14ac:dyDescent="0.3">
      <c r="A225" s="1">
        <v>225</v>
      </c>
      <c r="C225" s="1" t="s">
        <v>29</v>
      </c>
      <c r="D225" s="1">
        <v>22.5</v>
      </c>
      <c r="E225" s="1">
        <v>0</v>
      </c>
      <c r="F225" s="1">
        <v>481</v>
      </c>
      <c r="G225" s="1">
        <v>0.39295235710639853</v>
      </c>
      <c r="H225" s="1">
        <v>1.9623897415791938</v>
      </c>
      <c r="I225" s="1">
        <v>390.44034112342217</v>
      </c>
      <c r="J225" s="1" t="s">
        <v>16</v>
      </c>
      <c r="K225" s="1">
        <f t="shared" si="9"/>
        <v>0.45384357735865827</v>
      </c>
      <c r="L225" s="1">
        <f t="shared" si="10"/>
        <v>0.97134783214126497</v>
      </c>
      <c r="M225" s="1">
        <f t="shared" si="11"/>
        <v>193.02559024165737</v>
      </c>
      <c r="N225" s="1">
        <f>SLOPE(K225:K228,E225:E228)</f>
        <v>4.2552138372988629E-3</v>
      </c>
      <c r="O225" s="1">
        <f>SLOPE(L225:L228,E225:E228)</f>
        <v>-2.0926740399568743E-3</v>
      </c>
      <c r="P225" s="1">
        <f>SLOPE(M225:M228,E225:E228)</f>
        <v>16.625737952933765</v>
      </c>
      <c r="Q225" s="1">
        <f>(N225*84.63/0.31*60)/1000</f>
        <v>6.9700402654955376E-2</v>
      </c>
      <c r="R225" s="1">
        <f>O225*84.63/0.31*60/1000</f>
        <v>-3.4278000774493597E-2</v>
      </c>
      <c r="S225" s="1">
        <f>(P225*84.63/0.31*60)/1000</f>
        <v>272.32958766905506</v>
      </c>
    </row>
    <row r="226" spans="1:19" x14ac:dyDescent="0.3">
      <c r="A226" s="1">
        <v>226</v>
      </c>
      <c r="C226" s="1" t="s">
        <v>29</v>
      </c>
      <c r="D226" s="1">
        <v>22.5</v>
      </c>
      <c r="E226" s="1">
        <v>15</v>
      </c>
      <c r="F226" s="1">
        <v>482</v>
      </c>
      <c r="G226" s="1">
        <v>0.43245079827729499</v>
      </c>
      <c r="H226" s="1">
        <v>2.0168103392825967</v>
      </c>
      <c r="I226" s="1">
        <v>761.51388236913999</v>
      </c>
      <c r="J226" s="1" t="s">
        <v>16</v>
      </c>
      <c r="K226" s="1">
        <f t="shared" si="9"/>
        <v>0.49946262892280591</v>
      </c>
      <c r="L226" s="1">
        <f t="shared" si="10"/>
        <v>0.99828505489727737</v>
      </c>
      <c r="M226" s="1">
        <f t="shared" si="11"/>
        <v>376.47663711843165</v>
      </c>
    </row>
    <row r="227" spans="1:19" x14ac:dyDescent="0.3">
      <c r="A227" s="1">
        <v>227</v>
      </c>
      <c r="C227" s="1" t="s">
        <v>29</v>
      </c>
      <c r="D227" s="1">
        <v>22.5</v>
      </c>
      <c r="E227" s="1">
        <v>30</v>
      </c>
      <c r="F227" s="1">
        <v>483</v>
      </c>
      <c r="G227" s="1">
        <v>0.5146543716994525</v>
      </c>
      <c r="H227" s="1">
        <v>1.8524379217294618</v>
      </c>
      <c r="I227" s="1">
        <v>1506.209960660148</v>
      </c>
      <c r="J227" s="1" t="s">
        <v>16</v>
      </c>
      <c r="K227" s="1">
        <f t="shared" si="9"/>
        <v>0.59440432645657437</v>
      </c>
      <c r="L227" s="1">
        <f t="shared" si="10"/>
        <v>0.91692364738932175</v>
      </c>
      <c r="M227" s="1">
        <f t="shared" si="11"/>
        <v>744.63890142023934</v>
      </c>
    </row>
    <row r="228" spans="1:19" x14ac:dyDescent="0.3">
      <c r="A228" s="1">
        <v>228</v>
      </c>
      <c r="C228" s="1" t="s">
        <v>29</v>
      </c>
      <c r="D228" s="1">
        <v>22.5</v>
      </c>
      <c r="E228" s="1">
        <v>45</v>
      </c>
      <c r="F228" s="1">
        <v>484</v>
      </c>
      <c r="G228" s="1">
        <v>0.54976621171887141</v>
      </c>
      <c r="H228" s="1">
        <v>1.8057916951265454</v>
      </c>
      <c r="I228" s="1">
        <v>1823.6845352636599</v>
      </c>
      <c r="J228" s="1" t="s">
        <v>16</v>
      </c>
      <c r="K228" s="1">
        <f t="shared" si="9"/>
        <v>0.63495703671234527</v>
      </c>
      <c r="L228" s="1">
        <f t="shared" si="10"/>
        <v>0.89383459931273979</v>
      </c>
      <c r="M228" s="1">
        <f t="shared" si="11"/>
        <v>901.59173312107646</v>
      </c>
    </row>
    <row r="229" spans="1:19" x14ac:dyDescent="0.3">
      <c r="A229" s="1">
        <v>229</v>
      </c>
      <c r="C229" s="1" t="s">
        <v>29</v>
      </c>
      <c r="D229" s="1">
        <v>22.5</v>
      </c>
      <c r="E229" s="1">
        <v>0</v>
      </c>
      <c r="F229" s="1">
        <v>485</v>
      </c>
      <c r="G229" s="1">
        <v>0.3922196710138523</v>
      </c>
      <c r="H229" s="1">
        <v>1.900194772775305</v>
      </c>
      <c r="I229" s="1">
        <v>394.33939398370256</v>
      </c>
      <c r="J229" s="1" t="s">
        <v>16</v>
      </c>
      <c r="K229" s="1">
        <f t="shared" si="9"/>
        <v>0.45299735549153231</v>
      </c>
      <c r="L229" s="1">
        <f t="shared" si="10"/>
        <v>0.94056243470582235</v>
      </c>
      <c r="M229" s="1">
        <f t="shared" si="11"/>
        <v>194.9532009428813</v>
      </c>
      <c r="N229" s="1">
        <f>SLOPE(K229:K232,E229:E232)</f>
        <v>7.1058459070938744E-3</v>
      </c>
      <c r="O229" s="1">
        <f>SLOPE(L229:L232,E229:E232)</f>
        <v>-5.9738330737823121E-4</v>
      </c>
      <c r="P229" s="1">
        <f>SLOPE(M229:M232,E229:E232)</f>
        <v>16.514619969869379</v>
      </c>
      <c r="Q229" s="1">
        <f>(N229*84.63/0.31*60)/1000</f>
        <v>0.11639375595819766</v>
      </c>
      <c r="R229" s="1">
        <f>O229*84.63/0.31*60/1000</f>
        <v>-9.7851385748554277E-3</v>
      </c>
      <c r="S229" s="1">
        <f>(P229*84.63/0.31*60)/1000</f>
        <v>270.50947510646046</v>
      </c>
    </row>
    <row r="230" spans="1:19" x14ac:dyDescent="0.3">
      <c r="A230" s="1">
        <v>230</v>
      </c>
      <c r="C230" s="1" t="s">
        <v>29</v>
      </c>
      <c r="D230" s="1">
        <v>22.5</v>
      </c>
      <c r="E230" s="1">
        <v>15</v>
      </c>
      <c r="F230" s="1">
        <v>486</v>
      </c>
      <c r="G230" s="1">
        <v>0.47876226856849075</v>
      </c>
      <c r="H230" s="1">
        <v>1.8746504105879935</v>
      </c>
      <c r="I230" s="1">
        <v>857.84931058540883</v>
      </c>
      <c r="J230" s="1" t="s">
        <v>16</v>
      </c>
      <c r="K230" s="1">
        <f t="shared" si="9"/>
        <v>0.55295044486178624</v>
      </c>
      <c r="L230" s="1">
        <f t="shared" si="10"/>
        <v>0.9279184321876941</v>
      </c>
      <c r="M230" s="1">
        <f t="shared" si="11"/>
        <v>424.102870716947</v>
      </c>
    </row>
    <row r="231" spans="1:19" x14ac:dyDescent="0.3">
      <c r="A231" s="1">
        <v>231</v>
      </c>
      <c r="C231" s="1" t="s">
        <v>29</v>
      </c>
      <c r="D231" s="1">
        <v>22.5</v>
      </c>
      <c r="E231" s="1">
        <v>30</v>
      </c>
      <c r="F231" s="1">
        <v>487</v>
      </c>
      <c r="G231" s="1">
        <v>0.62474759365735977</v>
      </c>
      <c r="H231" s="1">
        <v>1.8535485461723884</v>
      </c>
      <c r="I231" s="1">
        <v>1652.9268362820205</v>
      </c>
      <c r="J231" s="1" t="s">
        <v>16</v>
      </c>
      <c r="K231" s="1">
        <f t="shared" si="9"/>
        <v>0.72155740441301619</v>
      </c>
      <c r="L231" s="1">
        <f t="shared" si="10"/>
        <v>0.91747338662924038</v>
      </c>
      <c r="M231" s="1">
        <f t="shared" si="11"/>
        <v>817.17267555289607</v>
      </c>
    </row>
    <row r="232" spans="1:19" x14ac:dyDescent="0.3">
      <c r="A232" s="1">
        <v>232</v>
      </c>
      <c r="C232" s="1" t="s">
        <v>29</v>
      </c>
      <c r="D232" s="1">
        <v>22.5</v>
      </c>
      <c r="E232" s="1">
        <v>45</v>
      </c>
      <c r="F232" s="1">
        <v>488</v>
      </c>
      <c r="G232" s="1">
        <v>0.65118138541181658</v>
      </c>
      <c r="H232" s="1">
        <v>1.846884799514829</v>
      </c>
      <c r="I232" s="1">
        <v>1799.5516398137631</v>
      </c>
      <c r="J232" s="1" t="s">
        <v>16</v>
      </c>
      <c r="K232" s="1">
        <f t="shared" si="9"/>
        <v>0.75208733099581604</v>
      </c>
      <c r="L232" s="1">
        <f t="shared" si="10"/>
        <v>0.91417495118972869</v>
      </c>
      <c r="M232" s="1">
        <f t="shared" si="11"/>
        <v>889.66093115770047</v>
      </c>
    </row>
    <row r="233" spans="1:19" x14ac:dyDescent="0.3">
      <c r="A233" s="1">
        <v>233</v>
      </c>
      <c r="C233" s="1" t="s">
        <v>29</v>
      </c>
      <c r="D233" s="1">
        <v>22.5</v>
      </c>
      <c r="E233" s="1">
        <v>0</v>
      </c>
      <c r="F233" s="1">
        <v>489</v>
      </c>
      <c r="G233" s="1">
        <v>0.39182953945808102</v>
      </c>
      <c r="H233" s="1">
        <v>1.911301017204571</v>
      </c>
      <c r="I233" s="1">
        <v>390.2581985103393</v>
      </c>
      <c r="J233" s="1" t="s">
        <v>16</v>
      </c>
      <c r="K233" s="1">
        <f t="shared" si="9"/>
        <v>0.45254676982202385</v>
      </c>
      <c r="L233" s="1">
        <f t="shared" si="10"/>
        <v>0.94605982710500858</v>
      </c>
      <c r="M233" s="1">
        <f t="shared" si="11"/>
        <v>192.93554271916693</v>
      </c>
      <c r="N233" s="1">
        <f>SLOPE(K233:K236,E233:E236)</f>
        <v>8.4928438435925152E-3</v>
      </c>
      <c r="O233" s="1">
        <f>SLOPE(L233:L236,E233:E236)</f>
        <v>-8.4293350120856475E-5</v>
      </c>
      <c r="P233" s="1">
        <f>SLOPE(M233:M236,E233:E236)</f>
        <v>12.308773965196838</v>
      </c>
      <c r="Q233" s="1">
        <f>(N233*84.63/0.31*60)/1000</f>
        <v>0.1391127821580454</v>
      </c>
      <c r="R233" s="1">
        <f>O233*84.63/0.31*60/1000</f>
        <v>-1.3807250749796292E-3</v>
      </c>
      <c r="S233" s="1">
        <f>(P233*84.63/0.31*60)/1000</f>
        <v>201.61771754992421</v>
      </c>
    </row>
    <row r="234" spans="1:19" x14ac:dyDescent="0.3">
      <c r="A234" s="1">
        <v>234</v>
      </c>
      <c r="C234" s="1" t="s">
        <v>29</v>
      </c>
      <c r="D234" s="1">
        <v>22.5</v>
      </c>
      <c r="E234" s="1">
        <v>15</v>
      </c>
      <c r="F234" s="1">
        <v>490</v>
      </c>
      <c r="G234" s="1">
        <v>0.4995343950623638</v>
      </c>
      <c r="H234" s="1">
        <v>1.8857566550172593</v>
      </c>
      <c r="I234" s="1">
        <v>765.13872052620752</v>
      </c>
      <c r="J234" s="1" t="s">
        <v>16</v>
      </c>
      <c r="K234" s="1">
        <f t="shared" si="9"/>
        <v>0.5769413842895228</v>
      </c>
      <c r="L234" s="1">
        <f t="shared" si="10"/>
        <v>0.93341582458688033</v>
      </c>
      <c r="M234" s="1">
        <f t="shared" si="11"/>
        <v>378.26868176931276</v>
      </c>
    </row>
    <row r="235" spans="1:19" x14ac:dyDescent="0.3">
      <c r="A235" s="1">
        <v>235</v>
      </c>
      <c r="C235" s="1" t="s">
        <v>29</v>
      </c>
      <c r="D235" s="1">
        <v>22.5</v>
      </c>
      <c r="E235" s="1">
        <v>30</v>
      </c>
      <c r="F235" s="1">
        <v>491</v>
      </c>
      <c r="G235" s="1">
        <v>0.64461575679029914</v>
      </c>
      <c r="H235" s="1">
        <v>1.8935310261177454</v>
      </c>
      <c r="I235" s="1">
        <v>1263.7751402960296</v>
      </c>
      <c r="J235" s="1" t="s">
        <v>16</v>
      </c>
      <c r="K235" s="1">
        <f t="shared" si="9"/>
        <v>0.74450430387481814</v>
      </c>
      <c r="L235" s="1">
        <f t="shared" si="10"/>
        <v>0.93726399926631054</v>
      </c>
      <c r="M235" s="1">
        <f t="shared" si="11"/>
        <v>624.78416468564205</v>
      </c>
    </row>
    <row r="236" spans="1:19" x14ac:dyDescent="0.3">
      <c r="A236" s="1">
        <v>236</v>
      </c>
      <c r="C236" s="1" t="s">
        <v>29</v>
      </c>
      <c r="D236" s="1">
        <v>22.5</v>
      </c>
      <c r="E236" s="1">
        <v>45</v>
      </c>
      <c r="F236" s="1">
        <v>492</v>
      </c>
      <c r="G236" s="1">
        <v>0.71113794475120928</v>
      </c>
      <c r="H236" s="1">
        <v>1.900194772775305</v>
      </c>
      <c r="I236" s="1">
        <v>1468.9177618068047</v>
      </c>
      <c r="J236" s="1" t="s">
        <v>16</v>
      </c>
      <c r="K236" s="1">
        <f t="shared" si="9"/>
        <v>0.82133465547321782</v>
      </c>
      <c r="L236" s="1">
        <f t="shared" si="10"/>
        <v>0.94056243470582235</v>
      </c>
      <c r="M236" s="1">
        <f t="shared" si="11"/>
        <v>726.2024133402324</v>
      </c>
    </row>
    <row r="237" spans="1:19" x14ac:dyDescent="0.3">
      <c r="A237" s="1">
        <v>237</v>
      </c>
      <c r="C237" s="1" t="s">
        <v>29</v>
      </c>
      <c r="D237" s="1">
        <v>22.5</v>
      </c>
      <c r="E237" s="1">
        <v>0</v>
      </c>
      <c r="F237" s="1">
        <v>493</v>
      </c>
      <c r="G237" s="1">
        <v>0.39846177590619347</v>
      </c>
      <c r="H237" s="1">
        <v>1.9157435149762769</v>
      </c>
      <c r="I237" s="1">
        <v>400.06787924351886</v>
      </c>
      <c r="J237" s="1" t="s">
        <v>129</v>
      </c>
      <c r="K237" s="1">
        <f t="shared" si="9"/>
        <v>0.46020672620366937</v>
      </c>
      <c r="L237" s="1">
        <f t="shared" si="10"/>
        <v>0.94825878406468289</v>
      </c>
      <c r="M237" s="1">
        <f t="shared" si="11"/>
        <v>197.78524500186637</v>
      </c>
      <c r="N237" s="1">
        <f>SLOPE(K237:K240,E237:E240)</f>
        <v>2.0040731792415632E-2</v>
      </c>
      <c r="O237" s="1">
        <f>SLOPE(L237:L240,E237:E240)</f>
        <v>7.6523702196671529E-3</v>
      </c>
      <c r="P237" s="1">
        <f>SLOPE(M237:M240,E237:E240)</f>
        <v>16.925526935501942</v>
      </c>
      <c r="Q237" s="1">
        <f>(N237*84.63/0.31*60)/1000</f>
        <v>0.32826718675976801</v>
      </c>
      <c r="R237" s="1">
        <f>O237*84.63/0.31*60/1000</f>
        <v>0.12534582419814796</v>
      </c>
      <c r="S237" s="1">
        <f>(P237*84.63/0.31*60)/1000</f>
        <v>277.24013120352186</v>
      </c>
    </row>
    <row r="238" spans="1:19" x14ac:dyDescent="0.3">
      <c r="A238" s="1">
        <v>238</v>
      </c>
      <c r="C238" s="1" t="s">
        <v>29</v>
      </c>
      <c r="D238" s="1">
        <v>22.5</v>
      </c>
      <c r="E238" s="1">
        <v>15</v>
      </c>
      <c r="F238" s="1">
        <v>494</v>
      </c>
      <c r="G238" s="1">
        <v>0.77427264895956838</v>
      </c>
      <c r="H238" s="1">
        <v>2.2100589923518221</v>
      </c>
      <c r="I238" s="1">
        <v>1074.2027098530782</v>
      </c>
      <c r="J238" s="1" t="s">
        <v>129</v>
      </c>
      <c r="K238" s="1">
        <f t="shared" si="9"/>
        <v>0.89425260467295775</v>
      </c>
      <c r="L238" s="1">
        <f t="shared" si="10"/>
        <v>1.0939396826431165</v>
      </c>
      <c r="M238" s="1">
        <f t="shared" si="11"/>
        <v>531.06349490416312</v>
      </c>
    </row>
    <row r="239" spans="1:19" x14ac:dyDescent="0.3">
      <c r="A239" s="1">
        <v>239</v>
      </c>
      <c r="C239" s="1" t="s">
        <v>29</v>
      </c>
      <c r="D239" s="1">
        <v>22.5</v>
      </c>
      <c r="E239" s="1">
        <v>30</v>
      </c>
      <c r="F239" s="1">
        <v>495</v>
      </c>
      <c r="G239" s="1">
        <v>1.0926199984689673</v>
      </c>
      <c r="H239" s="1">
        <v>2.5232550852571189</v>
      </c>
      <c r="I239" s="1">
        <v>1724.7810963596401</v>
      </c>
      <c r="J239" s="1" t="s">
        <v>129</v>
      </c>
      <c r="K239" s="1">
        <f t="shared" si="9"/>
        <v>1.2619305109919479</v>
      </c>
      <c r="L239" s="1">
        <f t="shared" si="10"/>
        <v>1.2489661483001666</v>
      </c>
      <c r="M239" s="1">
        <f t="shared" si="11"/>
        <v>852.6959284087676</v>
      </c>
    </row>
    <row r="240" spans="1:19" x14ac:dyDescent="0.3">
      <c r="A240" s="1">
        <v>240</v>
      </c>
      <c r="C240" s="1" t="s">
        <v>29</v>
      </c>
      <c r="D240" s="1">
        <v>22.5</v>
      </c>
      <c r="E240" s="1">
        <v>45</v>
      </c>
      <c r="F240" s="1">
        <v>496</v>
      </c>
      <c r="G240" s="1">
        <v>1.1599414803490187</v>
      </c>
      <c r="H240" s="1">
        <v>2.5843394296180811</v>
      </c>
      <c r="I240" s="1">
        <v>1895.0043769050915</v>
      </c>
      <c r="J240" s="1" t="s">
        <v>129</v>
      </c>
      <c r="K240" s="1">
        <f t="shared" si="9"/>
        <v>1.339684013718121</v>
      </c>
      <c r="L240" s="1">
        <f t="shared" si="10"/>
        <v>1.2792018064956905</v>
      </c>
      <c r="M240" s="1">
        <f t="shared" si="11"/>
        <v>936.85078060876197</v>
      </c>
    </row>
    <row r="241" spans="1:19" x14ac:dyDescent="0.3">
      <c r="A241" s="1">
        <v>241</v>
      </c>
      <c r="C241" s="1" t="s">
        <v>29</v>
      </c>
      <c r="D241" s="1">
        <v>22.5</v>
      </c>
      <c r="F241" s="1" t="s">
        <v>58</v>
      </c>
      <c r="G241" s="1">
        <v>0.39694882670210474</v>
      </c>
      <c r="H241" s="1">
        <v>1.9168541394192038</v>
      </c>
      <c r="I241" s="1">
        <v>422.30629136063618</v>
      </c>
      <c r="K241" s="1">
        <f t="shared" si="9"/>
        <v>0.4584593329975265</v>
      </c>
      <c r="L241" s="1">
        <f t="shared" si="10"/>
        <v>0.94880852330460153</v>
      </c>
      <c r="M241" s="1">
        <f t="shared" si="11"/>
        <v>208.77945377802061</v>
      </c>
    </row>
    <row r="242" spans="1:19" x14ac:dyDescent="0.3">
      <c r="A242" s="1">
        <v>242</v>
      </c>
      <c r="C242" s="1" t="s">
        <v>29</v>
      </c>
      <c r="D242" s="1">
        <v>22.5</v>
      </c>
      <c r="F242" s="1" t="s">
        <v>59</v>
      </c>
      <c r="G242" s="1">
        <v>0.3942179058117054</v>
      </c>
      <c r="H242" s="1">
        <v>1.8779822839167735</v>
      </c>
      <c r="I242" s="1">
        <v>405.45009338176004</v>
      </c>
      <c r="K242" s="1">
        <f t="shared" si="9"/>
        <v>0.4553052333109664</v>
      </c>
      <c r="L242" s="1">
        <f t="shared" si="10"/>
        <v>0.92956764990745</v>
      </c>
      <c r="M242" s="1">
        <f t="shared" si="11"/>
        <v>200.44609981479815</v>
      </c>
    </row>
    <row r="243" spans="1:19" x14ac:dyDescent="0.3">
      <c r="A243" s="1">
        <v>243</v>
      </c>
      <c r="C243" s="1" t="s">
        <v>29</v>
      </c>
      <c r="D243" s="1">
        <v>22.5</v>
      </c>
      <c r="F243" s="1" t="s">
        <v>92</v>
      </c>
      <c r="G243" s="1">
        <v>0.3910968533655349</v>
      </c>
      <c r="H243" s="1">
        <v>1.8890885283460392</v>
      </c>
      <c r="I243" s="1">
        <v>439.65787721575424</v>
      </c>
      <c r="K243" s="1">
        <f t="shared" si="9"/>
        <v>0.451700547954898</v>
      </c>
      <c r="L243" s="1">
        <f t="shared" si="10"/>
        <v>0.93506504230663623</v>
      </c>
      <c r="M243" s="1">
        <f t="shared" si="11"/>
        <v>217.35771721175274</v>
      </c>
    </row>
    <row r="244" spans="1:19" x14ac:dyDescent="0.3">
      <c r="A244" s="1">
        <v>244</v>
      </c>
      <c r="B244" s="1" t="s">
        <v>70</v>
      </c>
      <c r="C244" s="1" t="s">
        <v>29</v>
      </c>
      <c r="D244" s="1">
        <v>22.7</v>
      </c>
      <c r="E244" s="1">
        <v>0</v>
      </c>
      <c r="F244" s="1">
        <v>665</v>
      </c>
      <c r="G244" s="1">
        <v>0.41526430509040874</v>
      </c>
      <c r="H244" s="1">
        <v>1.9242447570255614</v>
      </c>
      <c r="I244" s="1">
        <v>399.23382895078561</v>
      </c>
      <c r="J244" s="1" t="s">
        <v>129</v>
      </c>
      <c r="K244" s="1">
        <f t="shared" si="9"/>
        <v>0.47928871925586242</v>
      </c>
      <c r="L244" s="1">
        <f t="shared" si="10"/>
        <v>0.95182286196064825</v>
      </c>
      <c r="M244" s="1">
        <f t="shared" si="11"/>
        <v>197.23948018269897</v>
      </c>
      <c r="N244" s="1">
        <f>SLOPE(K244:K247,E244:E247)</f>
        <v>1.8282958845951644E-2</v>
      </c>
      <c r="O244" s="1">
        <f>SLOPE(L244:L247,E244:E247)</f>
        <v>0.16990447419055585</v>
      </c>
      <c r="P244" s="1">
        <f>SLOPE(M244:M247,E244:E247)</f>
        <v>12.443468632536268</v>
      </c>
      <c r="Q244" s="1">
        <f>(N244*84.63/0.31*60)/1000</f>
        <v>0.29947486589668793</v>
      </c>
      <c r="R244" s="1">
        <f>O244*84.63/0.31*60/1000</f>
        <v>2.7830352872413044</v>
      </c>
      <c r="S244" s="1">
        <f>(P244*84.63/0.31*60)/1000</f>
        <v>203.82401620094407</v>
      </c>
    </row>
    <row r="245" spans="1:19" x14ac:dyDescent="0.3">
      <c r="A245" s="1">
        <v>245</v>
      </c>
      <c r="B245" s="1" t="s">
        <v>172</v>
      </c>
      <c r="C245" s="1" t="s">
        <v>29</v>
      </c>
      <c r="D245" s="1">
        <v>22.7</v>
      </c>
      <c r="E245" s="1">
        <v>15</v>
      </c>
      <c r="F245" s="1">
        <v>666</v>
      </c>
      <c r="G245" s="1">
        <v>0.73329230793707723</v>
      </c>
      <c r="H245" s="1">
        <v>9.8159003807176823</v>
      </c>
      <c r="I245" s="1">
        <v>940.52294985393542</v>
      </c>
      <c r="J245" s="1" t="s">
        <v>129</v>
      </c>
      <c r="K245" s="1">
        <f t="shared" si="9"/>
        <v>0.84634948586495973</v>
      </c>
      <c r="L245" s="1">
        <f t="shared" si="10"/>
        <v>4.8554106014753771</v>
      </c>
      <c r="M245" s="1">
        <f t="shared" si="11"/>
        <v>464.66066820193447</v>
      </c>
    </row>
    <row r="246" spans="1:19" x14ac:dyDescent="0.3">
      <c r="A246" s="1">
        <v>246</v>
      </c>
      <c r="C246" s="1" t="s">
        <v>29</v>
      </c>
      <c r="D246" s="1">
        <v>22.7</v>
      </c>
      <c r="E246" s="1">
        <v>30</v>
      </c>
      <c r="F246" s="1">
        <v>667</v>
      </c>
      <c r="G246" s="1">
        <v>1.0168459133601886</v>
      </c>
      <c r="H246" s="1">
        <v>16.174543083417817</v>
      </c>
      <c r="I246" s="1">
        <v>1356.835760148226</v>
      </c>
      <c r="J246" s="1" t="s">
        <v>129</v>
      </c>
      <c r="K246" s="1">
        <f t="shared" si="9"/>
        <v>1.1736206784950054</v>
      </c>
      <c r="L246" s="1">
        <f t="shared" si="10"/>
        <v>8.0006973293574859</v>
      </c>
      <c r="M246" s="1">
        <f t="shared" si="11"/>
        <v>670.33793385761305</v>
      </c>
    </row>
    <row r="247" spans="1:19" x14ac:dyDescent="0.3">
      <c r="A247" s="1">
        <v>247</v>
      </c>
      <c r="C247" s="1" t="s">
        <v>29</v>
      </c>
      <c r="D247" s="1">
        <v>22.7</v>
      </c>
      <c r="E247" s="1">
        <v>45</v>
      </c>
      <c r="F247" s="1">
        <v>668</v>
      </c>
      <c r="G247" s="1">
        <v>1.1127805378930615</v>
      </c>
      <c r="H247" s="1">
        <v>16.9789954082948</v>
      </c>
      <c r="I247" s="1">
        <v>1519.8085422036622</v>
      </c>
      <c r="J247" s="1" t="s">
        <v>129</v>
      </c>
      <c r="K247" s="1">
        <f t="shared" si="9"/>
        <v>1.284346264010096</v>
      </c>
      <c r="L247" s="1">
        <f t="shared" si="10"/>
        <v>8.3986176621944058</v>
      </c>
      <c r="M247" s="1">
        <f t="shared" si="11"/>
        <v>750.85382325761952</v>
      </c>
    </row>
    <row r="248" spans="1:19" x14ac:dyDescent="0.3">
      <c r="A248" s="1">
        <v>248</v>
      </c>
      <c r="C248" s="1" t="s">
        <v>29</v>
      </c>
      <c r="D248" s="1">
        <v>22.7</v>
      </c>
      <c r="E248" s="1">
        <v>0</v>
      </c>
      <c r="F248" s="1">
        <v>669</v>
      </c>
      <c r="G248" s="1">
        <v>0.3988415001673612</v>
      </c>
      <c r="H248" s="1">
        <v>1.8093229963288497</v>
      </c>
      <c r="I248" s="1">
        <v>424.79291156781642</v>
      </c>
      <c r="J248" s="1" t="s">
        <v>16</v>
      </c>
      <c r="K248" s="1">
        <f t="shared" si="9"/>
        <v>0.46033388725689572</v>
      </c>
      <c r="L248" s="1">
        <f t="shared" si="10"/>
        <v>0.89497710012680287</v>
      </c>
      <c r="M248" s="1">
        <f t="shared" si="11"/>
        <v>209.86681735645149</v>
      </c>
      <c r="N248" s="1">
        <f>SLOPE(K248:K251,E248:E251)</f>
        <v>7.6976195676554883E-4</v>
      </c>
      <c r="O248" s="1">
        <f>SLOPE(L248:L251,E248:E251)</f>
        <v>-2.6456518086192426E-4</v>
      </c>
      <c r="P248" s="1">
        <f>SLOPE(M248:M251,E248:E251)</f>
        <v>15.684812656228029</v>
      </c>
      <c r="Q248" s="1">
        <f>(N248*84.63/0.31*60)/1000</f>
        <v>1.2608700851819688E-2</v>
      </c>
      <c r="R248" s="1">
        <f>O248*84.63/0.31*60/1000</f>
        <v>-4.3335776625183188E-3</v>
      </c>
      <c r="S248" s="1">
        <f>(P248*84.63/0.31*60)/1000</f>
        <v>256.91723130901511</v>
      </c>
    </row>
    <row r="249" spans="1:19" x14ac:dyDescent="0.3">
      <c r="A249" s="1">
        <v>249</v>
      </c>
      <c r="C249" s="1" t="s">
        <v>29</v>
      </c>
      <c r="D249" s="1">
        <v>22.7</v>
      </c>
      <c r="E249" s="1">
        <v>15</v>
      </c>
      <c r="F249" s="1">
        <v>670</v>
      </c>
      <c r="G249" s="1">
        <v>0.41040685574697217</v>
      </c>
      <c r="H249" s="1">
        <v>1.9372547676704721</v>
      </c>
      <c r="I249" s="1">
        <v>769.82590499692219</v>
      </c>
      <c r="J249" s="1" t="s">
        <v>16</v>
      </c>
      <c r="K249" s="1">
        <f t="shared" si="9"/>
        <v>0.47368236049560475</v>
      </c>
      <c r="L249" s="1">
        <f t="shared" si="10"/>
        <v>0.95825823122485709</v>
      </c>
      <c r="M249" s="1">
        <f t="shared" si="11"/>
        <v>380.32864532500923</v>
      </c>
    </row>
    <row r="250" spans="1:19" x14ac:dyDescent="0.3">
      <c r="A250" s="1">
        <v>250</v>
      </c>
      <c r="C250" s="1" t="s">
        <v>29</v>
      </c>
      <c r="D250" s="1">
        <v>22.7</v>
      </c>
      <c r="E250" s="1">
        <v>30</v>
      </c>
      <c r="F250" s="1">
        <v>671</v>
      </c>
      <c r="G250" s="1">
        <v>0.41893630548693522</v>
      </c>
      <c r="H250" s="1">
        <v>1.808238828775107</v>
      </c>
      <c r="I250" s="1">
        <v>1435.795974112556</v>
      </c>
      <c r="J250" s="1" t="s">
        <v>16</v>
      </c>
      <c r="K250" s="1">
        <f t="shared" si="9"/>
        <v>0.48352685950915247</v>
      </c>
      <c r="L250" s="1">
        <f t="shared" si="10"/>
        <v>0.89444081935478537</v>
      </c>
      <c r="M250" s="1">
        <f t="shared" si="11"/>
        <v>709.34783339034777</v>
      </c>
    </row>
    <row r="251" spans="1:19" x14ac:dyDescent="0.3">
      <c r="A251" s="1">
        <v>251</v>
      </c>
      <c r="C251" s="1" t="s">
        <v>29</v>
      </c>
      <c r="D251" s="1">
        <v>22.7</v>
      </c>
      <c r="E251" s="1">
        <v>45</v>
      </c>
      <c r="F251" s="1">
        <v>672</v>
      </c>
      <c r="G251" s="1">
        <v>0.42934512550858511</v>
      </c>
      <c r="H251" s="1">
        <v>1.8255855096349882</v>
      </c>
      <c r="I251" s="1">
        <v>1790.1899084406452</v>
      </c>
      <c r="J251" s="1" t="s">
        <v>16</v>
      </c>
      <c r="K251" s="1">
        <f t="shared" si="9"/>
        <v>0.4955404854239906</v>
      </c>
      <c r="L251" s="1">
        <f t="shared" si="10"/>
        <v>0.9030213117070639</v>
      </c>
      <c r="M251" s="1">
        <f t="shared" si="11"/>
        <v>884.43438747940684</v>
      </c>
    </row>
    <row r="252" spans="1:19" x14ac:dyDescent="0.3">
      <c r="A252" s="1">
        <v>252</v>
      </c>
      <c r="C252" s="1" t="s">
        <v>29</v>
      </c>
      <c r="D252" s="1">
        <v>22.7</v>
      </c>
      <c r="E252" s="1">
        <v>0</v>
      </c>
      <c r="F252" s="1">
        <v>673</v>
      </c>
      <c r="G252" s="1">
        <v>0.39728981496043003</v>
      </c>
      <c r="H252" s="1">
        <v>1.8179963367587901</v>
      </c>
      <c r="I252" s="1">
        <v>415.92619091623322</v>
      </c>
      <c r="J252" s="1" t="s">
        <v>16</v>
      </c>
      <c r="K252" s="1">
        <f t="shared" si="9"/>
        <v>0.45854296709736897</v>
      </c>
      <c r="L252" s="1">
        <f t="shared" si="10"/>
        <v>0.89926734630294192</v>
      </c>
      <c r="M252" s="1">
        <f t="shared" si="11"/>
        <v>205.48625828198723</v>
      </c>
      <c r="N252" s="1">
        <f>SLOPE(K252:K255,E252:E255)</f>
        <v>4.2863430733187583E-4</v>
      </c>
      <c r="O252" s="1">
        <f>SLOPE(L252:L255,E252:E255)</f>
        <v>-4.1829900217357514E-4</v>
      </c>
      <c r="P252" s="1">
        <f>SLOPE(M252:M255,E252:E255)</f>
        <v>12.949123976594274</v>
      </c>
      <c r="Q252" s="1">
        <f>(N252*84.63/0.31*60)/1000</f>
        <v>7.0210299540961248E-3</v>
      </c>
      <c r="R252" s="1">
        <f>O252*84.63/0.31*60/1000</f>
        <v>-6.8517376556031604E-3</v>
      </c>
      <c r="S252" s="1">
        <f>(P252*84.63/0.31*60)/1000</f>
        <v>212.10665073661423</v>
      </c>
    </row>
    <row r="253" spans="1:19" x14ac:dyDescent="0.3">
      <c r="A253" s="1">
        <v>253</v>
      </c>
      <c r="C253" s="1" t="s">
        <v>29</v>
      </c>
      <c r="D253" s="1">
        <v>22.7</v>
      </c>
      <c r="E253" s="1">
        <v>15</v>
      </c>
      <c r="F253" s="1">
        <v>674</v>
      </c>
      <c r="G253" s="1">
        <v>0.40506751658771845</v>
      </c>
      <c r="H253" s="1">
        <v>1.8407638553873837</v>
      </c>
      <c r="I253" s="1">
        <v>747.06155502150182</v>
      </c>
      <c r="J253" s="1" t="s">
        <v>16</v>
      </c>
      <c r="K253" s="1">
        <f t="shared" si="9"/>
        <v>0.46751981535040077</v>
      </c>
      <c r="L253" s="1">
        <f t="shared" si="10"/>
        <v>0.91052924251530754</v>
      </c>
      <c r="M253" s="1">
        <f t="shared" si="11"/>
        <v>369.08203186129288</v>
      </c>
    </row>
    <row r="254" spans="1:19" x14ac:dyDescent="0.3">
      <c r="A254" s="1">
        <v>254</v>
      </c>
      <c r="C254" s="1" t="s">
        <v>29</v>
      </c>
      <c r="D254" s="1">
        <v>22.7</v>
      </c>
      <c r="E254" s="1">
        <v>30</v>
      </c>
      <c r="F254" s="1">
        <v>675</v>
      </c>
      <c r="G254" s="1">
        <v>0.4095972808563994</v>
      </c>
      <c r="H254" s="1">
        <v>1.7984813207914241</v>
      </c>
      <c r="I254" s="1">
        <v>1183.5769582691853</v>
      </c>
      <c r="J254" s="1" t="s">
        <v>16</v>
      </c>
      <c r="K254" s="1">
        <f t="shared" si="9"/>
        <v>0.47274796736889513</v>
      </c>
      <c r="L254" s="1">
        <f t="shared" si="10"/>
        <v>0.8896142924066287</v>
      </c>
      <c r="M254" s="1">
        <f t="shared" si="11"/>
        <v>584.74028771247174</v>
      </c>
    </row>
    <row r="255" spans="1:19" x14ac:dyDescent="0.3">
      <c r="A255" s="1">
        <v>255</v>
      </c>
      <c r="C255" s="1" t="s">
        <v>29</v>
      </c>
      <c r="D255" s="1">
        <v>22.7</v>
      </c>
      <c r="E255" s="1">
        <v>45</v>
      </c>
      <c r="F255" s="1">
        <v>676</v>
      </c>
      <c r="G255" s="1">
        <v>0.4143487144403562</v>
      </c>
      <c r="H255" s="1">
        <v>1.7898079803614835</v>
      </c>
      <c r="I255" s="1">
        <v>1580.9417346996372</v>
      </c>
      <c r="J255" s="1" t="s">
        <v>16</v>
      </c>
      <c r="K255" s="1">
        <f t="shared" si="9"/>
        <v>0.47823196512446464</v>
      </c>
      <c r="L255" s="1">
        <f t="shared" si="10"/>
        <v>0.88532404623048944</v>
      </c>
      <c r="M255" s="1">
        <f t="shared" si="11"/>
        <v>781.05637182797466</v>
      </c>
    </row>
    <row r="256" spans="1:19" x14ac:dyDescent="0.3">
      <c r="A256" s="1">
        <v>256</v>
      </c>
      <c r="C256" s="1" t="s">
        <v>29</v>
      </c>
      <c r="D256" s="1">
        <v>22.7</v>
      </c>
      <c r="E256" s="1">
        <v>0</v>
      </c>
      <c r="F256" s="1">
        <v>677</v>
      </c>
      <c r="G256" s="1">
        <v>0.39711633462673596</v>
      </c>
      <c r="H256" s="1">
        <v>1.7995654883451666</v>
      </c>
      <c r="I256" s="1">
        <v>383.30960417459124</v>
      </c>
      <c r="J256" s="1" t="s">
        <v>16</v>
      </c>
      <c r="K256" s="1">
        <f t="shared" si="9"/>
        <v>0.45834273999878838</v>
      </c>
      <c r="L256" s="1">
        <f t="shared" si="10"/>
        <v>0.8901505731786461</v>
      </c>
      <c r="M256" s="1">
        <f t="shared" si="11"/>
        <v>189.37219642715277</v>
      </c>
      <c r="N256" s="1">
        <f>SLOPE(K256:K259,E256:E259)</f>
        <v>1.8892539123852674E-3</v>
      </c>
      <c r="O256" s="1">
        <f>SLOPE(L256:L259,E256:E259)</f>
        <v>-3.3606928379757467E-4</v>
      </c>
      <c r="P256" s="1">
        <f>SLOPE(M256:M259,E256:E259)</f>
        <v>11.800556412934116</v>
      </c>
      <c r="Q256" s="1">
        <f>(N256*84.63/0.31*60)/1000</f>
        <v>3.0945979084870678E-2</v>
      </c>
      <c r="R256" s="1">
        <f>O256*84.63/0.31*60/1000</f>
        <v>-5.5048148686042729E-3</v>
      </c>
      <c r="S256" s="1">
        <f>(P256*84.63/0.31*60)/1000</f>
        <v>193.29311404386081</v>
      </c>
    </row>
    <row r="257" spans="1:19" x14ac:dyDescent="0.3">
      <c r="A257" s="1">
        <v>257</v>
      </c>
      <c r="C257" s="1" t="s">
        <v>29</v>
      </c>
      <c r="D257" s="1">
        <v>22.7</v>
      </c>
      <c r="E257" s="1">
        <v>15</v>
      </c>
      <c r="F257" s="1">
        <v>678</v>
      </c>
      <c r="G257" s="1">
        <v>0.41896521887588428</v>
      </c>
      <c r="H257" s="1">
        <v>1.7865554777002557</v>
      </c>
      <c r="I257" s="1">
        <v>763.74514384646295</v>
      </c>
      <c r="J257" s="1" t="s">
        <v>16</v>
      </c>
      <c r="K257" s="1">
        <f t="shared" si="9"/>
        <v>0.48356023069224935</v>
      </c>
      <c r="L257" s="1">
        <f t="shared" si="10"/>
        <v>0.88371520391443703</v>
      </c>
      <c r="M257" s="1">
        <f t="shared" si="11"/>
        <v>377.32447563432004</v>
      </c>
    </row>
    <row r="258" spans="1:19" x14ac:dyDescent="0.3">
      <c r="A258" s="1">
        <v>258</v>
      </c>
      <c r="C258" s="1" t="s">
        <v>29</v>
      </c>
      <c r="D258" s="1">
        <v>22.7</v>
      </c>
      <c r="E258" s="1">
        <v>30</v>
      </c>
      <c r="F258" s="1">
        <v>679</v>
      </c>
      <c r="G258" s="1">
        <v>0.44383073337204781</v>
      </c>
      <c r="H258" s="1">
        <v>1.7659562941791471</v>
      </c>
      <c r="I258" s="1">
        <v>1104.8263248831415</v>
      </c>
      <c r="J258" s="1" t="s">
        <v>16</v>
      </c>
      <c r="K258" s="1">
        <f t="shared" si="9"/>
        <v>0.51225944815547353</v>
      </c>
      <c r="L258" s="1">
        <f t="shared" si="10"/>
        <v>0.87352586924610642</v>
      </c>
      <c r="M258" s="1">
        <f t="shared" si="11"/>
        <v>545.83393041819454</v>
      </c>
    </row>
    <row r="259" spans="1:19" x14ac:dyDescent="0.3">
      <c r="A259" s="1">
        <v>259</v>
      </c>
      <c r="C259" s="1" t="s">
        <v>29</v>
      </c>
      <c r="D259" s="1">
        <v>22.7</v>
      </c>
      <c r="E259" s="1">
        <v>45</v>
      </c>
      <c r="F259" s="1">
        <v>680</v>
      </c>
      <c r="G259" s="1">
        <v>0.47067199611306154</v>
      </c>
      <c r="H259" s="1">
        <v>1.7724612995016025</v>
      </c>
      <c r="I259" s="1">
        <v>1463.8953682970919</v>
      </c>
      <c r="J259" s="1" t="s">
        <v>16</v>
      </c>
      <c r="K259" s="1">
        <f t="shared" ref="K259:K322" si="12">(G259*28*1)/(0.082*(D259+273.15))</f>
        <v>0.54323902979697702</v>
      </c>
      <c r="L259" s="1">
        <f t="shared" ref="L259:L322" si="13">(H259*12*1)/(0.082*(D259+273.15))</f>
        <v>0.8767435538782109</v>
      </c>
      <c r="M259" s="1">
        <f t="shared" ref="M259:M322" si="14">(I259*12*1)/(0.0821*(D259+273.15))</f>
        <v>723.2301988125671</v>
      </c>
    </row>
    <row r="260" spans="1:19" x14ac:dyDescent="0.3">
      <c r="A260" s="1">
        <v>260</v>
      </c>
      <c r="C260" s="1" t="s">
        <v>29</v>
      </c>
      <c r="D260" s="1">
        <v>22.7</v>
      </c>
      <c r="E260" s="1">
        <v>0</v>
      </c>
      <c r="F260" s="1">
        <v>681</v>
      </c>
      <c r="G260" s="1">
        <v>0.40154008313593709</v>
      </c>
      <c r="H260" s="1">
        <v>1.823417174527503</v>
      </c>
      <c r="I260" s="1">
        <v>433.65963221939967</v>
      </c>
      <c r="J260" s="1" t="s">
        <v>16</v>
      </c>
      <c r="K260" s="1">
        <f t="shared" si="12"/>
        <v>0.46344853101259453</v>
      </c>
      <c r="L260" s="1">
        <f t="shared" si="13"/>
        <v>0.90194875016302911</v>
      </c>
      <c r="M260" s="1">
        <f t="shared" si="14"/>
        <v>214.24737643091581</v>
      </c>
      <c r="N260" s="1">
        <f>SLOPE(K260:K263,E260:E263)</f>
        <v>4.0401379002492303E-3</v>
      </c>
      <c r="O260" s="1">
        <f>SLOPE(L260:L263,E260:E263)</f>
        <v>-8.3659800434715992E-4</v>
      </c>
      <c r="P260" s="1">
        <f>SLOPE(M260:M263,E260:E263)</f>
        <v>14.524657993696753</v>
      </c>
      <c r="Q260" s="1">
        <f>(N260*84.63/0.31*60)/1000</f>
        <v>6.617745880608239E-2</v>
      </c>
      <c r="R260" s="1">
        <f>O260*84.63/0.31*60/1000</f>
        <v>-1.3703475311206479E-2</v>
      </c>
      <c r="S260" s="1">
        <f>(P260*84.63/0.31*60)/1000</f>
        <v>237.91389793675282</v>
      </c>
    </row>
    <row r="261" spans="1:19" x14ac:dyDescent="0.3">
      <c r="A261" s="1">
        <v>261</v>
      </c>
      <c r="C261" s="1" t="s">
        <v>29</v>
      </c>
      <c r="D261" s="1">
        <v>22.7</v>
      </c>
      <c r="E261" s="1">
        <v>15</v>
      </c>
      <c r="F261" s="1">
        <v>682</v>
      </c>
      <c r="G261" s="1">
        <v>0.45521297082164819</v>
      </c>
      <c r="H261" s="1">
        <v>1.7659562941791471</v>
      </c>
      <c r="I261" s="1">
        <v>886.93758255642194</v>
      </c>
      <c r="J261" s="1" t="s">
        <v>16</v>
      </c>
      <c r="K261" s="1">
        <f t="shared" si="12"/>
        <v>0.52539657056790268</v>
      </c>
      <c r="L261" s="1">
        <f t="shared" si="13"/>
        <v>0.87352586924610642</v>
      </c>
      <c r="M261" s="1">
        <f t="shared" si="14"/>
        <v>438.18708499147107</v>
      </c>
    </row>
    <row r="262" spans="1:19" x14ac:dyDescent="0.3">
      <c r="A262" s="1">
        <v>262</v>
      </c>
      <c r="C262" s="1" t="s">
        <v>29</v>
      </c>
      <c r="D262" s="1">
        <v>22.7</v>
      </c>
      <c r="E262" s="1">
        <v>30</v>
      </c>
      <c r="F262" s="1">
        <v>683</v>
      </c>
      <c r="G262" s="1">
        <v>0.51023514999164732</v>
      </c>
      <c r="H262" s="1">
        <v>1.7496937808730086</v>
      </c>
      <c r="I262" s="1">
        <v>1319.8696453121067</v>
      </c>
      <c r="J262" s="1" t="s">
        <v>16</v>
      </c>
      <c r="K262" s="1">
        <f t="shared" si="12"/>
        <v>0.58890193200106045</v>
      </c>
      <c r="L262" s="1">
        <f t="shared" si="13"/>
        <v>0.86548165766584517</v>
      </c>
      <c r="M262" s="1">
        <f t="shared" si="14"/>
        <v>652.07500936092936</v>
      </c>
    </row>
    <row r="263" spans="1:19" x14ac:dyDescent="0.3">
      <c r="A263" s="1">
        <v>263</v>
      </c>
      <c r="C263" s="1" t="s">
        <v>29</v>
      </c>
      <c r="D263" s="1">
        <v>22.7</v>
      </c>
      <c r="E263" s="1">
        <v>45</v>
      </c>
      <c r="F263" s="1">
        <v>684</v>
      </c>
      <c r="G263" s="1">
        <v>0.55822173785071638</v>
      </c>
      <c r="H263" s="1">
        <v>1.7442729431042958</v>
      </c>
      <c r="I263" s="1">
        <v>1759.3221010359575</v>
      </c>
      <c r="J263" s="1" t="s">
        <v>16</v>
      </c>
      <c r="K263" s="1">
        <f t="shared" si="12"/>
        <v>0.64428697221400344</v>
      </c>
      <c r="L263" s="1">
        <f t="shared" si="13"/>
        <v>0.8628002538057582</v>
      </c>
      <c r="M263" s="1">
        <f t="shared" si="14"/>
        <v>869.18430132593403</v>
      </c>
    </row>
    <row r="264" spans="1:19" x14ac:dyDescent="0.3">
      <c r="A264" s="1">
        <v>264</v>
      </c>
      <c r="C264" s="1" t="s">
        <v>29</v>
      </c>
      <c r="D264" s="1">
        <v>22.7</v>
      </c>
      <c r="E264" s="1">
        <v>0</v>
      </c>
      <c r="F264" s="1">
        <v>685</v>
      </c>
      <c r="G264" s="1">
        <v>0.39529479112294719</v>
      </c>
      <c r="H264" s="1">
        <v>1.7767979697165728</v>
      </c>
      <c r="I264" s="1">
        <v>398.9852566370044</v>
      </c>
      <c r="J264" s="1" t="s">
        <v>16</v>
      </c>
      <c r="K264" s="1">
        <f t="shared" si="12"/>
        <v>0.45624035546369168</v>
      </c>
      <c r="L264" s="1">
        <f t="shared" si="13"/>
        <v>0.87888867696628048</v>
      </c>
      <c r="M264" s="1">
        <f t="shared" si="14"/>
        <v>197.11667427197025</v>
      </c>
      <c r="N264" s="1">
        <f>SLOPE(K264:K267,E264:E267)</f>
        <v>2.9034412457885081E-3</v>
      </c>
      <c r="O264" s="1">
        <f>SLOPE(L264:L267,E264:E267)</f>
        <v>-1.0368094925669924E-4</v>
      </c>
      <c r="P264" s="1">
        <f>SLOPE(M264:M267,E264:E267)</f>
        <v>14.946831003355609</v>
      </c>
      <c r="Q264" s="1">
        <f>(N264*84.63/0.31*60)/1000</f>
        <v>4.7558367606015756E-2</v>
      </c>
      <c r="R264" s="1">
        <f>O264*84.63/0.31*60/1000</f>
        <v>-1.6982939488247337E-3</v>
      </c>
      <c r="S264" s="1">
        <f>(P264*84.63/0.31*60)/1000</f>
        <v>244.82909183496488</v>
      </c>
    </row>
    <row r="265" spans="1:19" x14ac:dyDescent="0.3">
      <c r="A265" s="1">
        <v>265</v>
      </c>
      <c r="C265" s="1" t="s">
        <v>29</v>
      </c>
      <c r="D265" s="1">
        <v>22.7</v>
      </c>
      <c r="E265" s="1">
        <v>15</v>
      </c>
      <c r="F265" s="1">
        <v>686</v>
      </c>
      <c r="G265" s="1">
        <v>0.43224610219980419</v>
      </c>
      <c r="H265" s="1">
        <v>1.7843871425927706</v>
      </c>
      <c r="I265" s="1">
        <v>822.04461196533259</v>
      </c>
      <c r="J265" s="1" t="s">
        <v>16</v>
      </c>
      <c r="K265" s="1">
        <f t="shared" si="12"/>
        <v>0.4988887274613667</v>
      </c>
      <c r="L265" s="1">
        <f t="shared" si="13"/>
        <v>0.88264264237040235</v>
      </c>
      <c r="M265" s="1">
        <f t="shared" si="14"/>
        <v>406.12703682236804</v>
      </c>
    </row>
    <row r="266" spans="1:19" x14ac:dyDescent="0.3">
      <c r="A266" s="1">
        <v>266</v>
      </c>
      <c r="C266" s="1" t="s">
        <v>29</v>
      </c>
      <c r="D266" s="1">
        <v>22.7</v>
      </c>
      <c r="E266" s="1">
        <v>30</v>
      </c>
      <c r="F266" s="1">
        <v>687</v>
      </c>
      <c r="G266" s="1">
        <v>0.46291357007840589</v>
      </c>
      <c r="H266" s="1">
        <v>1.7789663048240578</v>
      </c>
      <c r="I266" s="1">
        <v>1212.6725912956208</v>
      </c>
      <c r="J266" s="1" t="s">
        <v>16</v>
      </c>
      <c r="K266" s="1">
        <f t="shared" si="12"/>
        <v>0.53428442899934325</v>
      </c>
      <c r="L266" s="1">
        <f t="shared" si="13"/>
        <v>0.87996123851031527</v>
      </c>
      <c r="M266" s="1">
        <f t="shared" si="14"/>
        <v>599.11483996121956</v>
      </c>
    </row>
    <row r="267" spans="1:19" x14ac:dyDescent="0.3">
      <c r="A267" s="1">
        <v>267</v>
      </c>
      <c r="C267" s="1" t="s">
        <v>29</v>
      </c>
      <c r="D267" s="1">
        <v>22.7</v>
      </c>
      <c r="E267" s="1">
        <v>45</v>
      </c>
      <c r="F267" s="1">
        <v>688</v>
      </c>
      <c r="G267" s="1">
        <v>0.51085196895589324</v>
      </c>
      <c r="H267" s="1">
        <v>1.7681246292866322</v>
      </c>
      <c r="I267" s="1">
        <v>1781.4752555574928</v>
      </c>
      <c r="J267" s="1" t="s">
        <v>16</v>
      </c>
      <c r="K267" s="1">
        <f t="shared" si="12"/>
        <v>0.58961385057379156</v>
      </c>
      <c r="L267" s="1">
        <f t="shared" si="13"/>
        <v>0.87459843079014121</v>
      </c>
      <c r="M267" s="1">
        <f t="shared" si="14"/>
        <v>880.1289567268002</v>
      </c>
    </row>
    <row r="268" spans="1:19" x14ac:dyDescent="0.3">
      <c r="A268" s="1">
        <v>268</v>
      </c>
      <c r="C268" s="1" t="s">
        <v>29</v>
      </c>
      <c r="D268" s="1">
        <v>22.7</v>
      </c>
      <c r="E268" s="1">
        <v>0</v>
      </c>
      <c r="F268" s="1">
        <v>689</v>
      </c>
      <c r="G268" s="1">
        <v>0.39803192527678849</v>
      </c>
      <c r="H268" s="1">
        <v>1.7952288181301963</v>
      </c>
      <c r="I268" s="1">
        <v>398.55829713333316</v>
      </c>
      <c r="J268" s="1" t="s">
        <v>16</v>
      </c>
      <c r="K268" s="1">
        <f t="shared" si="12"/>
        <v>0.45939949413018621</v>
      </c>
      <c r="L268" s="1">
        <f t="shared" si="13"/>
        <v>0.88800545009057641</v>
      </c>
      <c r="M268" s="1">
        <f t="shared" si="14"/>
        <v>196.90573706060093</v>
      </c>
      <c r="N268" s="1">
        <f>SLOPE(K268:K271,E268:E271)</f>
        <v>7.1075428923198765E-3</v>
      </c>
      <c r="O268" s="1">
        <f>SLOPE(L268:L271,E268:E271)</f>
        <v>-4.1472379702679919E-4</v>
      </c>
      <c r="P268" s="1">
        <f>SLOPE(M268:M271,E268:E271)</f>
        <v>13.804036120152709</v>
      </c>
      <c r="Q268" s="1">
        <f>(N268*84.63/0.31*60)/1000</f>
        <v>0.11642155257619957</v>
      </c>
      <c r="R268" s="1">
        <f>O268*84.63/0.31*60/1000</f>
        <v>-6.7931757952989702E-3</v>
      </c>
      <c r="S268" s="1">
        <f>(P268*84.63/0.31*60)/1000</f>
        <v>226.11011164810139</v>
      </c>
    </row>
    <row r="269" spans="1:19" x14ac:dyDescent="0.3">
      <c r="A269" s="1">
        <v>269</v>
      </c>
      <c r="C269" s="1" t="s">
        <v>29</v>
      </c>
      <c r="D269" s="1">
        <v>22.7</v>
      </c>
      <c r="E269" s="1">
        <v>15</v>
      </c>
      <c r="F269" s="1">
        <v>690</v>
      </c>
      <c r="G269" s="1">
        <v>0.4948917782560302</v>
      </c>
      <c r="H269" s="1">
        <v>1.7822188074852856</v>
      </c>
      <c r="I269" s="1">
        <v>888.12780528240955</v>
      </c>
      <c r="J269" s="1" t="s">
        <v>16</v>
      </c>
      <c r="K269" s="1">
        <f t="shared" si="12"/>
        <v>0.57119295750437338</v>
      </c>
      <c r="L269" s="1">
        <f t="shared" si="13"/>
        <v>0.88157008082636745</v>
      </c>
      <c r="M269" s="1">
        <f t="shared" si="14"/>
        <v>438.77510858754857</v>
      </c>
    </row>
    <row r="270" spans="1:19" x14ac:dyDescent="0.3">
      <c r="A270" s="1">
        <v>270</v>
      </c>
      <c r="C270" s="1" t="s">
        <v>29</v>
      </c>
      <c r="D270" s="1">
        <v>22.7</v>
      </c>
      <c r="E270" s="1">
        <v>30</v>
      </c>
      <c r="F270" s="1">
        <v>691</v>
      </c>
      <c r="G270" s="1">
        <v>0.61137418453534509</v>
      </c>
      <c r="H270" s="1">
        <v>1.7540304510879787</v>
      </c>
      <c r="I270" s="1">
        <v>1359.6041733683774</v>
      </c>
      <c r="J270" s="1" t="s">
        <v>16</v>
      </c>
      <c r="K270" s="1">
        <f t="shared" si="12"/>
        <v>0.70563433047356994</v>
      </c>
      <c r="L270" s="1">
        <f t="shared" si="13"/>
        <v>0.86762678075391475</v>
      </c>
      <c r="M270" s="1">
        <f t="shared" si="14"/>
        <v>671.7056545888662</v>
      </c>
    </row>
    <row r="271" spans="1:19" x14ac:dyDescent="0.3">
      <c r="A271" s="1">
        <v>271</v>
      </c>
      <c r="C271" s="1" t="s">
        <v>29</v>
      </c>
      <c r="D271" s="1">
        <v>22.7</v>
      </c>
      <c r="E271" s="1">
        <v>45</v>
      </c>
      <c r="F271" s="1">
        <v>692</v>
      </c>
      <c r="G271" s="1">
        <v>0.66710956063275351</v>
      </c>
      <c r="H271" s="1">
        <v>1.7627037915179193</v>
      </c>
      <c r="I271" s="1">
        <v>1638.4418722408577</v>
      </c>
      <c r="J271" s="1" t="s">
        <v>16</v>
      </c>
      <c r="K271" s="1">
        <f t="shared" si="12"/>
        <v>0.76996284775644785</v>
      </c>
      <c r="L271" s="1">
        <f t="shared" si="13"/>
        <v>0.87191702693005402</v>
      </c>
      <c r="M271" s="1">
        <f t="shared" si="14"/>
        <v>809.4640277344638</v>
      </c>
    </row>
    <row r="272" spans="1:19" x14ac:dyDescent="0.3">
      <c r="A272" s="1">
        <v>272</v>
      </c>
      <c r="C272" s="1" t="s">
        <v>29</v>
      </c>
      <c r="D272" s="1">
        <v>22.7</v>
      </c>
      <c r="E272" s="1">
        <v>0</v>
      </c>
      <c r="F272" s="1">
        <v>693</v>
      </c>
      <c r="G272" s="1">
        <v>0.39790663392467601</v>
      </c>
      <c r="H272" s="1">
        <v>1.7486096133192659</v>
      </c>
      <c r="I272" s="1">
        <v>389.54145830009384</v>
      </c>
      <c r="J272" s="1" t="s">
        <v>129</v>
      </c>
      <c r="K272" s="1">
        <f t="shared" si="12"/>
        <v>0.45925488567010014</v>
      </c>
      <c r="L272" s="1">
        <f t="shared" si="13"/>
        <v>0.86494537689382778</v>
      </c>
      <c r="M272" s="1">
        <f t="shared" si="14"/>
        <v>192.45101284789266</v>
      </c>
      <c r="N272" s="1">
        <f>SLOPE(K272:K275,E272:E275)</f>
        <v>1.6016833039126824E-2</v>
      </c>
      <c r="O272" s="1">
        <f>SLOPE(L272:L275,E272:E275)</f>
        <v>9.7531596404232986E-3</v>
      </c>
      <c r="P272" s="1">
        <f>SLOPE(M272:M275,E272:E275)</f>
        <v>15.676423326953929</v>
      </c>
      <c r="Q272" s="1">
        <f>(N272*84.63/0.31*60)/1000</f>
        <v>0.26235572518089739</v>
      </c>
      <c r="R272" s="1">
        <f>O272*84.63/0.31*60/1000</f>
        <v>0.15975675491013364</v>
      </c>
      <c r="S272" s="1">
        <f>(P272*84.63/0.31*60)/1000</f>
        <v>256.77981409550529</v>
      </c>
    </row>
    <row r="273" spans="1:19" x14ac:dyDescent="0.3">
      <c r="A273" s="1">
        <v>273</v>
      </c>
      <c r="C273" s="1" t="s">
        <v>29</v>
      </c>
      <c r="D273" s="1">
        <v>22.7</v>
      </c>
      <c r="E273" s="1">
        <v>15</v>
      </c>
      <c r="F273" s="1">
        <v>694</v>
      </c>
      <c r="G273" s="1">
        <v>0.74013514332168029</v>
      </c>
      <c r="H273" s="1">
        <v>2.295030060405518</v>
      </c>
      <c r="I273" s="1">
        <v>1212.4834813784694</v>
      </c>
      <c r="J273" s="1" t="s">
        <v>129</v>
      </c>
      <c r="K273" s="1">
        <f t="shared" si="12"/>
        <v>0.85424733253119578</v>
      </c>
      <c r="L273" s="1">
        <f t="shared" si="13"/>
        <v>1.1352308859906026</v>
      </c>
      <c r="M273" s="1">
        <f t="shared" si="14"/>
        <v>599.02141115070424</v>
      </c>
    </row>
    <row r="274" spans="1:19" x14ac:dyDescent="0.3">
      <c r="A274" s="1">
        <v>274</v>
      </c>
      <c r="C274" s="1" t="s">
        <v>29</v>
      </c>
      <c r="D274" s="1">
        <v>22.7</v>
      </c>
      <c r="E274" s="1">
        <v>30</v>
      </c>
      <c r="F274" s="1">
        <v>695</v>
      </c>
      <c r="G274" s="1">
        <v>0.91413591801692717</v>
      </c>
      <c r="H274" s="1">
        <v>2.5433044302125651</v>
      </c>
      <c r="I274" s="1">
        <v>1602.5265846763309</v>
      </c>
      <c r="J274" s="1" t="s">
        <v>129</v>
      </c>
      <c r="K274" s="1">
        <f t="shared" si="12"/>
        <v>1.0550751124075715</v>
      </c>
      <c r="L274" s="1">
        <f t="shared" si="13"/>
        <v>1.2580391827825894</v>
      </c>
      <c r="M274" s="1">
        <f t="shared" si="14"/>
        <v>791.72025920548811</v>
      </c>
    </row>
    <row r="275" spans="1:19" x14ac:dyDescent="0.3">
      <c r="A275" s="1">
        <v>275</v>
      </c>
      <c r="C275" s="1" t="s">
        <v>29</v>
      </c>
      <c r="D275" s="1">
        <v>22.7</v>
      </c>
      <c r="E275" s="1">
        <v>45</v>
      </c>
      <c r="F275" s="1">
        <v>696</v>
      </c>
      <c r="G275" s="1">
        <v>1.033769883691686</v>
      </c>
      <c r="H275" s="1">
        <v>2.6517211855868217</v>
      </c>
      <c r="I275" s="1">
        <v>1846.0650654051076</v>
      </c>
      <c r="J275" s="1" t="s">
        <v>129</v>
      </c>
      <c r="K275" s="1">
        <f t="shared" si="12"/>
        <v>1.193153944334316</v>
      </c>
      <c r="L275" s="1">
        <f t="shared" si="13"/>
        <v>1.3116672599843304</v>
      </c>
      <c r="M275" s="1">
        <f t="shared" si="14"/>
        <v>912.03922984399458</v>
      </c>
    </row>
    <row r="276" spans="1:19" x14ac:dyDescent="0.3">
      <c r="A276" s="1">
        <v>276</v>
      </c>
      <c r="C276" s="1" t="s">
        <v>29</v>
      </c>
      <c r="D276" s="1">
        <v>22.7</v>
      </c>
      <c r="F276" s="1" t="s">
        <v>58</v>
      </c>
      <c r="G276" s="1">
        <v>0.40175211465489663</v>
      </c>
      <c r="H276" s="1">
        <v>1.8331746825111861</v>
      </c>
      <c r="I276" s="1">
        <v>388.77527069761533</v>
      </c>
      <c r="K276" s="1">
        <f t="shared" si="12"/>
        <v>0.46369325302197084</v>
      </c>
      <c r="L276" s="1">
        <f t="shared" si="13"/>
        <v>0.90677527711118588</v>
      </c>
      <c r="M276" s="1">
        <f t="shared" si="14"/>
        <v>192.07248168776414</v>
      </c>
    </row>
    <row r="277" spans="1:19" x14ac:dyDescent="0.3">
      <c r="A277" s="1">
        <v>277</v>
      </c>
      <c r="C277" s="1" t="s">
        <v>29</v>
      </c>
      <c r="D277" s="1">
        <v>22.7</v>
      </c>
      <c r="F277" s="1" t="s">
        <v>59</v>
      </c>
      <c r="G277" s="1">
        <v>0.39791627172099231</v>
      </c>
      <c r="H277" s="1">
        <v>1.8104071638825923</v>
      </c>
      <c r="I277" s="1">
        <v>399.0310719262111</v>
      </c>
      <c r="K277" s="1">
        <f t="shared" si="12"/>
        <v>0.45926600939779905</v>
      </c>
      <c r="L277" s="1">
        <f t="shared" si="13"/>
        <v>0.89551338089882015</v>
      </c>
      <c r="M277" s="1">
        <f t="shared" si="14"/>
        <v>197.13930908688886</v>
      </c>
    </row>
    <row r="278" spans="1:19" x14ac:dyDescent="0.3">
      <c r="A278" s="1">
        <v>278</v>
      </c>
      <c r="C278" s="1" t="s">
        <v>29</v>
      </c>
      <c r="D278" s="1">
        <v>22.7</v>
      </c>
      <c r="F278" s="1" t="s">
        <v>92</v>
      </c>
      <c r="G278" s="1">
        <v>0.39878367338946313</v>
      </c>
      <c r="H278" s="1">
        <v>1.8179963367587901</v>
      </c>
      <c r="I278" s="1">
        <v>429.50311321562316</v>
      </c>
      <c r="K278" s="1">
        <f t="shared" si="12"/>
        <v>0.4602671448907022</v>
      </c>
      <c r="L278" s="1">
        <f t="shared" si="13"/>
        <v>0.89926734630294192</v>
      </c>
      <c r="M278" s="1">
        <f t="shared" si="14"/>
        <v>212.19386896680894</v>
      </c>
    </row>
    <row r="279" spans="1:19" x14ac:dyDescent="0.3">
      <c r="A279" s="1">
        <v>279</v>
      </c>
      <c r="B279" s="1" t="s">
        <v>173</v>
      </c>
      <c r="C279" s="1" t="s">
        <v>29</v>
      </c>
      <c r="D279" s="1">
        <v>19.899999999999999</v>
      </c>
      <c r="E279" s="1">
        <v>0</v>
      </c>
      <c r="F279" s="1">
        <v>165</v>
      </c>
      <c r="G279" s="1">
        <v>0.44989290725502717</v>
      </c>
      <c r="H279" s="1">
        <v>1.98278980492766</v>
      </c>
      <c r="I279" s="1">
        <v>383.57182359579576</v>
      </c>
      <c r="J279" s="1" t="s">
        <v>129</v>
      </c>
      <c r="K279" s="1">
        <f t="shared" si="12"/>
        <v>0.52421760222141234</v>
      </c>
      <c r="L279" s="1">
        <f t="shared" si="13"/>
        <v>0.99015308546913761</v>
      </c>
      <c r="M279" s="1">
        <f t="shared" si="14"/>
        <v>191.31237381595886</v>
      </c>
      <c r="N279" s="1">
        <f>SLOPE(K279:K282,E279:E282)</f>
        <v>-1.9652519943769227E-4</v>
      </c>
      <c r="O279" s="1">
        <f>SLOPE(L279:L282,E279:E282)</f>
        <v>4.3962066923015405E-3</v>
      </c>
      <c r="P279" s="1">
        <f>SLOPE(M279:M282,E279:E282)</f>
        <v>0.48544776773153614</v>
      </c>
      <c r="Q279" s="1">
        <f>(N279*84.63/0.31*60)/1000</f>
        <v>-3.2190827667893992E-3</v>
      </c>
      <c r="R279" s="1">
        <f>O279*84.63/0.31*60/1000</f>
        <v>7.2009865619899235E-2</v>
      </c>
      <c r="S279" s="1">
        <f>(P279*84.63/0.31*60)/1000</f>
        <v>7.9516344354425597</v>
      </c>
    </row>
    <row r="280" spans="1:19" x14ac:dyDescent="0.3">
      <c r="A280" s="1">
        <v>280</v>
      </c>
      <c r="B280" s="1" t="s">
        <v>174</v>
      </c>
      <c r="C280" s="1" t="s">
        <v>29</v>
      </c>
      <c r="D280" s="1">
        <v>19.899999999999999</v>
      </c>
      <c r="E280" s="1">
        <v>15</v>
      </c>
      <c r="F280" s="1">
        <v>166</v>
      </c>
      <c r="G280" s="1">
        <v>0.4422983237577493</v>
      </c>
      <c r="H280" s="1">
        <v>2.1952866454612021</v>
      </c>
      <c r="I280" s="1">
        <v>429.82187065329555</v>
      </c>
      <c r="J280" s="1" t="s">
        <v>129</v>
      </c>
      <c r="K280" s="1">
        <f t="shared" si="12"/>
        <v>0.51536835324101782</v>
      </c>
      <c r="L280" s="1">
        <f t="shared" si="13"/>
        <v>1.0962684194212438</v>
      </c>
      <c r="M280" s="1">
        <f t="shared" si="14"/>
        <v>214.38029942301347</v>
      </c>
    </row>
    <row r="281" spans="1:19" x14ac:dyDescent="0.3">
      <c r="A281" s="1">
        <v>281</v>
      </c>
      <c r="C281" s="1" t="s">
        <v>29</v>
      </c>
      <c r="D281" s="1">
        <v>19.899999999999999</v>
      </c>
      <c r="E281" s="1">
        <v>30</v>
      </c>
      <c r="F281" s="1">
        <v>167</v>
      </c>
      <c r="G281" s="1">
        <v>0.43894437063966218</v>
      </c>
      <c r="H281" s="1">
        <v>2.2115491587673408</v>
      </c>
      <c r="I281" s="1">
        <v>416.66605909725257</v>
      </c>
      <c r="J281" s="1" t="s">
        <v>129</v>
      </c>
      <c r="K281" s="1">
        <f t="shared" si="12"/>
        <v>0.51146030927505681</v>
      </c>
      <c r="L281" s="1">
        <f t="shared" si="13"/>
        <v>1.1043894908971703</v>
      </c>
      <c r="M281" s="1">
        <f t="shared" si="14"/>
        <v>207.81863513112776</v>
      </c>
    </row>
    <row r="282" spans="1:19" x14ac:dyDescent="0.3">
      <c r="A282" s="1">
        <v>282</v>
      </c>
      <c r="C282" s="1" t="s">
        <v>29</v>
      </c>
      <c r="D282" s="1">
        <v>19.899999999999999</v>
      </c>
      <c r="E282" s="1">
        <v>45</v>
      </c>
      <c r="F282" s="1">
        <v>168</v>
      </c>
      <c r="G282" s="1">
        <v>0.44257781985092332</v>
      </c>
      <c r="H282" s="1">
        <v>2.4175409939784274</v>
      </c>
      <c r="I282" s="1">
        <v>436.62202932363908</v>
      </c>
      <c r="J282" s="1" t="s">
        <v>129</v>
      </c>
      <c r="K282" s="1">
        <f t="shared" si="12"/>
        <v>0.51569402357151473</v>
      </c>
      <c r="L282" s="1">
        <f t="shared" si="13"/>
        <v>1.2072563962589058</v>
      </c>
      <c r="M282" s="1">
        <f t="shared" si="14"/>
        <v>217.77198363316424</v>
      </c>
    </row>
    <row r="283" spans="1:19" x14ac:dyDescent="0.3">
      <c r="A283" s="1">
        <v>283</v>
      </c>
      <c r="C283" s="1" t="s">
        <v>29</v>
      </c>
      <c r="D283" s="1">
        <v>19.899999999999999</v>
      </c>
      <c r="E283" s="1">
        <v>0</v>
      </c>
      <c r="F283" s="1">
        <v>169</v>
      </c>
      <c r="G283" s="1">
        <v>0.42940295228648317</v>
      </c>
      <c r="H283" s="1">
        <v>1.7973971532376813</v>
      </c>
      <c r="I283" s="1">
        <v>398.71621366208831</v>
      </c>
      <c r="J283" s="1" t="s">
        <v>16</v>
      </c>
      <c r="K283" s="1">
        <f t="shared" si="12"/>
        <v>0.50034259799258141</v>
      </c>
      <c r="L283" s="1">
        <f t="shared" si="13"/>
        <v>0.89757287064357527</v>
      </c>
      <c r="M283" s="1">
        <f t="shared" si="14"/>
        <v>198.86587236654691</v>
      </c>
      <c r="N283" s="1">
        <f>SLOPE(K283:K286,E283:E286)</f>
        <v>1.7646091240939004E-4</v>
      </c>
      <c r="O283" s="1">
        <f>SLOPE(L283:L286,E283:E286)</f>
        <v>-3.9703016104529384E-4</v>
      </c>
      <c r="P283" s="1">
        <f>SLOPE(M283:M286,E283:E286)</f>
        <v>9.1861679442186279</v>
      </c>
      <c r="Q283" s="1">
        <f>(N283*84.63/0.31*60)/1000</f>
        <v>2.8904297452658086E-3</v>
      </c>
      <c r="R283" s="1">
        <f>O283*84.63/0.31*60/1000</f>
        <v>-6.5033540379219124E-3</v>
      </c>
      <c r="S283" s="1">
        <f>(P283*84.63/0.31*60)/1000</f>
        <v>150.4694309263011</v>
      </c>
    </row>
    <row r="284" spans="1:19" x14ac:dyDescent="0.3">
      <c r="A284" s="1">
        <v>284</v>
      </c>
      <c r="C284" s="1" t="s">
        <v>29</v>
      </c>
      <c r="D284" s="1">
        <v>19.899999999999999</v>
      </c>
      <c r="E284" s="1">
        <v>15</v>
      </c>
      <c r="F284" s="1">
        <v>170</v>
      </c>
      <c r="G284" s="1">
        <v>0.41354877734609985</v>
      </c>
      <c r="H284" s="1">
        <v>1.7952288181301963</v>
      </c>
      <c r="I284" s="1">
        <v>648.85209603663372</v>
      </c>
      <c r="J284" s="1" t="s">
        <v>16</v>
      </c>
      <c r="K284" s="1">
        <f t="shared" si="12"/>
        <v>0.48186922924543785</v>
      </c>
      <c r="L284" s="1">
        <f t="shared" si="13"/>
        <v>0.89649006111345175</v>
      </c>
      <c r="M284" s="1">
        <f t="shared" si="14"/>
        <v>323.62500869990782</v>
      </c>
    </row>
    <row r="285" spans="1:19" x14ac:dyDescent="0.3">
      <c r="A285" s="1">
        <v>285</v>
      </c>
      <c r="C285" s="1" t="s">
        <v>29</v>
      </c>
      <c r="D285" s="1">
        <v>19.899999999999999</v>
      </c>
      <c r="E285" s="1">
        <v>30</v>
      </c>
      <c r="F285" s="1">
        <v>171</v>
      </c>
      <c r="G285" s="1">
        <v>0.45132893890616227</v>
      </c>
      <c r="H285" s="1">
        <v>1.7833029750390281</v>
      </c>
      <c r="I285" s="1">
        <v>937.91342795592652</v>
      </c>
      <c r="J285" s="1" t="s">
        <v>16</v>
      </c>
      <c r="K285" s="1">
        <f t="shared" si="12"/>
        <v>0.52589087391948197</v>
      </c>
      <c r="L285" s="1">
        <f t="shared" si="13"/>
        <v>0.89053460869777235</v>
      </c>
      <c r="M285" s="1">
        <f t="shared" si="14"/>
        <v>467.79881445410302</v>
      </c>
    </row>
    <row r="286" spans="1:19" x14ac:dyDescent="0.3">
      <c r="A286" s="1">
        <v>286</v>
      </c>
      <c r="C286" s="1" t="s">
        <v>29</v>
      </c>
      <c r="D286" s="1">
        <v>19.899999999999999</v>
      </c>
      <c r="E286" s="1">
        <v>45</v>
      </c>
      <c r="F286" s="1">
        <v>172</v>
      </c>
      <c r="G286" s="1">
        <v>0.42438166040566871</v>
      </c>
      <c r="H286" s="1">
        <v>1.7616196239641768</v>
      </c>
      <c r="I286" s="1">
        <v>1223.2529987222131</v>
      </c>
      <c r="J286" s="1" t="s">
        <v>16</v>
      </c>
      <c r="K286" s="1">
        <f t="shared" si="12"/>
        <v>0.4944917620550362</v>
      </c>
      <c r="L286" s="1">
        <f t="shared" si="13"/>
        <v>0.87970651339653705</v>
      </c>
      <c r="M286" s="1">
        <f t="shared" si="14"/>
        <v>610.11633432607982</v>
      </c>
    </row>
    <row r="287" spans="1:19" x14ac:dyDescent="0.3">
      <c r="A287" s="1">
        <v>287</v>
      </c>
      <c r="C287" s="1" t="s">
        <v>29</v>
      </c>
      <c r="D287" s="1">
        <v>19.899999999999999</v>
      </c>
      <c r="E287" s="1">
        <v>0</v>
      </c>
      <c r="F287" s="1">
        <v>173</v>
      </c>
      <c r="G287" s="1">
        <v>0.44279948916619921</v>
      </c>
      <c r="H287" s="1">
        <v>1.8028179910063942</v>
      </c>
      <c r="I287" s="1">
        <v>418.50451942584596</v>
      </c>
      <c r="J287" s="1" t="s">
        <v>16</v>
      </c>
      <c r="K287" s="1">
        <f t="shared" si="12"/>
        <v>0.51595231383363283</v>
      </c>
      <c r="L287" s="1">
        <f t="shared" si="13"/>
        <v>0.90027989446888412</v>
      </c>
      <c r="M287" s="1">
        <f t="shared" si="14"/>
        <v>208.73559562716335</v>
      </c>
      <c r="N287" s="1">
        <f>SLOPE(K287:K290,E287:E290)</f>
        <v>3.396704113709825E-4</v>
      </c>
      <c r="O287" s="1">
        <f>SLOPE(L287:L290,E287:E290)</f>
        <v>4.3781598667994876E-3</v>
      </c>
      <c r="P287" s="1">
        <f>SLOPE(M287:M290,E287:E290)</f>
        <v>6.8244225795195721</v>
      </c>
      <c r="Q287" s="1">
        <f>(N287*84.63/0.31*60)/1000</f>
        <v>5.5638013382566937E-3</v>
      </c>
      <c r="R287" s="1">
        <f>O287*84.63/0.31*60/1000</f>
        <v>7.1714258618175611E-2</v>
      </c>
      <c r="S287" s="1">
        <f>(P287*84.63/0.31*60)/1000</f>
        <v>111.78404185253058</v>
      </c>
    </row>
    <row r="288" spans="1:19" x14ac:dyDescent="0.3">
      <c r="A288" s="1">
        <v>288</v>
      </c>
      <c r="C288" s="1" t="s">
        <v>29</v>
      </c>
      <c r="D288" s="1">
        <v>19.899999999999999</v>
      </c>
      <c r="E288" s="1">
        <v>15</v>
      </c>
      <c r="F288" s="1">
        <v>174</v>
      </c>
      <c r="G288" s="1">
        <v>0.4312726847718536</v>
      </c>
      <c r="H288" s="1">
        <v>1.8277538447424733</v>
      </c>
      <c r="I288" s="1">
        <v>638.49004232881384</v>
      </c>
      <c r="J288" s="1" t="s">
        <v>16</v>
      </c>
      <c r="K288" s="1">
        <f t="shared" si="12"/>
        <v>0.50252122020349066</v>
      </c>
      <c r="L288" s="1">
        <f t="shared" si="13"/>
        <v>0.91273220406530486</v>
      </c>
      <c r="M288" s="1">
        <f t="shared" si="14"/>
        <v>318.4567743028461</v>
      </c>
    </row>
    <row r="289" spans="1:19" x14ac:dyDescent="0.3">
      <c r="A289" s="1">
        <v>289</v>
      </c>
      <c r="C289" s="1" t="s">
        <v>29</v>
      </c>
      <c r="D289" s="1">
        <v>19.899999999999999</v>
      </c>
      <c r="E289" s="1">
        <v>30</v>
      </c>
      <c r="F289" s="1">
        <v>175</v>
      </c>
      <c r="G289" s="1">
        <v>0.44414878065048713</v>
      </c>
      <c r="H289" s="1">
        <v>1.7995654883451666</v>
      </c>
      <c r="I289" s="1">
        <v>837.60231442787313</v>
      </c>
      <c r="J289" s="1" t="s">
        <v>16</v>
      </c>
      <c r="K289" s="1">
        <f t="shared" si="12"/>
        <v>0.51752451542913436</v>
      </c>
      <c r="L289" s="1">
        <f t="shared" si="13"/>
        <v>0.8986556801736989</v>
      </c>
      <c r="M289" s="1">
        <f t="shared" si="14"/>
        <v>417.76709661500263</v>
      </c>
    </row>
    <row r="290" spans="1:19" x14ac:dyDescent="0.3">
      <c r="A290" s="1">
        <v>290</v>
      </c>
      <c r="C290" s="1" t="s">
        <v>29</v>
      </c>
      <c r="D290" s="1">
        <v>19.899999999999999</v>
      </c>
      <c r="E290" s="1">
        <v>45</v>
      </c>
      <c r="F290" s="1">
        <v>176</v>
      </c>
      <c r="G290" s="1">
        <v>0.45308301783573657</v>
      </c>
      <c r="H290" s="1">
        <v>2.2505791907020729</v>
      </c>
      <c r="I290" s="1">
        <v>1036.2652067753515</v>
      </c>
      <c r="J290" s="1" t="s">
        <v>16</v>
      </c>
      <c r="K290" s="1">
        <f t="shared" si="12"/>
        <v>0.52793473599363405</v>
      </c>
      <c r="L290" s="1">
        <f t="shared" si="13"/>
        <v>1.1238800624393939</v>
      </c>
      <c r="M290" s="1">
        <f t="shared" si="14"/>
        <v>516.85328383242313</v>
      </c>
    </row>
    <row r="291" spans="1:19" x14ac:dyDescent="0.3">
      <c r="A291" s="1">
        <v>291</v>
      </c>
      <c r="C291" s="1" t="s">
        <v>29</v>
      </c>
      <c r="D291" s="1">
        <v>19.899999999999999</v>
      </c>
      <c r="E291" s="1">
        <v>0</v>
      </c>
      <c r="F291" s="1">
        <v>177</v>
      </c>
      <c r="G291" s="1">
        <v>0.41016591083906362</v>
      </c>
      <c r="H291" s="1">
        <v>2.8078413133257509</v>
      </c>
      <c r="I291" s="1">
        <v>384.50665045429048</v>
      </c>
      <c r="J291" s="1" t="s">
        <v>16</v>
      </c>
      <c r="K291" s="1">
        <f t="shared" si="12"/>
        <v>0.47792749524528744</v>
      </c>
      <c r="L291" s="1">
        <f t="shared" si="13"/>
        <v>1.4021621116811422</v>
      </c>
      <c r="M291" s="1">
        <f t="shared" si="14"/>
        <v>191.77863315620172</v>
      </c>
      <c r="N291" s="1">
        <f>SLOPE(K291:K294,E291:E294)</f>
        <v>6.2401429992884E-4</v>
      </c>
      <c r="O291" s="1">
        <f>SLOPE(L291:L294,E291:E294)</f>
        <v>-4.5297532010167892E-3</v>
      </c>
      <c r="P291" s="1">
        <f>SLOPE(M291:M294,E291:E294)</f>
        <v>6.197197614696865</v>
      </c>
      <c r="Q291" s="1">
        <f>(N291*84.63/0.31*60)/1000</f>
        <v>1.02213542328344E-2</v>
      </c>
      <c r="R291" s="1">
        <f>O291*84.63/0.31*60/1000</f>
        <v>-7.4197357432655014E-2</v>
      </c>
      <c r="S291" s="1">
        <f>(P291*84.63/0.31*60)/1000</f>
        <v>101.51009692873465</v>
      </c>
    </row>
    <row r="292" spans="1:19" x14ac:dyDescent="0.3">
      <c r="A292" s="1">
        <v>292</v>
      </c>
      <c r="C292" s="1" t="s">
        <v>29</v>
      </c>
      <c r="D292" s="1">
        <v>19.899999999999999</v>
      </c>
      <c r="E292" s="1">
        <v>15</v>
      </c>
      <c r="F292" s="1">
        <v>178</v>
      </c>
      <c r="G292" s="1">
        <v>0.42136503015865351</v>
      </c>
      <c r="H292" s="1">
        <v>2.3861001349198934</v>
      </c>
      <c r="I292" s="1">
        <v>595.16827460699517</v>
      </c>
      <c r="J292" s="1" t="s">
        <v>16</v>
      </c>
      <c r="K292" s="1">
        <f t="shared" si="12"/>
        <v>0.49097676848795052</v>
      </c>
      <c r="L292" s="1">
        <f t="shared" si="13"/>
        <v>1.1915556580721147</v>
      </c>
      <c r="M292" s="1">
        <f t="shared" si="14"/>
        <v>296.84937326105705</v>
      </c>
    </row>
    <row r="293" spans="1:19" x14ac:dyDescent="0.3">
      <c r="A293" s="1">
        <v>293</v>
      </c>
      <c r="C293" s="1" t="s">
        <v>29</v>
      </c>
      <c r="D293" s="1">
        <v>19.899999999999999</v>
      </c>
      <c r="E293" s="1">
        <v>30</v>
      </c>
      <c r="F293" s="1">
        <v>179</v>
      </c>
      <c r="G293" s="1">
        <v>0.42550928257468079</v>
      </c>
      <c r="H293" s="1">
        <v>2.2646733689007266</v>
      </c>
      <c r="I293" s="1">
        <v>764.69264301899364</v>
      </c>
      <c r="J293" s="1" t="s">
        <v>16</v>
      </c>
      <c r="K293" s="1">
        <f t="shared" si="12"/>
        <v>0.49580567338841963</v>
      </c>
      <c r="L293" s="1">
        <f t="shared" si="13"/>
        <v>1.1309183243851968</v>
      </c>
      <c r="M293" s="1">
        <f t="shared" si="14"/>
        <v>381.40227142890376</v>
      </c>
    </row>
    <row r="294" spans="1:19" x14ac:dyDescent="0.3">
      <c r="A294" s="1">
        <v>294</v>
      </c>
      <c r="C294" s="1" t="s">
        <v>29</v>
      </c>
      <c r="D294" s="1">
        <v>19.899999999999999</v>
      </c>
      <c r="E294" s="1">
        <v>45</v>
      </c>
      <c r="F294" s="1">
        <v>180</v>
      </c>
      <c r="G294" s="1">
        <v>0.43556150413262595</v>
      </c>
      <c r="H294" s="1">
        <v>2.394773475349834</v>
      </c>
      <c r="I294" s="1">
        <v>949.25222463789851</v>
      </c>
      <c r="J294" s="1" t="s">
        <v>16</v>
      </c>
      <c r="K294" s="1">
        <f t="shared" si="12"/>
        <v>0.5075185752749064</v>
      </c>
      <c r="L294" s="1">
        <f t="shared" si="13"/>
        <v>1.1958868961926088</v>
      </c>
      <c r="M294" s="1">
        <f t="shared" si="14"/>
        <v>473.45421450176275</v>
      </c>
    </row>
    <row r="295" spans="1:19" x14ac:dyDescent="0.3">
      <c r="A295" s="1">
        <v>295</v>
      </c>
      <c r="C295" s="1" t="s">
        <v>29</v>
      </c>
      <c r="D295" s="1">
        <v>19.899999999999999</v>
      </c>
      <c r="E295" s="1">
        <v>0</v>
      </c>
      <c r="F295" s="1">
        <v>181</v>
      </c>
      <c r="G295" s="1">
        <v>0.41636301387047181</v>
      </c>
      <c r="H295" s="1">
        <v>2.7894104649121267</v>
      </c>
      <c r="I295" s="1">
        <v>395.00225085618109</v>
      </c>
      <c r="J295" s="1" t="s">
        <v>16</v>
      </c>
      <c r="K295" s="1">
        <f t="shared" si="12"/>
        <v>0.48514839257319825</v>
      </c>
      <c r="L295" s="1">
        <f t="shared" si="13"/>
        <v>1.3929582306750918</v>
      </c>
      <c r="M295" s="1">
        <f t="shared" si="14"/>
        <v>197.01347603044107</v>
      </c>
      <c r="N295" s="1">
        <f>SLOPE(K295:K298,E295:E298)</f>
        <v>7.8842915344698346E-3</v>
      </c>
      <c r="O295" s="1">
        <f>SLOPE(L295:L298,E295:E298)</f>
        <v>-2.0970411233392412E-3</v>
      </c>
      <c r="P295" s="1">
        <f>SLOPE(M295:M298,E295:E298)</f>
        <v>8.4376896206253402</v>
      </c>
      <c r="Q295" s="1">
        <f>(N295*84.63/0.31*60)/1000</f>
        <v>0.12914469533461587</v>
      </c>
      <c r="R295" s="1">
        <f>O295*84.63/0.31*60/1000</f>
        <v>-3.4349533600296765E-2</v>
      </c>
      <c r="S295" s="1">
        <f>(P295*84.63/0.31*60)/1000</f>
        <v>138.20935598584305</v>
      </c>
    </row>
    <row r="296" spans="1:19" x14ac:dyDescent="0.3">
      <c r="A296" s="1">
        <v>296</v>
      </c>
      <c r="C296" s="1" t="s">
        <v>29</v>
      </c>
      <c r="D296" s="1">
        <v>19.899999999999999</v>
      </c>
      <c r="E296" s="1">
        <v>15</v>
      </c>
      <c r="F296" s="1">
        <v>182</v>
      </c>
      <c r="G296" s="1">
        <v>0.42727299930057144</v>
      </c>
      <c r="H296" s="1">
        <v>2.2429900178258753</v>
      </c>
      <c r="I296" s="1">
        <v>565.72658992804088</v>
      </c>
      <c r="J296" s="1" t="s">
        <v>16</v>
      </c>
      <c r="K296" s="1">
        <f t="shared" si="12"/>
        <v>0.49786076547396813</v>
      </c>
      <c r="L296" s="1">
        <f t="shared" si="13"/>
        <v>1.1200902290839616</v>
      </c>
      <c r="M296" s="1">
        <f t="shared" si="14"/>
        <v>282.16487810635761</v>
      </c>
    </row>
    <row r="297" spans="1:19" x14ac:dyDescent="0.3">
      <c r="A297" s="1">
        <v>297</v>
      </c>
      <c r="C297" s="1" t="s">
        <v>29</v>
      </c>
      <c r="D297" s="1">
        <v>19.899999999999999</v>
      </c>
      <c r="E297" s="1">
        <v>30</v>
      </c>
      <c r="F297" s="1">
        <v>183</v>
      </c>
      <c r="G297" s="1">
        <v>0.45756459312283582</v>
      </c>
      <c r="H297" s="1">
        <v>2.640879510049396</v>
      </c>
      <c r="I297" s="1">
        <v>754.32571534423687</v>
      </c>
      <c r="J297" s="1" t="s">
        <v>16</v>
      </c>
      <c r="K297" s="1">
        <f t="shared" si="12"/>
        <v>0.5331566912929786</v>
      </c>
      <c r="L297" s="1">
        <f t="shared" si="13"/>
        <v>1.3187857778616299</v>
      </c>
      <c r="M297" s="1">
        <f t="shared" si="14"/>
        <v>376.2316060655217</v>
      </c>
    </row>
    <row r="298" spans="1:19" x14ac:dyDescent="0.3">
      <c r="A298" s="1">
        <v>298</v>
      </c>
      <c r="C298" s="1" t="s">
        <v>29</v>
      </c>
      <c r="D298" s="1">
        <v>19.899999999999999</v>
      </c>
      <c r="E298" s="1">
        <v>45</v>
      </c>
      <c r="F298" s="1">
        <v>184</v>
      </c>
      <c r="G298" s="1">
        <v>0.74458780521983048</v>
      </c>
      <c r="H298" s="1">
        <v>2.4468135179294772</v>
      </c>
      <c r="I298" s="1">
        <v>1177.9933417462885</v>
      </c>
      <c r="J298" s="1" t="s">
        <v>16</v>
      </c>
      <c r="K298" s="1">
        <f t="shared" si="12"/>
        <v>0.86759766069035316</v>
      </c>
      <c r="L298" s="1">
        <f t="shared" si="13"/>
        <v>1.2218743249155737</v>
      </c>
      <c r="M298" s="1">
        <f t="shared" si="14"/>
        <v>587.54238107532012</v>
      </c>
    </row>
    <row r="299" spans="1:19" x14ac:dyDescent="0.3">
      <c r="A299" s="1">
        <v>299</v>
      </c>
      <c r="C299" s="1" t="s">
        <v>29</v>
      </c>
      <c r="D299" s="1">
        <v>19.899999999999999</v>
      </c>
      <c r="E299" s="1">
        <v>0</v>
      </c>
      <c r="F299" s="1">
        <v>185</v>
      </c>
      <c r="G299" s="1">
        <v>0.42546109359309908</v>
      </c>
      <c r="H299" s="1">
        <v>2.4175409939784274</v>
      </c>
      <c r="I299" s="1">
        <v>405.82440704284301</v>
      </c>
      <c r="J299" s="1" t="s">
        <v>16</v>
      </c>
      <c r="K299" s="1">
        <f t="shared" si="12"/>
        <v>0.49574952333143751</v>
      </c>
      <c r="L299" s="1">
        <f t="shared" si="13"/>
        <v>1.2072563962589058</v>
      </c>
      <c r="M299" s="1">
        <f t="shared" si="14"/>
        <v>202.41119364814369</v>
      </c>
      <c r="N299" s="1">
        <f>SLOPE(K299:K302,E299:E302)</f>
        <v>9.7476498921097879E-4</v>
      </c>
      <c r="O299" s="1">
        <f>SLOPE(L299:L302,E299:E302)</f>
        <v>1.7108390575951834E-3</v>
      </c>
      <c r="P299" s="1">
        <f>SLOPE(M299:M302,E299:E302)</f>
        <v>8.3969433838078693</v>
      </c>
      <c r="Q299" s="1">
        <f>(N299*84.63/0.31*60)/1000</f>
        <v>1.5966650523275831E-2</v>
      </c>
      <c r="R299" s="1">
        <f>O299*84.63/0.31*60/1000</f>
        <v>2.8023543763409105E-2</v>
      </c>
      <c r="S299" s="1">
        <f>(P299*84.63/0.31*60)/1000</f>
        <v>137.5419326267729</v>
      </c>
    </row>
    <row r="300" spans="1:19" x14ac:dyDescent="0.3">
      <c r="A300" s="1">
        <v>300</v>
      </c>
      <c r="C300" s="1" t="s">
        <v>29</v>
      </c>
      <c r="D300" s="1">
        <v>19.899999999999999</v>
      </c>
      <c r="E300" s="1">
        <v>15</v>
      </c>
      <c r="F300" s="1">
        <v>186</v>
      </c>
      <c r="G300" s="1">
        <v>0.42451658955409749</v>
      </c>
      <c r="H300" s="1">
        <v>2.2364850125034197</v>
      </c>
      <c r="I300" s="1">
        <v>632.21432250087923</v>
      </c>
      <c r="J300" s="1" t="s">
        <v>16</v>
      </c>
      <c r="K300" s="1">
        <f t="shared" si="12"/>
        <v>0.49464898221458631</v>
      </c>
      <c r="L300" s="1">
        <f t="shared" si="13"/>
        <v>1.1168418004935909</v>
      </c>
      <c r="M300" s="1">
        <f t="shared" si="14"/>
        <v>315.32666206876485</v>
      </c>
    </row>
    <row r="301" spans="1:19" x14ac:dyDescent="0.3">
      <c r="A301" s="1">
        <v>301</v>
      </c>
      <c r="C301" s="1" t="s">
        <v>29</v>
      </c>
      <c r="D301" s="1">
        <v>19.899999999999999</v>
      </c>
      <c r="E301" s="1">
        <v>30</v>
      </c>
      <c r="F301" s="1">
        <v>187</v>
      </c>
      <c r="G301" s="1">
        <v>0.44623054465481704</v>
      </c>
      <c r="H301" s="1">
        <v>2.9422780899898284</v>
      </c>
      <c r="I301" s="1">
        <v>885.96181437565724</v>
      </c>
      <c r="J301" s="1" t="s">
        <v>16</v>
      </c>
      <c r="K301" s="1">
        <f t="shared" si="12"/>
        <v>0.51995019789076524</v>
      </c>
      <c r="L301" s="1">
        <f t="shared" si="13"/>
        <v>1.4692963025488011</v>
      </c>
      <c r="M301" s="1">
        <f t="shared" si="14"/>
        <v>441.8871444455043</v>
      </c>
    </row>
    <row r="302" spans="1:19" x14ac:dyDescent="0.3">
      <c r="A302" s="1">
        <v>302</v>
      </c>
      <c r="C302" s="1" t="s">
        <v>29</v>
      </c>
      <c r="D302" s="1">
        <v>19.899999999999999</v>
      </c>
      <c r="E302" s="1">
        <v>45</v>
      </c>
      <c r="F302" s="1">
        <v>188</v>
      </c>
      <c r="G302" s="1">
        <v>0.46005114457245222</v>
      </c>
      <c r="H302" s="1">
        <v>2.3535751083076164</v>
      </c>
      <c r="I302" s="1">
        <v>1163.0146665558502</v>
      </c>
      <c r="J302" s="1" t="s">
        <v>16</v>
      </c>
      <c r="K302" s="1">
        <f t="shared" si="12"/>
        <v>0.53605403423326015</v>
      </c>
      <c r="L302" s="1">
        <f t="shared" si="13"/>
        <v>1.1753135151202616</v>
      </c>
      <c r="M302" s="1">
        <f t="shared" si="14"/>
        <v>580.07153537962404</v>
      </c>
    </row>
    <row r="303" spans="1:19" x14ac:dyDescent="0.3">
      <c r="A303" s="1">
        <v>303</v>
      </c>
      <c r="C303" s="1" t="s">
        <v>29</v>
      </c>
      <c r="D303" s="1">
        <v>19.899999999999999</v>
      </c>
      <c r="E303" s="1">
        <v>0</v>
      </c>
      <c r="F303" s="1">
        <v>189</v>
      </c>
      <c r="G303" s="1">
        <v>0.44730997784224741</v>
      </c>
      <c r="H303" s="1">
        <v>2.7406229249937115</v>
      </c>
      <c r="I303" s="1">
        <v>383.25209136473597</v>
      </c>
      <c r="J303" s="1" t="s">
        <v>16</v>
      </c>
      <c r="K303" s="1">
        <f t="shared" si="12"/>
        <v>0.52120795916716656</v>
      </c>
      <c r="L303" s="1">
        <f t="shared" si="13"/>
        <v>1.3685950162473124</v>
      </c>
      <c r="M303" s="1">
        <f t="shared" si="14"/>
        <v>191.15290242534397</v>
      </c>
      <c r="N303" s="1">
        <f>SLOPE(K303:K306,E303:E306)</f>
        <v>4.6469787158467984E-4</v>
      </c>
      <c r="O303" s="1">
        <f>SLOPE(L303:L306,E303:E306)</f>
        <v>-1.7685888992016925E-4</v>
      </c>
      <c r="P303" s="1">
        <f>SLOPE(M303:M306,E303:E306)</f>
        <v>6.4586172502103274</v>
      </c>
      <c r="Q303" s="1">
        <f>(N303*84.63/0.31*60)/1000</f>
        <v>7.6117511365570547E-3</v>
      </c>
      <c r="R303" s="1">
        <f>O303*84.63/0.31*60/1000</f>
        <v>-2.8969486168923721E-3</v>
      </c>
      <c r="S303" s="1">
        <f>(P303*84.63/0.31*60)/1000</f>
        <v>105.79215055844516</v>
      </c>
    </row>
    <row r="304" spans="1:19" x14ac:dyDescent="0.3">
      <c r="A304" s="1">
        <v>304</v>
      </c>
      <c r="C304" s="1" t="s">
        <v>29</v>
      </c>
      <c r="D304" s="1">
        <v>19.899999999999999</v>
      </c>
      <c r="E304" s="1">
        <v>15</v>
      </c>
      <c r="F304" s="1">
        <v>190</v>
      </c>
      <c r="G304" s="1">
        <v>0.43388452757358242</v>
      </c>
      <c r="H304" s="1">
        <v>2.2429900178258753</v>
      </c>
      <c r="I304" s="1">
        <v>575.54665851247898</v>
      </c>
      <c r="J304" s="1" t="s">
        <v>16</v>
      </c>
      <c r="K304" s="1">
        <f t="shared" si="12"/>
        <v>0.50556455329192596</v>
      </c>
      <c r="L304" s="1">
        <f t="shared" si="13"/>
        <v>1.1200902290839616</v>
      </c>
      <c r="M304" s="1">
        <f t="shared" si="14"/>
        <v>287.06278904859653</v>
      </c>
    </row>
    <row r="305" spans="1:19" x14ac:dyDescent="0.3">
      <c r="A305" s="1">
        <v>305</v>
      </c>
      <c r="C305" s="1" t="s">
        <v>29</v>
      </c>
      <c r="D305" s="1">
        <v>19.899999999999999</v>
      </c>
      <c r="E305" s="1">
        <v>30</v>
      </c>
      <c r="F305" s="1">
        <v>191</v>
      </c>
      <c r="G305" s="1">
        <v>0.45218670277831668</v>
      </c>
      <c r="H305" s="1">
        <v>2.4045309833335171</v>
      </c>
      <c r="I305" s="1">
        <v>779.09716490426695</v>
      </c>
      <c r="J305" s="1" t="s">
        <v>16</v>
      </c>
      <c r="K305" s="1">
        <f t="shared" si="12"/>
        <v>0.52689034493376508</v>
      </c>
      <c r="L305" s="1">
        <f t="shared" si="13"/>
        <v>1.2007595390781649</v>
      </c>
      <c r="M305" s="1">
        <f t="shared" si="14"/>
        <v>388.5867492920629</v>
      </c>
    </row>
    <row r="306" spans="1:19" x14ac:dyDescent="0.3">
      <c r="A306" s="1">
        <v>306</v>
      </c>
      <c r="C306" s="1" t="s">
        <v>29</v>
      </c>
      <c r="D306" s="1">
        <v>19.899999999999999</v>
      </c>
      <c r="E306" s="1">
        <v>45</v>
      </c>
      <c r="F306" s="1">
        <v>192</v>
      </c>
      <c r="G306" s="1">
        <v>0.46114985335251518</v>
      </c>
      <c r="H306" s="1">
        <v>2.6690678664467029</v>
      </c>
      <c r="I306" s="1">
        <v>962.86228991245923</v>
      </c>
      <c r="J306" s="1" t="s">
        <v>16</v>
      </c>
      <c r="K306" s="1">
        <f t="shared" si="12"/>
        <v>0.53733425553245417</v>
      </c>
      <c r="L306" s="1">
        <f t="shared" si="13"/>
        <v>1.3328623017532362</v>
      </c>
      <c r="M306" s="1">
        <f t="shared" si="14"/>
        <v>480.2424448547049</v>
      </c>
    </row>
    <row r="307" spans="1:19" x14ac:dyDescent="0.3">
      <c r="A307" s="1">
        <v>307</v>
      </c>
      <c r="C307" s="1" t="s">
        <v>29</v>
      </c>
      <c r="D307" s="1">
        <v>19.899999999999999</v>
      </c>
      <c r="E307" s="1">
        <v>0</v>
      </c>
      <c r="F307" s="1">
        <v>193</v>
      </c>
      <c r="G307" s="1">
        <v>0.41959167563644656</v>
      </c>
      <c r="H307" s="1">
        <v>2.3514067732001314</v>
      </c>
      <c r="I307" s="1">
        <v>388.37268102862862</v>
      </c>
      <c r="J307" s="1" t="s">
        <v>129</v>
      </c>
      <c r="K307" s="1">
        <f t="shared" si="12"/>
        <v>0.48891044639100567</v>
      </c>
      <c r="L307" s="1">
        <f t="shared" si="13"/>
        <v>1.1742307055901382</v>
      </c>
      <c r="M307" s="1">
        <f t="shared" si="14"/>
        <v>193.70687564150251</v>
      </c>
      <c r="N307" s="1">
        <f>SLOPE(K307:K310,E307:E310)</f>
        <v>5.8667825537280956E-3</v>
      </c>
      <c r="O307" s="1">
        <f>SLOPE(L307:L310,E307:E310)</f>
        <v>3.4974747822990185E-3</v>
      </c>
      <c r="P307" s="1">
        <f>SLOPE(M307:M310,E307:E310)</f>
        <v>2.4074572553868951</v>
      </c>
      <c r="Q307" s="1">
        <f>(N307*84.63/0.31*60)/1000</f>
        <v>9.6097898230066189E-2</v>
      </c>
      <c r="R307" s="1">
        <f>O307*84.63/0.31*60/1000</f>
        <v>5.7288636934057918E-2</v>
      </c>
      <c r="S307" s="1">
        <f>(P307*84.63/0.31*60)/1000</f>
        <v>39.434149843237336</v>
      </c>
    </row>
    <row r="308" spans="1:19" x14ac:dyDescent="0.3">
      <c r="A308" s="1">
        <v>308</v>
      </c>
      <c r="C308" s="1" t="s">
        <v>29</v>
      </c>
      <c r="D308" s="1">
        <v>19.899999999999999</v>
      </c>
      <c r="E308" s="1">
        <v>15</v>
      </c>
      <c r="F308" s="1">
        <v>194</v>
      </c>
      <c r="G308" s="1">
        <v>0.57859603926346448</v>
      </c>
      <c r="H308" s="1">
        <v>2.812177983540721</v>
      </c>
      <c r="I308" s="1">
        <v>537.30551392567054</v>
      </c>
      <c r="J308" s="1" t="s">
        <v>129</v>
      </c>
      <c r="K308" s="1">
        <f t="shared" si="12"/>
        <v>0.67418317440947007</v>
      </c>
      <c r="L308" s="1">
        <f t="shared" si="13"/>
        <v>1.4043277307413893</v>
      </c>
      <c r="M308" s="1">
        <f t="shared" si="14"/>
        <v>267.98942729913921</v>
      </c>
    </row>
    <row r="309" spans="1:19" x14ac:dyDescent="0.3">
      <c r="A309" s="1">
        <v>309</v>
      </c>
      <c r="C309" s="1" t="s">
        <v>29</v>
      </c>
      <c r="D309" s="1">
        <v>19.899999999999999</v>
      </c>
      <c r="E309" s="1">
        <v>30</v>
      </c>
      <c r="F309" s="1">
        <v>195</v>
      </c>
      <c r="G309" s="1">
        <v>0.62216851640964865</v>
      </c>
      <c r="H309" s="1">
        <v>2.7829054595896725</v>
      </c>
      <c r="I309" s="1">
        <v>572.2820754581528</v>
      </c>
      <c r="J309" s="1" t="s">
        <v>129</v>
      </c>
      <c r="K309" s="1">
        <f t="shared" si="12"/>
        <v>0.72495405593277451</v>
      </c>
      <c r="L309" s="1">
        <f t="shared" si="13"/>
        <v>1.3897098020847218</v>
      </c>
      <c r="M309" s="1">
        <f t="shared" si="14"/>
        <v>285.43452780722691</v>
      </c>
    </row>
    <row r="310" spans="1:19" x14ac:dyDescent="0.3">
      <c r="A310" s="1">
        <v>310</v>
      </c>
      <c r="C310" s="1" t="s">
        <v>29</v>
      </c>
      <c r="D310" s="1">
        <v>19.899999999999999</v>
      </c>
      <c r="E310" s="1">
        <v>45</v>
      </c>
      <c r="F310" s="1">
        <v>196</v>
      </c>
      <c r="G310" s="1">
        <v>0.65681639416689974</v>
      </c>
      <c r="H310" s="1">
        <v>2.7113504010426626</v>
      </c>
      <c r="I310" s="1">
        <v>618.05544854922505</v>
      </c>
      <c r="J310" s="1" t="s">
        <v>129</v>
      </c>
      <c r="K310" s="1">
        <f t="shared" si="12"/>
        <v>0.76532594690297562</v>
      </c>
      <c r="L310" s="1">
        <f t="shared" si="13"/>
        <v>1.3539770875906449</v>
      </c>
      <c r="M310" s="1">
        <f t="shared" si="14"/>
        <v>308.26470490815137</v>
      </c>
    </row>
    <row r="311" spans="1:19" x14ac:dyDescent="0.3">
      <c r="A311" s="1">
        <v>311</v>
      </c>
      <c r="C311" s="1" t="s">
        <v>29</v>
      </c>
      <c r="D311" s="1">
        <v>19.899999999999999</v>
      </c>
      <c r="F311" s="1" t="s">
        <v>175</v>
      </c>
      <c r="G311" s="1">
        <v>0.41852188024533249</v>
      </c>
      <c r="H311" s="1">
        <v>2.3069559034966862</v>
      </c>
      <c r="I311" s="1">
        <v>399.82552853692357</v>
      </c>
      <c r="K311" s="1">
        <f t="shared" si="12"/>
        <v>0.48766391512600077</v>
      </c>
      <c r="L311" s="1">
        <f t="shared" si="13"/>
        <v>1.1520331102226058</v>
      </c>
      <c r="M311" s="1">
        <f t="shared" si="14"/>
        <v>199.41916030105827</v>
      </c>
    </row>
    <row r="312" spans="1:19" x14ac:dyDescent="0.3">
      <c r="A312" s="1">
        <v>312</v>
      </c>
      <c r="C312" s="1" t="s">
        <v>29</v>
      </c>
      <c r="D312" s="1">
        <v>19.899999999999999</v>
      </c>
      <c r="F312" s="1" t="s">
        <v>176</v>
      </c>
      <c r="G312" s="1">
        <v>0.42463224310989367</v>
      </c>
      <c r="H312" s="1">
        <v>2.6495528504793366</v>
      </c>
      <c r="I312" s="1">
        <v>401.4173661385106</v>
      </c>
      <c r="K312" s="1">
        <f t="shared" si="12"/>
        <v>0.49478374235134365</v>
      </c>
      <c r="L312" s="1">
        <f t="shared" si="13"/>
        <v>1.3231170159821242</v>
      </c>
      <c r="M312" s="1">
        <f t="shared" si="14"/>
        <v>200.21311390128423</v>
      </c>
    </row>
    <row r="313" spans="1:19" x14ac:dyDescent="0.3">
      <c r="A313" s="1">
        <v>313</v>
      </c>
      <c r="C313" s="1" t="s">
        <v>29</v>
      </c>
      <c r="D313" s="1">
        <v>19.899999999999999</v>
      </c>
      <c r="F313" s="1" t="s">
        <v>177</v>
      </c>
      <c r="G313" s="1">
        <v>0.40591564266355651</v>
      </c>
      <c r="H313" s="1">
        <v>2.5953444727922084</v>
      </c>
      <c r="I313" s="1">
        <v>391.87901284302444</v>
      </c>
      <c r="K313" s="1">
        <f t="shared" si="12"/>
        <v>0.47297506021945745</v>
      </c>
      <c r="L313" s="1">
        <f t="shared" si="13"/>
        <v>1.2960467777290359</v>
      </c>
      <c r="M313" s="1">
        <f t="shared" si="14"/>
        <v>195.45571281236147</v>
      </c>
    </row>
    <row r="314" spans="1:19" x14ac:dyDescent="0.3">
      <c r="A314" s="1">
        <v>314</v>
      </c>
      <c r="B314" s="1" t="s">
        <v>178</v>
      </c>
      <c r="C314" s="1" t="s">
        <v>29</v>
      </c>
      <c r="D314" s="1">
        <v>15.9</v>
      </c>
      <c r="E314" s="1">
        <v>0</v>
      </c>
      <c r="F314" s="1">
        <v>465</v>
      </c>
      <c r="G314" s="1">
        <v>0.39512859817542756</v>
      </c>
      <c r="H314" s="1">
        <v>1.8718438287153654</v>
      </c>
      <c r="I314" s="1">
        <v>400.95866186882893</v>
      </c>
      <c r="J314" s="1" t="s">
        <v>129</v>
      </c>
      <c r="K314" s="1">
        <f t="shared" si="12"/>
        <v>0.46677723699216411</v>
      </c>
      <c r="L314" s="1">
        <f t="shared" si="13"/>
        <v>0.94768505510416323</v>
      </c>
      <c r="M314" s="1">
        <f t="shared" si="14"/>
        <v>202.75179843525154</v>
      </c>
      <c r="N314" s="1">
        <f>SLOPE(K314:K317,E314:E317)</f>
        <v>4.6210795032340232E-3</v>
      </c>
      <c r="O314" s="1">
        <f>SLOPE(L314:L317,E314:E317)</f>
        <v>2.776631181390393E-3</v>
      </c>
      <c r="P314" s="1">
        <f>SLOPE(M314:M317,E314:E317)</f>
        <v>11.91102621772686</v>
      </c>
      <c r="Q314" s="1">
        <f>(N314*84.63/0.31*60)/1000</f>
        <v>7.5693282262973297E-2</v>
      </c>
      <c r="R314" s="1">
        <f>O314*84.63/0.31*60/1000</f>
        <v>4.548121875117464E-2</v>
      </c>
      <c r="S314" s="1">
        <f>(P314*84.63/0.31*60)/1000</f>
        <v>195.10260944636596</v>
      </c>
    </row>
    <row r="315" spans="1:19" x14ac:dyDescent="0.3">
      <c r="A315" s="1">
        <v>315</v>
      </c>
      <c r="B315" s="1" t="s">
        <v>179</v>
      </c>
      <c r="C315" s="1" t="s">
        <v>29</v>
      </c>
      <c r="D315" s="1">
        <v>15.9</v>
      </c>
      <c r="E315" s="1">
        <v>15</v>
      </c>
      <c r="F315" s="1">
        <v>466</v>
      </c>
      <c r="G315" s="1">
        <v>0.46126274435094161</v>
      </c>
      <c r="H315" s="1">
        <v>1.9677632241813603</v>
      </c>
      <c r="I315" s="1">
        <v>824.04475068197075</v>
      </c>
      <c r="J315" s="1" t="s">
        <v>129</v>
      </c>
      <c r="K315" s="1">
        <f t="shared" si="12"/>
        <v>0.54490348289081414</v>
      </c>
      <c r="L315" s="1">
        <f t="shared" si="13"/>
        <v>0.99624753461407745</v>
      </c>
      <c r="M315" s="1">
        <f t="shared" si="14"/>
        <v>416.69271942691211</v>
      </c>
    </row>
    <row r="316" spans="1:19" x14ac:dyDescent="0.3">
      <c r="A316" s="1">
        <v>316</v>
      </c>
      <c r="C316" s="1" t="s">
        <v>29</v>
      </c>
      <c r="D316" s="1">
        <v>15.9</v>
      </c>
      <c r="E316" s="1">
        <v>30</v>
      </c>
      <c r="F316" s="1">
        <v>467</v>
      </c>
      <c r="G316" s="1">
        <v>0.54439869716852685</v>
      </c>
      <c r="H316" s="1">
        <v>2.1065642317380355</v>
      </c>
      <c r="I316" s="1">
        <v>1316.194888700833</v>
      </c>
      <c r="J316" s="1" t="s">
        <v>129</v>
      </c>
      <c r="K316" s="1">
        <f t="shared" si="12"/>
        <v>0.64311447174380132</v>
      </c>
      <c r="L316" s="1">
        <f t="shared" si="13"/>
        <v>1.0665202990813654</v>
      </c>
      <c r="M316" s="1">
        <f t="shared" si="14"/>
        <v>665.55709142575279</v>
      </c>
    </row>
    <row r="317" spans="1:19" x14ac:dyDescent="0.3">
      <c r="A317" s="1">
        <v>317</v>
      </c>
      <c r="C317" s="1" t="s">
        <v>29</v>
      </c>
      <c r="D317" s="1">
        <v>15.9</v>
      </c>
      <c r="E317" s="1">
        <v>45</v>
      </c>
      <c r="F317" s="1">
        <v>468</v>
      </c>
      <c r="G317" s="1">
        <v>0.56300462907004767</v>
      </c>
      <c r="H317" s="1">
        <v>2.0997934508816121</v>
      </c>
      <c r="I317" s="1">
        <v>1414.6612105625716</v>
      </c>
      <c r="J317" s="1" t="s">
        <v>129</v>
      </c>
      <c r="K317" s="1">
        <f t="shared" si="12"/>
        <v>0.66509421586953621</v>
      </c>
      <c r="L317" s="1">
        <f t="shared" si="13"/>
        <v>1.0630923593512536</v>
      </c>
      <c r="M317" s="1">
        <f t="shared" si="14"/>
        <v>715.3483186553143</v>
      </c>
    </row>
    <row r="318" spans="1:19" x14ac:dyDescent="0.3">
      <c r="A318" s="1">
        <v>318</v>
      </c>
      <c r="C318" s="1" t="s">
        <v>29</v>
      </c>
      <c r="D318" s="1">
        <v>15.9</v>
      </c>
      <c r="E318" s="1">
        <v>0</v>
      </c>
      <c r="F318" s="1">
        <v>469</v>
      </c>
      <c r="G318" s="1">
        <v>0.39619481316823546</v>
      </c>
      <c r="H318" s="1">
        <v>1.8932846347607055</v>
      </c>
      <c r="I318" s="1">
        <v>471.55884101981263</v>
      </c>
      <c r="J318" s="1" t="s">
        <v>16</v>
      </c>
      <c r="K318" s="1">
        <f t="shared" si="12"/>
        <v>0.46803678866896159</v>
      </c>
      <c r="L318" s="1">
        <f t="shared" si="13"/>
        <v>0.95854019758284992</v>
      </c>
      <c r="M318" s="1">
        <f t="shared" si="14"/>
        <v>238.45202056287761</v>
      </c>
      <c r="N318" s="1">
        <f>SLOPE(K318:K321,E318:E321)</f>
        <v>2.0167956578629945E-4</v>
      </c>
      <c r="O318" s="1">
        <f>SLOPE(L318:L321,E318:E321)</f>
        <v>-1.1426465767038355E-4</v>
      </c>
      <c r="P318" s="1">
        <f>SLOPE(M318:M321,E318:E321)</f>
        <v>6.4171314201864798</v>
      </c>
      <c r="Q318" s="1">
        <f>(N318*84.63/0.31*60)/1000</f>
        <v>3.303511287579585E-3</v>
      </c>
      <c r="R318" s="1">
        <f>O318*84.63/0.31*60/1000</f>
        <v>-1.8716550926408824E-3</v>
      </c>
      <c r="S318" s="1">
        <f>(P318*84.63/0.31*60)/1000</f>
        <v>105.11261266265454</v>
      </c>
    </row>
    <row r="319" spans="1:19" x14ac:dyDescent="0.3">
      <c r="A319" s="1">
        <v>319</v>
      </c>
      <c r="C319" s="1" t="s">
        <v>29</v>
      </c>
      <c r="D319" s="1">
        <v>15.9</v>
      </c>
      <c r="E319" s="1">
        <v>15</v>
      </c>
      <c r="F319" s="1">
        <v>470</v>
      </c>
      <c r="G319" s="1">
        <v>0.39787578275149105</v>
      </c>
      <c r="H319" s="1">
        <v>1.8718438287153654</v>
      </c>
      <c r="I319" s="1">
        <v>610.15680293302944</v>
      </c>
      <c r="J319" s="1" t="s">
        <v>16</v>
      </c>
      <c r="K319" s="1">
        <f t="shared" si="12"/>
        <v>0.47002256833958805</v>
      </c>
      <c r="L319" s="1">
        <f t="shared" si="13"/>
        <v>0.94768505510416323</v>
      </c>
      <c r="M319" s="1">
        <f t="shared" si="14"/>
        <v>308.53651731969859</v>
      </c>
    </row>
    <row r="320" spans="1:19" x14ac:dyDescent="0.3">
      <c r="A320" s="1">
        <v>320</v>
      </c>
      <c r="C320" s="1" t="s">
        <v>29</v>
      </c>
      <c r="D320" s="1">
        <v>15.9</v>
      </c>
      <c r="E320" s="1">
        <v>30</v>
      </c>
      <c r="F320" s="1">
        <v>471</v>
      </c>
      <c r="G320" s="1">
        <v>0.40106482218943884</v>
      </c>
      <c r="H320" s="1">
        <v>1.8583022670025191</v>
      </c>
      <c r="I320" s="1">
        <v>794.60422191620478</v>
      </c>
      <c r="J320" s="1" t="s">
        <v>16</v>
      </c>
      <c r="K320" s="1">
        <f t="shared" si="12"/>
        <v>0.47378987605757666</v>
      </c>
      <c r="L320" s="1">
        <f t="shared" si="13"/>
        <v>0.94082917564394009</v>
      </c>
      <c r="M320" s="1">
        <f t="shared" si="14"/>
        <v>401.80559832988354</v>
      </c>
    </row>
    <row r="321" spans="1:19" x14ac:dyDescent="0.3">
      <c r="A321" s="1">
        <v>321</v>
      </c>
      <c r="C321" s="1" t="s">
        <v>29</v>
      </c>
      <c r="D321" s="1">
        <v>15.9</v>
      </c>
      <c r="E321" s="1">
        <v>45</v>
      </c>
      <c r="F321" s="1">
        <v>472</v>
      </c>
      <c r="G321" s="1">
        <v>0.40366792365836618</v>
      </c>
      <c r="H321" s="1">
        <v>1.8865138539042825</v>
      </c>
      <c r="I321" s="1">
        <v>1044.5971089341811</v>
      </c>
      <c r="J321" s="1" t="s">
        <v>16</v>
      </c>
      <c r="K321" s="1">
        <f t="shared" si="12"/>
        <v>0.47686499771894703</v>
      </c>
      <c r="L321" s="1">
        <f t="shared" si="13"/>
        <v>0.95511225785273846</v>
      </c>
      <c r="M321" s="1">
        <f t="shared" si="14"/>
        <v>528.21889790213993</v>
      </c>
    </row>
    <row r="322" spans="1:19" x14ac:dyDescent="0.3">
      <c r="A322" s="1">
        <v>322</v>
      </c>
      <c r="C322" s="1" t="s">
        <v>29</v>
      </c>
      <c r="D322" s="1">
        <v>15.9</v>
      </c>
      <c r="E322" s="1">
        <v>0</v>
      </c>
      <c r="F322" s="1">
        <v>473</v>
      </c>
      <c r="G322" s="1">
        <v>0.39463871561116454</v>
      </c>
      <c r="H322" s="1">
        <v>1.8842569269521412</v>
      </c>
      <c r="I322" s="1">
        <v>417.89729015414679</v>
      </c>
      <c r="J322" s="1" t="s">
        <v>16</v>
      </c>
      <c r="K322" s="1">
        <f t="shared" si="12"/>
        <v>0.46619852405958156</v>
      </c>
      <c r="L322" s="1">
        <f t="shared" si="13"/>
        <v>0.95396961127603441</v>
      </c>
      <c r="M322" s="1">
        <f t="shared" si="14"/>
        <v>211.31711370208561</v>
      </c>
      <c r="N322" s="1">
        <f>SLOPE(K322:K325,E322:E325)</f>
        <v>1.9767018207036562E-4</v>
      </c>
      <c r="O322" s="1">
        <f>SLOPE(L322:L325,E322:E325)</f>
        <v>-2.0948520572904082E-4</v>
      </c>
      <c r="P322" s="1">
        <f>SLOPE(M322:M325,E322:E325)</f>
        <v>6.2082696035049478</v>
      </c>
      <c r="Q322" s="1">
        <f>(N322*84.63/0.31*60)/1000</f>
        <v>3.2378375823125883E-3</v>
      </c>
      <c r="R322" s="1">
        <f>O322*84.63/0.31*60/1000</f>
        <v>-3.4313676698416885E-3</v>
      </c>
      <c r="S322" s="1">
        <f>(P322*84.63/0.31*60)/1000</f>
        <v>101.69145610541104</v>
      </c>
    </row>
    <row r="323" spans="1:19" x14ac:dyDescent="0.3">
      <c r="A323" s="1">
        <v>323</v>
      </c>
      <c r="C323" s="1" t="s">
        <v>29</v>
      </c>
      <c r="D323" s="1">
        <v>15.9</v>
      </c>
      <c r="E323" s="1">
        <v>15</v>
      </c>
      <c r="F323" s="1">
        <v>474</v>
      </c>
      <c r="G323" s="1">
        <v>0.39705931181105264</v>
      </c>
      <c r="H323" s="1">
        <v>1.8887707808564234</v>
      </c>
      <c r="I323" s="1">
        <v>604.95397200730974</v>
      </c>
      <c r="J323" s="1" t="s">
        <v>16</v>
      </c>
      <c r="K323" s="1">
        <f t="shared" ref="K323:K348" si="15">(G323*28*1)/(0.082*(D323+273.15))</f>
        <v>0.46905804678528379</v>
      </c>
      <c r="L323" s="1">
        <f t="shared" ref="L323:L348" si="16">(H323*12*1)/(0.082*(D323+273.15))</f>
        <v>0.95625490442944228</v>
      </c>
      <c r="M323" s="1">
        <f t="shared" ref="M323:M348" si="17">(I323*12*1)/(0.0821*(D323+273.15))</f>
        <v>305.90561436768974</v>
      </c>
    </row>
    <row r="324" spans="1:19" x14ac:dyDescent="0.3">
      <c r="A324" s="1">
        <v>324</v>
      </c>
      <c r="C324" s="1" t="s">
        <v>29</v>
      </c>
      <c r="D324" s="1">
        <v>15.9</v>
      </c>
      <c r="E324" s="1">
        <v>30</v>
      </c>
      <c r="F324" s="1">
        <v>475</v>
      </c>
      <c r="G324" s="1">
        <v>0.40017150692519443</v>
      </c>
      <c r="H324" s="1">
        <v>1.8774861460957182</v>
      </c>
      <c r="I324" s="1">
        <v>764.57415668996407</v>
      </c>
      <c r="J324" s="1" t="s">
        <v>16</v>
      </c>
      <c r="K324" s="1">
        <f t="shared" si="15"/>
        <v>0.47273457600404373</v>
      </c>
      <c r="L324" s="1">
        <f t="shared" si="16"/>
        <v>0.95054167154592295</v>
      </c>
      <c r="M324" s="1">
        <f t="shared" si="17"/>
        <v>386.62036775431841</v>
      </c>
    </row>
    <row r="325" spans="1:19" x14ac:dyDescent="0.3">
      <c r="A325" s="1">
        <v>325</v>
      </c>
      <c r="C325" s="1" t="s">
        <v>29</v>
      </c>
      <c r="D325" s="1">
        <v>15.9</v>
      </c>
      <c r="E325" s="1">
        <v>45</v>
      </c>
      <c r="F325" s="1">
        <v>476</v>
      </c>
      <c r="G325" s="1">
        <v>0.40196774299415899</v>
      </c>
      <c r="H325" s="1">
        <v>1.8673299748110832</v>
      </c>
      <c r="I325" s="1">
        <v>978.5592161021118</v>
      </c>
      <c r="J325" s="1" t="s">
        <v>16</v>
      </c>
      <c r="K325" s="1">
        <f t="shared" si="15"/>
        <v>0.4748565234235132</v>
      </c>
      <c r="L325" s="1">
        <f t="shared" si="16"/>
        <v>0.94539976195075548</v>
      </c>
      <c r="M325" s="1">
        <f t="shared" si="17"/>
        <v>494.82567608179011</v>
      </c>
    </row>
    <row r="326" spans="1:19" x14ac:dyDescent="0.3">
      <c r="A326" s="1">
        <v>326</v>
      </c>
      <c r="C326" s="1" t="s">
        <v>29</v>
      </c>
      <c r="D326" s="1">
        <v>15.9</v>
      </c>
      <c r="E326" s="1">
        <v>0</v>
      </c>
      <c r="F326" s="1">
        <v>477</v>
      </c>
      <c r="G326" s="1">
        <v>0.39338999534931751</v>
      </c>
      <c r="H326" s="1">
        <v>1.8898992443324938</v>
      </c>
      <c r="I326" s="1">
        <v>403.28051345276145</v>
      </c>
      <c r="J326" s="1" t="s">
        <v>16</v>
      </c>
      <c r="K326" s="1">
        <f t="shared" si="15"/>
        <v>0.46472337344711612</v>
      </c>
      <c r="L326" s="1">
        <f t="shared" si="16"/>
        <v>0.95682622771779413</v>
      </c>
      <c r="M326" s="1">
        <f t="shared" si="17"/>
        <v>203.9258835196039</v>
      </c>
      <c r="N326" s="1">
        <f>SLOPE(K326:K329,E326:E329)</f>
        <v>3.1386666108302989E-4</v>
      </c>
      <c r="O326" s="1">
        <f>SLOPE(L326:L329,E326:E329)</f>
        <v>-4.951468499050075E-4</v>
      </c>
      <c r="P326" s="1">
        <f>SLOPE(M326:M329,E326:E329)</f>
        <v>5.6177879725026241</v>
      </c>
      <c r="Q326" s="1">
        <f>(N326*84.63/0.31*60)/1000</f>
        <v>5.1411359085400295E-3</v>
      </c>
      <c r="R326" s="1">
        <f>O326*84.63/0.31*60/1000</f>
        <v>-8.1105054014440226E-3</v>
      </c>
      <c r="S326" s="1">
        <f>(P326*84.63/0.31*60)/1000</f>
        <v>92.019366989592982</v>
      </c>
    </row>
    <row r="327" spans="1:19" x14ac:dyDescent="0.3">
      <c r="A327" s="1">
        <v>327</v>
      </c>
      <c r="C327" s="1" t="s">
        <v>29</v>
      </c>
      <c r="D327" s="1">
        <v>15.9</v>
      </c>
      <c r="E327" s="1">
        <v>15</v>
      </c>
      <c r="F327" s="1">
        <v>478</v>
      </c>
      <c r="G327" s="1">
        <v>0.40071902273231197</v>
      </c>
      <c r="H327" s="1">
        <v>1.856045340050378</v>
      </c>
      <c r="I327" s="1">
        <v>617.92083136007898</v>
      </c>
      <c r="J327" s="1" t="s">
        <v>16</v>
      </c>
      <c r="K327" s="1">
        <f t="shared" si="15"/>
        <v>0.47338137281104781</v>
      </c>
      <c r="L327" s="1">
        <f t="shared" si="16"/>
        <v>0.93968652906723615</v>
      </c>
      <c r="M327" s="1">
        <f t="shared" si="17"/>
        <v>312.46253482821095</v>
      </c>
    </row>
    <row r="328" spans="1:19" x14ac:dyDescent="0.3">
      <c r="A328" s="1">
        <v>328</v>
      </c>
      <c r="C328" s="1" t="s">
        <v>29</v>
      </c>
      <c r="D328" s="1">
        <v>15.9</v>
      </c>
      <c r="E328" s="1">
        <v>30</v>
      </c>
      <c r="F328" s="1">
        <v>479</v>
      </c>
      <c r="G328" s="1">
        <v>0.40290908596078218</v>
      </c>
      <c r="H328" s="1">
        <v>1.8549168765743076</v>
      </c>
      <c r="I328" s="1">
        <v>760.26494925092072</v>
      </c>
      <c r="J328" s="1" t="s">
        <v>16</v>
      </c>
      <c r="K328" s="1">
        <f t="shared" si="15"/>
        <v>0.47596856003906413</v>
      </c>
      <c r="L328" s="1">
        <f t="shared" si="16"/>
        <v>0.9391152057788843</v>
      </c>
      <c r="M328" s="1">
        <f t="shared" si="17"/>
        <v>384.44134123316934</v>
      </c>
    </row>
    <row r="329" spans="1:19" x14ac:dyDescent="0.3">
      <c r="A329" s="1">
        <v>329</v>
      </c>
      <c r="C329" s="1" t="s">
        <v>29</v>
      </c>
      <c r="D329" s="1">
        <v>15.9</v>
      </c>
      <c r="E329" s="1">
        <v>45</v>
      </c>
      <c r="F329" s="1">
        <v>480</v>
      </c>
      <c r="G329" s="1">
        <v>0.40594443675111808</v>
      </c>
      <c r="H329" s="1">
        <v>1.8413753148614613</v>
      </c>
      <c r="I329" s="1">
        <v>911.31478442414596</v>
      </c>
      <c r="J329" s="1" t="s">
        <v>16</v>
      </c>
      <c r="K329" s="1">
        <f t="shared" si="15"/>
        <v>0.4795543107585955</v>
      </c>
      <c r="L329" s="1">
        <f t="shared" si="16"/>
        <v>0.93225932631866104</v>
      </c>
      <c r="M329" s="1">
        <f t="shared" si="17"/>
        <v>460.82234667641563</v>
      </c>
    </row>
    <row r="330" spans="1:19" x14ac:dyDescent="0.3">
      <c r="A330" s="1">
        <v>330</v>
      </c>
      <c r="C330" s="1" t="s">
        <v>29</v>
      </c>
      <c r="D330" s="1">
        <v>15.9</v>
      </c>
      <c r="E330" s="1">
        <v>0</v>
      </c>
      <c r="F330" s="1">
        <v>481</v>
      </c>
      <c r="G330" s="1">
        <v>0.39352447291597792</v>
      </c>
      <c r="H330" s="1">
        <v>1.8898992443324938</v>
      </c>
      <c r="I330" s="1">
        <v>411.86067222110029</v>
      </c>
      <c r="J330" s="1" t="s">
        <v>16</v>
      </c>
      <c r="K330" s="1">
        <f t="shared" si="15"/>
        <v>0.46488223582076627</v>
      </c>
      <c r="L330" s="1">
        <f t="shared" si="16"/>
        <v>0.95682622771779413</v>
      </c>
      <c r="M330" s="1">
        <f t="shared" si="17"/>
        <v>208.26459168725486</v>
      </c>
      <c r="N330" s="1">
        <f>SLOPE(K330:K333,E330:E333)</f>
        <v>7.6912083471466683E-4</v>
      </c>
      <c r="O330" s="1">
        <f>SLOPE(L330:L333,E330:E333)</f>
        <v>-5.2942624720612465E-4</v>
      </c>
      <c r="P330" s="1">
        <f>SLOPE(M330:M333,E330:E333)</f>
        <v>7.4084024788992346</v>
      </c>
      <c r="Q330" s="1">
        <f>(N330*84.63/0.31*60)/1000</f>
        <v>1.2598199272626242E-2</v>
      </c>
      <c r="R330" s="1">
        <f>O330*84.63/0.31*60/1000</f>
        <v>-8.6720019292363219E-3</v>
      </c>
      <c r="S330" s="1">
        <f>(P330*84.63/0.31*60)/1000</f>
        <v>121.34963260436945</v>
      </c>
    </row>
    <row r="331" spans="1:19" x14ac:dyDescent="0.3">
      <c r="A331" s="1">
        <v>331</v>
      </c>
      <c r="C331" s="1" t="s">
        <v>29</v>
      </c>
      <c r="D331" s="1">
        <v>15.9</v>
      </c>
      <c r="E331" s="1">
        <v>15</v>
      </c>
      <c r="F331" s="1">
        <v>482</v>
      </c>
      <c r="G331" s="1">
        <v>0.40429228378928972</v>
      </c>
      <c r="H331" s="1">
        <v>1.8741007556675064</v>
      </c>
      <c r="I331" s="1">
        <v>624.31156353976655</v>
      </c>
      <c r="J331" s="1" t="s">
        <v>16</v>
      </c>
      <c r="K331" s="1">
        <f t="shared" si="15"/>
        <v>0.47760257302517978</v>
      </c>
      <c r="L331" s="1">
        <f t="shared" si="16"/>
        <v>0.94882770168086705</v>
      </c>
      <c r="M331" s="1">
        <f t="shared" si="17"/>
        <v>315.69412093913422</v>
      </c>
    </row>
    <row r="332" spans="1:19" x14ac:dyDescent="0.3">
      <c r="A332" s="1">
        <v>332</v>
      </c>
      <c r="C332" s="1" t="s">
        <v>29</v>
      </c>
      <c r="D332" s="1">
        <v>15.9</v>
      </c>
      <c r="E332" s="1">
        <v>30</v>
      </c>
      <c r="F332" s="1">
        <v>483</v>
      </c>
      <c r="G332" s="1">
        <v>0.41115063968897259</v>
      </c>
      <c r="H332" s="1">
        <v>1.862816120906801</v>
      </c>
      <c r="I332" s="1">
        <v>802.85282773339486</v>
      </c>
      <c r="J332" s="1" t="s">
        <v>16</v>
      </c>
      <c r="K332" s="1">
        <f t="shared" si="15"/>
        <v>0.48570455408133595</v>
      </c>
      <c r="L332" s="1">
        <f t="shared" si="16"/>
        <v>0.94311446879734762</v>
      </c>
      <c r="M332" s="1">
        <f t="shared" si="17"/>
        <v>405.97665091725946</v>
      </c>
    </row>
    <row r="333" spans="1:19" x14ac:dyDescent="0.3">
      <c r="A333" s="1">
        <v>333</v>
      </c>
      <c r="C333" s="1" t="s">
        <v>29</v>
      </c>
      <c r="D333" s="1">
        <v>15.9</v>
      </c>
      <c r="E333" s="1">
        <v>45</v>
      </c>
      <c r="F333" s="1">
        <v>484</v>
      </c>
      <c r="G333" s="1">
        <v>0.4237915309550549</v>
      </c>
      <c r="H333" s="1">
        <v>1.8413753148614613</v>
      </c>
      <c r="I333" s="1">
        <v>1084.8837352764331</v>
      </c>
      <c r="J333" s="1" t="s">
        <v>16</v>
      </c>
      <c r="K333" s="1">
        <f t="shared" si="15"/>
        <v>0.50063761720444755</v>
      </c>
      <c r="L333" s="1">
        <f t="shared" si="16"/>
        <v>0.93225932631866104</v>
      </c>
      <c r="M333" s="1">
        <f t="shared" si="17"/>
        <v>548.5905389728415</v>
      </c>
    </row>
    <row r="334" spans="1:19" x14ac:dyDescent="0.3">
      <c r="A334" s="1">
        <v>334</v>
      </c>
      <c r="C334" s="1" t="s">
        <v>29</v>
      </c>
      <c r="D334" s="1">
        <v>15.9</v>
      </c>
      <c r="E334" s="1">
        <v>0</v>
      </c>
      <c r="F334" s="1">
        <v>485</v>
      </c>
      <c r="G334" s="1">
        <v>0.39367816156358992</v>
      </c>
      <c r="H334" s="1">
        <v>1.8763576826196475</v>
      </c>
      <c r="I334" s="1">
        <v>414.24334121027317</v>
      </c>
      <c r="J334" s="1" t="s">
        <v>16</v>
      </c>
      <c r="K334" s="1">
        <f t="shared" si="15"/>
        <v>0.46506379281922355</v>
      </c>
      <c r="L334" s="1">
        <f t="shared" si="16"/>
        <v>0.94997034825757098</v>
      </c>
      <c r="M334" s="1">
        <f t="shared" si="17"/>
        <v>209.46943016207186</v>
      </c>
      <c r="N334" s="1">
        <f>SLOPE(K334:K337,E334:E337)</f>
        <v>4.8422764463544729E-4</v>
      </c>
      <c r="O334" s="1">
        <f>SLOPE(L334:L337,E334:E337)</f>
        <v>-7.27484987168127E-4</v>
      </c>
      <c r="P334" s="1">
        <f>SLOPE(M334:M337,E334:E337)</f>
        <v>7.3255237450050705</v>
      </c>
      <c r="Q334" s="1">
        <f>(N334*84.63/0.31*60)/1000</f>
        <v>7.9316488191286255E-3</v>
      </c>
      <c r="R334" s="1">
        <f>O334*84.63/0.31*60/1000</f>
        <v>-1.191620408981392E-2</v>
      </c>
      <c r="S334" s="1">
        <f>(P334*84.63/0.31*60)/1000</f>
        <v>119.99207894318303</v>
      </c>
    </row>
    <row r="335" spans="1:19" x14ac:dyDescent="0.3">
      <c r="A335" s="1">
        <v>335</v>
      </c>
      <c r="C335" s="1" t="s">
        <v>29</v>
      </c>
      <c r="D335" s="1">
        <v>15.9</v>
      </c>
      <c r="E335" s="1">
        <v>15</v>
      </c>
      <c r="F335" s="1">
        <v>486</v>
      </c>
      <c r="G335" s="1">
        <v>0.40146825488942017</v>
      </c>
      <c r="H335" s="1">
        <v>1.8605591939546602</v>
      </c>
      <c r="I335" s="1">
        <v>647.09454828350033</v>
      </c>
      <c r="J335" s="1" t="s">
        <v>16</v>
      </c>
      <c r="K335" s="1">
        <f t="shared" si="15"/>
        <v>0.47426646317852705</v>
      </c>
      <c r="L335" s="1">
        <f t="shared" si="16"/>
        <v>0.9419718222206438</v>
      </c>
      <c r="M335" s="1">
        <f t="shared" si="17"/>
        <v>327.21473782513652</v>
      </c>
    </row>
    <row r="336" spans="1:19" x14ac:dyDescent="0.3">
      <c r="A336" s="1">
        <v>336</v>
      </c>
      <c r="C336" s="1" t="s">
        <v>29</v>
      </c>
      <c r="D336" s="1">
        <v>15.9</v>
      </c>
      <c r="E336" s="1">
        <v>30</v>
      </c>
      <c r="F336" s="1">
        <v>487</v>
      </c>
      <c r="G336" s="1">
        <v>0.40678972431298377</v>
      </c>
      <c r="H336" s="1">
        <v>1.8515314861460959</v>
      </c>
      <c r="I336" s="1">
        <v>839.43940161489752</v>
      </c>
      <c r="J336" s="1" t="s">
        <v>16</v>
      </c>
      <c r="K336" s="1">
        <f t="shared" si="15"/>
        <v>0.48055287425011062</v>
      </c>
      <c r="L336" s="1">
        <f t="shared" si="16"/>
        <v>0.93740123591382851</v>
      </c>
      <c r="M336" s="1">
        <f t="shared" si="17"/>
        <v>424.47729539388536</v>
      </c>
    </row>
    <row r="337" spans="1:19" x14ac:dyDescent="0.3">
      <c r="A337" s="1">
        <v>337</v>
      </c>
      <c r="C337" s="1" t="s">
        <v>29</v>
      </c>
      <c r="D337" s="1">
        <v>15.9</v>
      </c>
      <c r="E337" s="1">
        <v>45</v>
      </c>
      <c r="F337" s="1">
        <v>488</v>
      </c>
      <c r="G337" s="1">
        <v>0.41239935995081961</v>
      </c>
      <c r="H337" s="1">
        <v>1.8075214105793453</v>
      </c>
      <c r="I337" s="1">
        <v>1074.4702260178663</v>
      </c>
      <c r="J337" s="1" t="s">
        <v>16</v>
      </c>
      <c r="K337" s="1">
        <f t="shared" si="15"/>
        <v>0.4871797046938014</v>
      </c>
      <c r="L337" s="1">
        <f t="shared" si="16"/>
        <v>0.91511962766810306</v>
      </c>
      <c r="M337" s="1">
        <f t="shared" si="17"/>
        <v>543.32476488940915</v>
      </c>
    </row>
    <row r="338" spans="1:19" x14ac:dyDescent="0.3">
      <c r="A338" s="1">
        <v>338</v>
      </c>
      <c r="C338" s="1" t="s">
        <v>29</v>
      </c>
      <c r="D338" s="1">
        <v>15.9</v>
      </c>
      <c r="E338" s="1">
        <v>0</v>
      </c>
      <c r="F338" s="1">
        <v>489</v>
      </c>
      <c r="G338" s="1">
        <v>0.39483082642067946</v>
      </c>
      <c r="H338" s="1">
        <v>1.8887707808564234</v>
      </c>
      <c r="I338" s="1">
        <v>403.26089493494197</v>
      </c>
      <c r="J338" s="1" t="s">
        <v>16</v>
      </c>
      <c r="K338" s="1">
        <f t="shared" si="15"/>
        <v>0.46642547030765319</v>
      </c>
      <c r="L338" s="1">
        <f t="shared" si="16"/>
        <v>0.95625490442944228</v>
      </c>
      <c r="M338" s="1">
        <f t="shared" si="17"/>
        <v>203.9159630710669</v>
      </c>
      <c r="N338" s="1">
        <f>SLOPE(K338:K341,E338:E341)</f>
        <v>8.6791810137517244E-4</v>
      </c>
      <c r="O338" s="1">
        <f>SLOPE(L338:L341,E338:E341)</f>
        <v>-6.5892619256589921E-4</v>
      </c>
      <c r="P338" s="1">
        <f>SLOPE(M338:M341,E338:E341)</f>
        <v>7.1927782231316568</v>
      </c>
      <c r="Q338" s="1">
        <f>(N338*84.63/0.31*60)/1000</f>
        <v>1.4216498500525325E-2</v>
      </c>
      <c r="R338" s="1">
        <f>O338*84.63/0.31*60/1000</f>
        <v>-1.0793211034229429E-2</v>
      </c>
      <c r="S338" s="1">
        <f>(P338*84.63/0.31*60)/1000</f>
        <v>117.81770729489654</v>
      </c>
    </row>
    <row r="339" spans="1:19" x14ac:dyDescent="0.3">
      <c r="A339" s="1">
        <v>339</v>
      </c>
      <c r="C339" s="1" t="s">
        <v>29</v>
      </c>
      <c r="D339" s="1">
        <v>15.9</v>
      </c>
      <c r="E339" s="1">
        <v>15</v>
      </c>
      <c r="F339" s="1">
        <v>490</v>
      </c>
      <c r="G339" s="1">
        <v>0.40756777309151915</v>
      </c>
      <c r="H339" s="1">
        <v>1.8865138539042825</v>
      </c>
      <c r="I339" s="1">
        <v>660.00157115692014</v>
      </c>
      <c r="J339" s="1" t="s">
        <v>16</v>
      </c>
      <c r="K339" s="1">
        <f t="shared" si="15"/>
        <v>0.48147200655480055</v>
      </c>
      <c r="L339" s="1">
        <f t="shared" si="16"/>
        <v>0.95511225785273846</v>
      </c>
      <c r="M339" s="1">
        <f t="shared" si="17"/>
        <v>333.7414009176199</v>
      </c>
    </row>
    <row r="340" spans="1:19" x14ac:dyDescent="0.3">
      <c r="A340" s="1">
        <v>340</v>
      </c>
      <c r="C340" s="1" t="s">
        <v>29</v>
      </c>
      <c r="D340" s="1">
        <v>15.9</v>
      </c>
      <c r="E340" s="1">
        <v>30</v>
      </c>
      <c r="F340" s="1">
        <v>491</v>
      </c>
      <c r="G340" s="1">
        <v>0.416741064245857</v>
      </c>
      <c r="H340" s="1">
        <v>1.8504030226700252</v>
      </c>
      <c r="I340" s="1">
        <v>876.87447639209165</v>
      </c>
      <c r="J340" s="1" t="s">
        <v>16</v>
      </c>
      <c r="K340" s="1">
        <f t="shared" si="15"/>
        <v>0.49230868990021964</v>
      </c>
      <c r="L340" s="1">
        <f t="shared" si="16"/>
        <v>0.93682991262547644</v>
      </c>
      <c r="M340" s="1">
        <f t="shared" si="17"/>
        <v>443.40699926973593</v>
      </c>
    </row>
    <row r="341" spans="1:19" x14ac:dyDescent="0.3">
      <c r="A341" s="1">
        <v>341</v>
      </c>
      <c r="C341" s="1" t="s">
        <v>29</v>
      </c>
      <c r="D341" s="1">
        <v>15.9</v>
      </c>
      <c r="E341" s="1">
        <v>45</v>
      </c>
      <c r="F341" s="1">
        <v>492</v>
      </c>
      <c r="G341" s="1">
        <v>0.42850785132864633</v>
      </c>
      <c r="H341" s="1">
        <v>1.8357329974811085</v>
      </c>
      <c r="I341" s="1">
        <v>1042.18599309417</v>
      </c>
      <c r="J341" s="1" t="s">
        <v>16</v>
      </c>
      <c r="K341" s="1">
        <f t="shared" si="15"/>
        <v>0.50620914759460545</v>
      </c>
      <c r="L341" s="1">
        <f t="shared" si="16"/>
        <v>0.92940270987690132</v>
      </c>
      <c r="M341" s="1">
        <f t="shared" si="17"/>
        <v>526.9996747769444</v>
      </c>
    </row>
    <row r="342" spans="1:19" x14ac:dyDescent="0.3">
      <c r="A342" s="1">
        <v>342</v>
      </c>
      <c r="C342" s="1" t="s">
        <v>29</v>
      </c>
      <c r="D342" s="1">
        <v>15.9</v>
      </c>
      <c r="E342" s="1">
        <v>0</v>
      </c>
      <c r="F342" s="1">
        <v>493</v>
      </c>
      <c r="G342" s="1">
        <v>0.39629086857299289</v>
      </c>
      <c r="H342" s="1">
        <v>1.8616876574307306</v>
      </c>
      <c r="I342" s="1">
        <v>490.24940294640794</v>
      </c>
      <c r="J342" s="1" t="s">
        <v>129</v>
      </c>
      <c r="K342" s="1">
        <f t="shared" si="15"/>
        <v>0.46815026179299735</v>
      </c>
      <c r="L342" s="1">
        <f t="shared" si="16"/>
        <v>0.94254314550899587</v>
      </c>
      <c r="M342" s="1">
        <f t="shared" si="17"/>
        <v>247.90323188406458</v>
      </c>
      <c r="N342" s="1">
        <f>SLOPE(K342:K345,E342:E345)</f>
        <v>5.5713034439098374E-3</v>
      </c>
      <c r="O342" s="1">
        <f>SLOPE(L342:L345,E342:E345)</f>
        <v>3.6640866892970604E-3</v>
      </c>
      <c r="P342" s="1">
        <f>SLOPE(M342:M345,E342:E345)</f>
        <v>6.424958654082161</v>
      </c>
      <c r="Q342" s="1">
        <f>(N342*84.63/0.31*60)/1000</f>
        <v>9.1257950411243127E-2</v>
      </c>
      <c r="R342" s="1">
        <f>O342*84.63/0.31*60/1000</f>
        <v>6.0017739970685852E-2</v>
      </c>
      <c r="S342" s="1">
        <f>(P342*84.63/0.31*60)/1000</f>
        <v>105.2408227538658</v>
      </c>
    </row>
    <row r="343" spans="1:19" x14ac:dyDescent="0.3">
      <c r="A343" s="1">
        <v>343</v>
      </c>
      <c r="C343" s="1" t="s">
        <v>29</v>
      </c>
      <c r="D343" s="1">
        <v>15.9</v>
      </c>
      <c r="E343" s="1">
        <v>15</v>
      </c>
      <c r="F343" s="1">
        <v>494</v>
      </c>
      <c r="G343" s="1">
        <v>0.4747008954765109</v>
      </c>
      <c r="H343" s="1">
        <v>2.005002518891688</v>
      </c>
      <c r="I343" s="1">
        <v>667.89998643103297</v>
      </c>
      <c r="J343" s="1" t="s">
        <v>129</v>
      </c>
      <c r="K343" s="1">
        <f t="shared" si="15"/>
        <v>0.56077837294342292</v>
      </c>
      <c r="L343" s="1">
        <f t="shared" si="16"/>
        <v>1.0151012031296913</v>
      </c>
      <c r="M343" s="1">
        <f t="shared" si="17"/>
        <v>337.73537349861061</v>
      </c>
    </row>
    <row r="344" spans="1:19" x14ac:dyDescent="0.3">
      <c r="A344" s="1">
        <v>344</v>
      </c>
      <c r="C344" s="1" t="s">
        <v>29</v>
      </c>
      <c r="D344" s="1">
        <v>15.9</v>
      </c>
      <c r="E344" s="1">
        <v>30</v>
      </c>
      <c r="F344" s="1">
        <v>495</v>
      </c>
      <c r="G344" s="1">
        <v>0.56117957637965576</v>
      </c>
      <c r="H344" s="1">
        <v>2.1257481108312346</v>
      </c>
      <c r="I344" s="1">
        <v>927.15575663746529</v>
      </c>
      <c r="J344" s="1" t="s">
        <v>129</v>
      </c>
      <c r="K344" s="1">
        <f t="shared" si="15"/>
        <v>0.66293822651285594</v>
      </c>
      <c r="L344" s="1">
        <f t="shared" si="16"/>
        <v>1.0762327949833481</v>
      </c>
      <c r="M344" s="1">
        <f t="shared" si="17"/>
        <v>468.83261284760522</v>
      </c>
    </row>
    <row r="345" spans="1:19" x14ac:dyDescent="0.3">
      <c r="A345" s="1">
        <v>345</v>
      </c>
      <c r="C345" s="1" t="s">
        <v>29</v>
      </c>
      <c r="D345" s="1">
        <v>15.9</v>
      </c>
      <c r="E345" s="1">
        <v>45</v>
      </c>
      <c r="F345" s="1">
        <v>496</v>
      </c>
      <c r="G345" s="1">
        <v>0.6032710547443767</v>
      </c>
      <c r="H345" s="1">
        <v>2.1832997481108314</v>
      </c>
      <c r="I345" s="1">
        <v>1039.1255043143349</v>
      </c>
      <c r="J345" s="1" t="s">
        <v>129</v>
      </c>
      <c r="K345" s="1">
        <f t="shared" si="15"/>
        <v>0.7126621494653449</v>
      </c>
      <c r="L345" s="1">
        <f t="shared" si="16"/>
        <v>1.1053702826892966</v>
      </c>
      <c r="M345" s="1">
        <f t="shared" si="17"/>
        <v>525.45208480517442</v>
      </c>
    </row>
    <row r="346" spans="1:19" x14ac:dyDescent="0.3">
      <c r="A346" s="1">
        <v>346</v>
      </c>
      <c r="C346" s="1" t="s">
        <v>29</v>
      </c>
      <c r="D346" s="1">
        <v>15.9</v>
      </c>
      <c r="F346" s="1" t="s">
        <v>58</v>
      </c>
      <c r="G346" s="1">
        <v>0.39760682761817018</v>
      </c>
      <c r="H346" s="1">
        <v>1.8605591939546602</v>
      </c>
      <c r="I346" s="1">
        <v>445.70752008911603</v>
      </c>
      <c r="K346" s="1">
        <f t="shared" si="15"/>
        <v>0.46970484359228787</v>
      </c>
      <c r="L346" s="1">
        <f t="shared" si="16"/>
        <v>0.9419718222206438</v>
      </c>
      <c r="M346" s="1">
        <f t="shared" si="17"/>
        <v>225.37984552569063</v>
      </c>
    </row>
    <row r="347" spans="1:19" x14ac:dyDescent="0.3">
      <c r="A347" s="1">
        <v>347</v>
      </c>
      <c r="C347" s="1" t="s">
        <v>29</v>
      </c>
      <c r="D347" s="1">
        <v>15.9</v>
      </c>
      <c r="F347" s="1" t="s">
        <v>59</v>
      </c>
      <c r="G347" s="1">
        <v>0.39628126303251715</v>
      </c>
      <c r="H347" s="1">
        <v>1.8549168765743076</v>
      </c>
      <c r="I347" s="1">
        <v>402.94209402037581</v>
      </c>
      <c r="K347" s="1">
        <f t="shared" si="15"/>
        <v>0.46813891448059375</v>
      </c>
      <c r="L347" s="1">
        <f t="shared" si="16"/>
        <v>0.9391152057788843</v>
      </c>
      <c r="M347" s="1">
        <f t="shared" si="17"/>
        <v>203.75475578234085</v>
      </c>
    </row>
    <row r="348" spans="1:19" x14ac:dyDescent="0.3">
      <c r="A348" s="1">
        <v>348</v>
      </c>
      <c r="C348" s="1" t="s">
        <v>29</v>
      </c>
      <c r="D348" s="1">
        <v>15.9</v>
      </c>
      <c r="F348" s="1" t="s">
        <v>92</v>
      </c>
      <c r="G348" s="1">
        <v>0.39540715884922428</v>
      </c>
      <c r="H348" s="1">
        <v>1.8583022670025191</v>
      </c>
      <c r="I348" s="1">
        <v>399.49021581004263</v>
      </c>
      <c r="K348" s="1">
        <f t="shared" si="15"/>
        <v>0.46710630905186806</v>
      </c>
      <c r="L348" s="1">
        <f t="shared" si="16"/>
        <v>0.94082917564394009</v>
      </c>
      <c r="M348" s="1">
        <f t="shared" si="17"/>
        <v>202.00925286225811</v>
      </c>
    </row>
    <row r="349" spans="1:19" x14ac:dyDescent="0.3">
      <c r="B349" s="10"/>
    </row>
    <row r="350" spans="1:19" x14ac:dyDescent="0.3">
      <c r="B350" s="4"/>
    </row>
  </sheetData>
  <autoFilter ref="A2:S350" xr:uid="{0ACB98E8-27B7-4801-8390-35A30C2095EB}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Beauregard</vt:lpstr>
      <vt:lpstr>Coté</vt:lpstr>
      <vt:lpstr>Leblanc</vt:lpstr>
      <vt:lpstr>4R</vt:lpstr>
      <vt:lpstr>JML_Robert</vt:lpstr>
      <vt:lpstr>Levesque</vt:lpstr>
      <vt:lpstr>Janesek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BENSLIM</dc:creator>
  <cp:lastModifiedBy>Angela Zou, Miss</cp:lastModifiedBy>
  <dcterms:created xsi:type="dcterms:W3CDTF">2022-10-20T10:35:00Z</dcterms:created>
  <dcterms:modified xsi:type="dcterms:W3CDTF">2025-11-18T14:57:40Z</dcterms:modified>
</cp:coreProperties>
</file>